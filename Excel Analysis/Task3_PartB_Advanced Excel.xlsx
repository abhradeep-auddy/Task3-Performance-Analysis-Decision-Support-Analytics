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3 Abhradeep\"/>
    </mc:Choice>
  </mc:AlternateContent>
  <xr:revisionPtr revIDLastSave="0" documentId="13_ncr:1_{2EE04FDF-6F0B-4A74-A976-A171EAFC9D88}" xr6:coauthVersionLast="47" xr6:coauthVersionMax="47" xr10:uidLastSave="{00000000-0000-0000-0000-000000000000}"/>
  <bookViews>
    <workbookView xWindow="-120" yWindow="-120" windowWidth="20730" windowHeight="11160" firstSheet="1" activeTab="1" xr2:uid="{E7947547-2683-466F-A9E2-6D176D884B21}"/>
  </bookViews>
  <sheets>
    <sheet name="Task3_PartB_RawData" sheetId="1" r:id="rId1"/>
    <sheet name="Step5-Variance colmn." sheetId="4" r:id="rId2"/>
    <sheet name="Step6-Performance Comp. Table" sheetId="5" r:id="rId3"/>
    <sheet name="Pivot Tables" sheetId="3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5" l="1"/>
  <c r="P6" i="5"/>
  <c r="P7" i="5"/>
  <c r="P8" i="5"/>
  <c r="P9" i="5"/>
  <c r="P10" i="5"/>
  <c r="P4" i="5"/>
  <c r="O5" i="5"/>
  <c r="O6" i="5"/>
  <c r="O7" i="5"/>
  <c r="O8" i="5"/>
  <c r="O9" i="5"/>
  <c r="O10" i="5"/>
  <c r="O4" i="5"/>
  <c r="H5" i="5"/>
  <c r="H4" i="5"/>
  <c r="H3" i="5"/>
  <c r="D4" i="5"/>
  <c r="D5" i="5"/>
  <c r="D6" i="5"/>
  <c r="D7" i="5"/>
  <c r="D8" i="5"/>
  <c r="D3" i="5"/>
  <c r="D30" i="4"/>
  <c r="E30" i="4" s="1"/>
  <c r="F30" i="4" s="1"/>
  <c r="D17" i="4"/>
  <c r="E17" i="4" s="1"/>
  <c r="F17" i="4" s="1"/>
  <c r="D6" i="4"/>
  <c r="E6" i="4" s="1"/>
  <c r="F6" i="4" s="1"/>
  <c r="D7" i="4"/>
  <c r="E7" i="4" s="1"/>
  <c r="F7" i="4" s="1"/>
  <c r="D8" i="4"/>
  <c r="E8" i="4" s="1"/>
  <c r="F8" i="4" s="1"/>
  <c r="D9" i="4"/>
  <c r="E9" i="4" s="1"/>
  <c r="F9" i="4" s="1"/>
  <c r="D10" i="4"/>
  <c r="E10" i="4" s="1"/>
  <c r="F10" i="4" s="1"/>
  <c r="D11" i="4"/>
  <c r="E11" i="4" s="1"/>
  <c r="F11" i="4" s="1"/>
  <c r="D12" i="4"/>
  <c r="E12" i="4" s="1"/>
  <c r="F12" i="4" s="1"/>
  <c r="D13" i="4"/>
  <c r="E13" i="4" s="1"/>
  <c r="F13" i="4" s="1"/>
  <c r="D14" i="4"/>
  <c r="E14" i="4" s="1"/>
  <c r="F14" i="4" s="1"/>
  <c r="D15" i="4"/>
  <c r="E15" i="4" s="1"/>
  <c r="F15" i="4" s="1"/>
  <c r="D18" i="4"/>
  <c r="E18" i="4" s="1"/>
  <c r="F18" i="4" s="1"/>
  <c r="D19" i="4"/>
  <c r="E19" i="4" s="1"/>
  <c r="F19" i="4" s="1"/>
  <c r="D20" i="4"/>
  <c r="E20" i="4" s="1"/>
  <c r="F20" i="4" s="1"/>
  <c r="D21" i="4"/>
  <c r="E21" i="4" s="1"/>
  <c r="F21" i="4" s="1"/>
  <c r="D22" i="4"/>
  <c r="E22" i="4" s="1"/>
  <c r="F22" i="4" s="1"/>
  <c r="D23" i="4"/>
  <c r="E23" i="4" s="1"/>
  <c r="F23" i="4" s="1"/>
  <c r="D24" i="4"/>
  <c r="E24" i="4" s="1"/>
  <c r="F24" i="4" s="1"/>
  <c r="D25" i="4"/>
  <c r="E25" i="4" s="1"/>
  <c r="F25" i="4" s="1"/>
  <c r="D26" i="4"/>
  <c r="E26" i="4" s="1"/>
  <c r="F26" i="4" s="1"/>
  <c r="D27" i="4"/>
  <c r="E27" i="4" s="1"/>
  <c r="F27" i="4" s="1"/>
  <c r="D28" i="4"/>
  <c r="E28" i="4" s="1"/>
  <c r="F28" i="4" s="1"/>
  <c r="D31" i="4"/>
  <c r="E31" i="4" s="1"/>
  <c r="F31" i="4" s="1"/>
  <c r="D32" i="4"/>
  <c r="E32" i="4" s="1"/>
  <c r="F32" i="4" s="1"/>
  <c r="D33" i="4"/>
  <c r="E33" i="4" s="1"/>
  <c r="F33" i="4" s="1"/>
  <c r="D34" i="4"/>
  <c r="E34" i="4" s="1"/>
  <c r="F34" i="4" s="1"/>
  <c r="D35" i="4"/>
  <c r="E35" i="4" s="1"/>
  <c r="F35" i="4" s="1"/>
  <c r="D36" i="4"/>
  <c r="E36" i="4" s="1"/>
  <c r="F36" i="4" s="1"/>
  <c r="D5" i="4"/>
  <c r="E5" i="4" s="1"/>
  <c r="F5" i="4" s="1"/>
  <c r="S5" i="1"/>
  <c r="S3" i="1"/>
  <c r="S1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<sst xmlns="http://schemas.openxmlformats.org/spreadsheetml/2006/main" count="16061" uniqueCount="4004">
  <si>
    <t>order_id</t>
  </si>
  <si>
    <t>order_date</t>
  </si>
  <si>
    <t>customer_id</t>
  </si>
  <si>
    <t>product_name</t>
  </si>
  <si>
    <t>sales</t>
  </si>
  <si>
    <t>quantity</t>
  </si>
  <si>
    <t>profit</t>
  </si>
  <si>
    <t>discount</t>
  </si>
  <si>
    <t>customer_id-2</t>
  </si>
  <si>
    <t>customer_name</t>
  </si>
  <si>
    <t>region</t>
  </si>
  <si>
    <t>city</t>
  </si>
  <si>
    <t>state</t>
  </si>
  <si>
    <t>REG100000</t>
  </si>
  <si>
    <t>Cust 6583</t>
  </si>
  <si>
    <t>Laptop</t>
  </si>
  <si>
    <t>Claire Gute</t>
  </si>
  <si>
    <t>East</t>
  </si>
  <si>
    <t>Henderson</t>
  </si>
  <si>
    <t>Kentucky</t>
  </si>
  <si>
    <t>REG100001</t>
  </si>
  <si>
    <t>Cust 2144</t>
  </si>
  <si>
    <t>Phone</t>
  </si>
  <si>
    <t>Darrin Van Huff</t>
  </si>
  <si>
    <t>South</t>
  </si>
  <si>
    <t>Los Angeles</t>
  </si>
  <si>
    <t>California</t>
  </si>
  <si>
    <t>REG100002</t>
  </si>
  <si>
    <t>Cust 5998</t>
  </si>
  <si>
    <t>Desk</t>
  </si>
  <si>
    <t>Sean O'Donnell</t>
  </si>
  <si>
    <t>North</t>
  </si>
  <si>
    <t>Fort Lauderdale</t>
  </si>
  <si>
    <t>Florida</t>
  </si>
  <si>
    <t>REG100003</t>
  </si>
  <si>
    <t>Cust 7136</t>
  </si>
  <si>
    <t>Chair</t>
  </si>
  <si>
    <t>Brosina Hoffman</t>
  </si>
  <si>
    <t>Central</t>
  </si>
  <si>
    <t>REG100152</t>
  </si>
  <si>
    <t>Cust 6506</t>
  </si>
  <si>
    <t>Printer</t>
  </si>
  <si>
    <t>Andrew Allen</t>
  </si>
  <si>
    <t>Concord</t>
  </si>
  <si>
    <t>North Carolina</t>
  </si>
  <si>
    <t>REG100004</t>
  </si>
  <si>
    <t>REG100005</t>
  </si>
  <si>
    <t>Cust 3909</t>
  </si>
  <si>
    <t>Monitor</t>
  </si>
  <si>
    <t>Irene Maddox</t>
  </si>
  <si>
    <t>Seattle</t>
  </si>
  <si>
    <t>Washington</t>
  </si>
  <si>
    <t>REG100006</t>
  </si>
  <si>
    <t>Cust 7887</t>
  </si>
  <si>
    <t>Harold Pawlan</t>
  </si>
  <si>
    <t>Fort Worth</t>
  </si>
  <si>
    <t>Texas</t>
  </si>
  <si>
    <t>REG100802</t>
  </si>
  <si>
    <t>Cust 5301</t>
  </si>
  <si>
    <t>Pete Kriz</t>
  </si>
  <si>
    <t>Madison</t>
  </si>
  <si>
    <t>Wisconsin</t>
  </si>
  <si>
    <t>REG100007</t>
  </si>
  <si>
    <t>REG100008</t>
  </si>
  <si>
    <t>Cust 2284</t>
  </si>
  <si>
    <t>Alejandro Grove</t>
  </si>
  <si>
    <t>West Jordan</t>
  </si>
  <si>
    <t>Utah</t>
  </si>
  <si>
    <t>REG100009</t>
  </si>
  <si>
    <t>Cust 3732</t>
  </si>
  <si>
    <t>Zuschuss Donatelli</t>
  </si>
  <si>
    <t>West</t>
  </si>
  <si>
    <t>San Francisco</t>
  </si>
  <si>
    <t>REG101438</t>
  </si>
  <si>
    <t>Cust 1462</t>
  </si>
  <si>
    <t>Ken Black</t>
  </si>
  <si>
    <t>Fremont</t>
  </si>
  <si>
    <t>Nebraska</t>
  </si>
  <si>
    <t>REG100010</t>
  </si>
  <si>
    <t>REG100011</t>
  </si>
  <si>
    <t>Cust 4330</t>
  </si>
  <si>
    <t>Sandra Flanagan</t>
  </si>
  <si>
    <t>Philadelphia</t>
  </si>
  <si>
    <t>Pennsylvania</t>
  </si>
  <si>
    <t>REG101400</t>
  </si>
  <si>
    <t>Cust 2372</t>
  </si>
  <si>
    <t>Emily Burns</t>
  </si>
  <si>
    <t>Orem</t>
  </si>
  <si>
    <t>REG100012</t>
  </si>
  <si>
    <t>REG100013</t>
  </si>
  <si>
    <t>Cust 4672</t>
  </si>
  <si>
    <t>Tablet</t>
  </si>
  <si>
    <t>Eric Hoffmann</t>
  </si>
  <si>
    <t>REG100014</t>
  </si>
  <si>
    <t>Cust 4548</t>
  </si>
  <si>
    <t>Tracy Blumstein</t>
  </si>
  <si>
    <t>REG100015</t>
  </si>
  <si>
    <t>Cust 7037</t>
  </si>
  <si>
    <t>Matt Abelman</t>
  </si>
  <si>
    <t>Houston</t>
  </si>
  <si>
    <t>REG100016</t>
  </si>
  <si>
    <t>Cust 4975</t>
  </si>
  <si>
    <t>Gene Hale</t>
  </si>
  <si>
    <t>Richardson</t>
  </si>
  <si>
    <t>REG100017</t>
  </si>
  <si>
    <t>Cust 8014</t>
  </si>
  <si>
    <t>Steve Nguyen</t>
  </si>
  <si>
    <t>REG100018</t>
  </si>
  <si>
    <t>Cust 1228</t>
  </si>
  <si>
    <t>Linda Cazamias</t>
  </si>
  <si>
    <t>Naperville</t>
  </si>
  <si>
    <t>Illinois</t>
  </si>
  <si>
    <t>REG100019</t>
  </si>
  <si>
    <t>Cust 4247</t>
  </si>
  <si>
    <t>Ruben Ausman</t>
  </si>
  <si>
    <t>REG100020</t>
  </si>
  <si>
    <t>Cust 4199</t>
  </si>
  <si>
    <t>Erin Smith</t>
  </si>
  <si>
    <t>Melbourne</t>
  </si>
  <si>
    <t>REG100455</t>
  </si>
  <si>
    <t>Cust 4186</t>
  </si>
  <si>
    <t>Odella Nelson</t>
  </si>
  <si>
    <t>Eagan</t>
  </si>
  <si>
    <t>Minnesota</t>
  </si>
  <si>
    <t>REG100021</t>
  </si>
  <si>
    <t>REG100022</t>
  </si>
  <si>
    <t>Cust 8137</t>
  </si>
  <si>
    <t>Patrick O'Donnell</t>
  </si>
  <si>
    <t>Westland</t>
  </si>
  <si>
    <t>Michigan</t>
  </si>
  <si>
    <t>REG100023</t>
  </si>
  <si>
    <t>Cust 4638</t>
  </si>
  <si>
    <t>Lena Hernandez</t>
  </si>
  <si>
    <t>Dover</t>
  </si>
  <si>
    <t>Delaware</t>
  </si>
  <si>
    <t>REG100024</t>
  </si>
  <si>
    <t>Cust 8538</t>
  </si>
  <si>
    <t>Darren Powers</t>
  </si>
  <si>
    <t>New Albany</t>
  </si>
  <si>
    <t>Indiana</t>
  </si>
  <si>
    <t>REG100025</t>
  </si>
  <si>
    <t>Cust 6322</t>
  </si>
  <si>
    <t>Janet Molinari</t>
  </si>
  <si>
    <t>New York City</t>
  </si>
  <si>
    <t>New York</t>
  </si>
  <si>
    <t>REG100026</t>
  </si>
  <si>
    <t>Cust 2609</t>
  </si>
  <si>
    <t>Ted Butterfield</t>
  </si>
  <si>
    <t>Troy</t>
  </si>
  <si>
    <t>REG100027</t>
  </si>
  <si>
    <t>Cust 6880</t>
  </si>
  <si>
    <t>Kunst Miller</t>
  </si>
  <si>
    <t>REG100028</t>
  </si>
  <si>
    <t>Cust 1997</t>
  </si>
  <si>
    <t>Paul Stevenson</t>
  </si>
  <si>
    <t>Chicago</t>
  </si>
  <si>
    <t>REG100029</t>
  </si>
  <si>
    <t>Cust 7072</t>
  </si>
  <si>
    <t>Brendan Sweed</t>
  </si>
  <si>
    <t>Gilbert</t>
  </si>
  <si>
    <t>Arizona</t>
  </si>
  <si>
    <t>REG100030</t>
  </si>
  <si>
    <t>Cust 7201</t>
  </si>
  <si>
    <t>Karen Daniels</t>
  </si>
  <si>
    <t>Springfield</t>
  </si>
  <si>
    <t>Virginia</t>
  </si>
  <si>
    <t>REG100031</t>
  </si>
  <si>
    <t>Cust 9923</t>
  </si>
  <si>
    <t>Henry MacAllister</t>
  </si>
  <si>
    <t>REG100032</t>
  </si>
  <si>
    <t>Cust 2205</t>
  </si>
  <si>
    <t>Jackson</t>
  </si>
  <si>
    <t>REG100033</t>
  </si>
  <si>
    <t>Cust 6403</t>
  </si>
  <si>
    <t>Joel Eaton</t>
  </si>
  <si>
    <t>Memphis</t>
  </si>
  <si>
    <t>Tennessee</t>
  </si>
  <si>
    <t>REG100034</t>
  </si>
  <si>
    <t>Cust 3953</t>
  </si>
  <si>
    <t>Ken Brennan</t>
  </si>
  <si>
    <t>REG100035</t>
  </si>
  <si>
    <t>Cust 7902</t>
  </si>
  <si>
    <t>REG100036</t>
  </si>
  <si>
    <t>Cust 9968</t>
  </si>
  <si>
    <t>Stewart Carmichael</t>
  </si>
  <si>
    <t>Decatur</t>
  </si>
  <si>
    <t>Alabama</t>
  </si>
  <si>
    <t>REG100037</t>
  </si>
  <si>
    <t>Cust 3787</t>
  </si>
  <si>
    <t>Duane Noonan</t>
  </si>
  <si>
    <t>REG100038</t>
  </si>
  <si>
    <t>Cust 2469</t>
  </si>
  <si>
    <t>Julie Creighton</t>
  </si>
  <si>
    <t>Durham</t>
  </si>
  <si>
    <t>REG100270</t>
  </si>
  <si>
    <t>Cust 6468</t>
  </si>
  <si>
    <t>Christopher Schild</t>
  </si>
  <si>
    <t>REG100039</t>
  </si>
  <si>
    <t>REG101259</t>
  </si>
  <si>
    <t>Cust 5312</t>
  </si>
  <si>
    <t>Columbia</t>
  </si>
  <si>
    <t>South Carolina</t>
  </si>
  <si>
    <t>REG100040</t>
  </si>
  <si>
    <t>REG100041</t>
  </si>
  <si>
    <t>Cust 1482</t>
  </si>
  <si>
    <t>Paul Gonzalez</t>
  </si>
  <si>
    <t>Rochester</t>
  </si>
  <si>
    <t>REG100042</t>
  </si>
  <si>
    <t>Cust 7903</t>
  </si>
  <si>
    <t>Gary Mitchum</t>
  </si>
  <si>
    <t>REG100043</t>
  </si>
  <si>
    <t>Cust 9605</t>
  </si>
  <si>
    <t>Jim Sink</t>
  </si>
  <si>
    <t>REG100044</t>
  </si>
  <si>
    <t>Cust 3298</t>
  </si>
  <si>
    <t>Karl Braun</t>
  </si>
  <si>
    <t>Minneapolis</t>
  </si>
  <si>
    <t>REG100045</t>
  </si>
  <si>
    <t>Cust 5533</t>
  </si>
  <si>
    <t>Roger Barcio</t>
  </si>
  <si>
    <t>Portland</t>
  </si>
  <si>
    <t>Oregon</t>
  </si>
  <si>
    <t>REG100356</t>
  </si>
  <si>
    <t>Cust 6362</t>
  </si>
  <si>
    <t>Parhena Norris</t>
  </si>
  <si>
    <t>REG100046</t>
  </si>
  <si>
    <t>REG101239</t>
  </si>
  <si>
    <t>Cust 4826</t>
  </si>
  <si>
    <t>Katherine Ducich</t>
  </si>
  <si>
    <t>REG100047</t>
  </si>
  <si>
    <t>REG100048</t>
  </si>
  <si>
    <t>Cust 2171</t>
  </si>
  <si>
    <t>Elpida Rittenbach</t>
  </si>
  <si>
    <t>Saint Paul</t>
  </si>
  <si>
    <t>REG100049</t>
  </si>
  <si>
    <t>Cust 4005</t>
  </si>
  <si>
    <t>Rick Bensley</t>
  </si>
  <si>
    <t>REG100050</t>
  </si>
  <si>
    <t>Cust 7032</t>
  </si>
  <si>
    <t>Gary Zandusky</t>
  </si>
  <si>
    <t>REG100051</t>
  </si>
  <si>
    <t>Cust 7167</t>
  </si>
  <si>
    <t>Lena Cacioppo</t>
  </si>
  <si>
    <t>Aurora</t>
  </si>
  <si>
    <t>Colorado</t>
  </si>
  <si>
    <t>REG100052</t>
  </si>
  <si>
    <t>Cust 5702</t>
  </si>
  <si>
    <t>Janet Martin</t>
  </si>
  <si>
    <t>Charlotte</t>
  </si>
  <si>
    <t>REG100247</t>
  </si>
  <si>
    <t>Cust 4944</t>
  </si>
  <si>
    <t>Pete Armstrong</t>
  </si>
  <si>
    <t>Orland Park</t>
  </si>
  <si>
    <t>REG100053</t>
  </si>
  <si>
    <t>REG100054</t>
  </si>
  <si>
    <t>Cust 8149</t>
  </si>
  <si>
    <t>Cynthia Voltz</t>
  </si>
  <si>
    <t>REG100055</t>
  </si>
  <si>
    <t>Cust 3638</t>
  </si>
  <si>
    <t>Clay Ludtke</t>
  </si>
  <si>
    <t>Urbandale</t>
  </si>
  <si>
    <t>Iowa</t>
  </si>
  <si>
    <t>REG100056</t>
  </si>
  <si>
    <t>Cust 9973</t>
  </si>
  <si>
    <t>Ryan Crowe</t>
  </si>
  <si>
    <t>Columbus</t>
  </si>
  <si>
    <t>Ohio</t>
  </si>
  <si>
    <t>REG100208</t>
  </si>
  <si>
    <t>Cust 4214</t>
  </si>
  <si>
    <t>Dave Kipp</t>
  </si>
  <si>
    <t>REG100057</t>
  </si>
  <si>
    <t>REG100058</t>
  </si>
  <si>
    <t>Cust 2647</t>
  </si>
  <si>
    <t>Greg Guthrie</t>
  </si>
  <si>
    <t>Bristol</t>
  </si>
  <si>
    <t>REG100059</t>
  </si>
  <si>
    <t>Cust 3552</t>
  </si>
  <si>
    <t>Steven Cartwright</t>
  </si>
  <si>
    <t>Wilmington</t>
  </si>
  <si>
    <t>REG100060</t>
  </si>
  <si>
    <t>Cust 3354</t>
  </si>
  <si>
    <t>Alan Dominguez</t>
  </si>
  <si>
    <t>REG100061</t>
  </si>
  <si>
    <t>Cust 3903</t>
  </si>
  <si>
    <t>Philip Fox</t>
  </si>
  <si>
    <t>Bloomington</t>
  </si>
  <si>
    <t>REG100062</t>
  </si>
  <si>
    <t>Cust 5358</t>
  </si>
  <si>
    <t>Troy Staebel</t>
  </si>
  <si>
    <t>Phoenix</t>
  </si>
  <si>
    <t>REG100063</t>
  </si>
  <si>
    <t>Cust 8144</t>
  </si>
  <si>
    <t>Lindsay Shagiari</t>
  </si>
  <si>
    <t>REG100064</t>
  </si>
  <si>
    <t>Cust 6747</t>
  </si>
  <si>
    <t>Dorothy Wardle</t>
  </si>
  <si>
    <t>REG100065</t>
  </si>
  <si>
    <t>Cust 8330</t>
  </si>
  <si>
    <t>Lena Creighton</t>
  </si>
  <si>
    <t>Roseville</t>
  </si>
  <si>
    <t>REG100066</t>
  </si>
  <si>
    <t>Cust 7186</t>
  </si>
  <si>
    <t>Jonathan Doherty</t>
  </si>
  <si>
    <t>REG100067</t>
  </si>
  <si>
    <t>Cust 8287</t>
  </si>
  <si>
    <t>Sally Hughsby</t>
  </si>
  <si>
    <t>REG100068</t>
  </si>
  <si>
    <t>Cust 3986</t>
  </si>
  <si>
    <t>Sandra Glassco</t>
  </si>
  <si>
    <t>Independence</t>
  </si>
  <si>
    <t>Missouri</t>
  </si>
  <si>
    <t>REG100069</t>
  </si>
  <si>
    <t>Cust 3213</t>
  </si>
  <si>
    <t>Helen Andreada</t>
  </si>
  <si>
    <t>Pasadena</t>
  </si>
  <si>
    <t>REG100070</t>
  </si>
  <si>
    <t>Cust 1907</t>
  </si>
  <si>
    <t>Maureen Gastineau</t>
  </si>
  <si>
    <t>Newark</t>
  </si>
  <si>
    <t>REG100071</t>
  </si>
  <si>
    <t>Cust 4639</t>
  </si>
  <si>
    <t>Justin Ellison</t>
  </si>
  <si>
    <t>Franklin</t>
  </si>
  <si>
    <t>REG100072</t>
  </si>
  <si>
    <t>Cust 4153</t>
  </si>
  <si>
    <t>Tamara Willingham</t>
  </si>
  <si>
    <t>Scottsdale</t>
  </si>
  <si>
    <t>REG100073</t>
  </si>
  <si>
    <t>Cust 7096</t>
  </si>
  <si>
    <t>Stephanie Phelps</t>
  </si>
  <si>
    <t>San Jose</t>
  </si>
  <si>
    <t>REG100074</t>
  </si>
  <si>
    <t>Cust 3806</t>
  </si>
  <si>
    <t>Neil Knudson</t>
  </si>
  <si>
    <t>REG101079</t>
  </si>
  <si>
    <t>Cust 9345</t>
  </si>
  <si>
    <t>Dave Brooks</t>
  </si>
  <si>
    <t>REG100075</t>
  </si>
  <si>
    <t>REG100507</t>
  </si>
  <si>
    <t>Cust 4456</t>
  </si>
  <si>
    <t>Nora Paige</t>
  </si>
  <si>
    <t>Edmond</t>
  </si>
  <si>
    <t>Oklahoma</t>
  </si>
  <si>
    <t>REG100076</t>
  </si>
  <si>
    <t>REG100077</t>
  </si>
  <si>
    <t>Cust 1089</t>
  </si>
  <si>
    <t>Ted Trevino</t>
  </si>
  <si>
    <t>REG100078</t>
  </si>
  <si>
    <t>Cust 7230</t>
  </si>
  <si>
    <t>Eric Murdock</t>
  </si>
  <si>
    <t>REG100079</t>
  </si>
  <si>
    <t>Cust 6597</t>
  </si>
  <si>
    <t>Ruben Dartt</t>
  </si>
  <si>
    <t>Carlsbad</t>
  </si>
  <si>
    <t>New Mexico</t>
  </si>
  <si>
    <t>REG100080</t>
  </si>
  <si>
    <t>Cust 4108</t>
  </si>
  <si>
    <t>Max Jones</t>
  </si>
  <si>
    <t>REG100081</t>
  </si>
  <si>
    <t>Cust 2883</t>
  </si>
  <si>
    <t>Becky Martin</t>
  </si>
  <si>
    <t>San Antonio</t>
  </si>
  <si>
    <t>REG100082</t>
  </si>
  <si>
    <t>Cust 5018</t>
  </si>
  <si>
    <t>Chad Sievert</t>
  </si>
  <si>
    <t>REG100083</t>
  </si>
  <si>
    <t>Cust 1231</t>
  </si>
  <si>
    <t>Jennifer Braxton</t>
  </si>
  <si>
    <t>REG100084</t>
  </si>
  <si>
    <t>Cust 2209</t>
  </si>
  <si>
    <t>Shirley Jackson</t>
  </si>
  <si>
    <t>REG100085</t>
  </si>
  <si>
    <t>Cust 6684</t>
  </si>
  <si>
    <t>REG100086</t>
  </si>
  <si>
    <t>Cust 5289</t>
  </si>
  <si>
    <t>Jim Kriz</t>
  </si>
  <si>
    <t>REG101189</t>
  </si>
  <si>
    <t>Cust 9159</t>
  </si>
  <si>
    <t>David Kendrick</t>
  </si>
  <si>
    <t>REG100087</t>
  </si>
  <si>
    <t>REG100088</t>
  </si>
  <si>
    <t>Cust 4844</t>
  </si>
  <si>
    <t>Robert Marley</t>
  </si>
  <si>
    <t>Monroe</t>
  </si>
  <si>
    <t>Louisiana</t>
  </si>
  <si>
    <t>REG100089</t>
  </si>
  <si>
    <t>Cust 3273</t>
  </si>
  <si>
    <t>Sally Knutson</t>
  </si>
  <si>
    <t>Fairfield</t>
  </si>
  <si>
    <t>Connecticut</t>
  </si>
  <si>
    <t>REG100090</t>
  </si>
  <si>
    <t>Cust 8160</t>
  </si>
  <si>
    <t>Frank Merwin</t>
  </si>
  <si>
    <t>REG100091</t>
  </si>
  <si>
    <t>Cust 4439</t>
  </si>
  <si>
    <t>Alice McCarthy</t>
  </si>
  <si>
    <t>Grand Prairie</t>
  </si>
  <si>
    <t>REG100092</t>
  </si>
  <si>
    <t>Cust 1127</t>
  </si>
  <si>
    <t>Mark Packer</t>
  </si>
  <si>
    <t>REG100093</t>
  </si>
  <si>
    <t>Cust 4696</t>
  </si>
  <si>
    <t>Mary Zewe</t>
  </si>
  <si>
    <t>Redlands</t>
  </si>
  <si>
    <t>REG100094</t>
  </si>
  <si>
    <t>Cust 3014</t>
  </si>
  <si>
    <t>Cassandra Brandow</t>
  </si>
  <si>
    <t>Hamilton</t>
  </si>
  <si>
    <t>REG100095</t>
  </si>
  <si>
    <t>Cust 2539</t>
  </si>
  <si>
    <t>Valerie Mitchum</t>
  </si>
  <si>
    <t>Westfield</t>
  </si>
  <si>
    <t>New Jersey</t>
  </si>
  <si>
    <t>REG100096</t>
  </si>
  <si>
    <t>Cust 3916</t>
  </si>
  <si>
    <t>Fred Hopkins</t>
  </si>
  <si>
    <t>REG100097</t>
  </si>
  <si>
    <t>Cust 6329</t>
  </si>
  <si>
    <t>Maria Bertelson</t>
  </si>
  <si>
    <t>Akron</t>
  </si>
  <si>
    <t>REG100098</t>
  </si>
  <si>
    <t>Cust 4384</t>
  </si>
  <si>
    <t>Bruce Stewart</t>
  </si>
  <si>
    <t>Denver</t>
  </si>
  <si>
    <t>REG100099</t>
  </si>
  <si>
    <t>Cust 7756</t>
  </si>
  <si>
    <t>Logan Currie</t>
  </si>
  <si>
    <t>Dallas</t>
  </si>
  <si>
    <t>REG100373</t>
  </si>
  <si>
    <t>Cust 6086</t>
  </si>
  <si>
    <t>Heather Kirkland</t>
  </si>
  <si>
    <t>REG100100</t>
  </si>
  <si>
    <t>REG100623</t>
  </si>
  <si>
    <t>Cust 3845</t>
  </si>
  <si>
    <t>Laurel Elliston</t>
  </si>
  <si>
    <t>Whittier</t>
  </si>
  <si>
    <t>REG100101</t>
  </si>
  <si>
    <t>REG100102</t>
  </si>
  <si>
    <t>Cust 9996</t>
  </si>
  <si>
    <t>Joseph Holt</t>
  </si>
  <si>
    <t>Saginaw</t>
  </si>
  <si>
    <t>REG100103</t>
  </si>
  <si>
    <t>Cust 1711</t>
  </si>
  <si>
    <t>Michael Stewart</t>
  </si>
  <si>
    <t>REG100797</t>
  </si>
  <si>
    <t>Cust 4522</t>
  </si>
  <si>
    <t>Victoria Wilson</t>
  </si>
  <si>
    <t>Medina</t>
  </si>
  <si>
    <t>REG100104</t>
  </si>
  <si>
    <t>REG100105</t>
  </si>
  <si>
    <t>Cust 4233</t>
  </si>
  <si>
    <t>Jonathan Howell</t>
  </si>
  <si>
    <t>REG100106</t>
  </si>
  <si>
    <t>Cust 4121</t>
  </si>
  <si>
    <t>Joni Blumstein</t>
  </si>
  <si>
    <t>Dublin</t>
  </si>
  <si>
    <t>REG101194</t>
  </si>
  <si>
    <t>Cust 9092</t>
  </si>
  <si>
    <t>David Smith</t>
  </si>
  <si>
    <t>Detroit</t>
  </si>
  <si>
    <t>REG100107</t>
  </si>
  <si>
    <t>REG100108</t>
  </si>
  <si>
    <t>Cust 9090</t>
  </si>
  <si>
    <t>Valerie Dominguez</t>
  </si>
  <si>
    <t>REG100997</t>
  </si>
  <si>
    <t>Cust 1983</t>
  </si>
  <si>
    <t>Erin Ashbrook</t>
  </si>
  <si>
    <t>REG100109</t>
  </si>
  <si>
    <t>REG100110</t>
  </si>
  <si>
    <t>Cust 8834</t>
  </si>
  <si>
    <t>Tampa</t>
  </si>
  <si>
    <t>REG100111</t>
  </si>
  <si>
    <t>Cust 9780</t>
  </si>
  <si>
    <t>David Bremer</t>
  </si>
  <si>
    <t>Santa Clara</t>
  </si>
  <si>
    <t>REG100112</t>
  </si>
  <si>
    <t>Cust 1293</t>
  </si>
  <si>
    <t>Ken Lonsdale</t>
  </si>
  <si>
    <t>REG100113</t>
  </si>
  <si>
    <t>Cust 3173</t>
  </si>
  <si>
    <t>Dianna Wilson</t>
  </si>
  <si>
    <t>Lakeville</t>
  </si>
  <si>
    <t>REG100114</t>
  </si>
  <si>
    <t>Cust 8641</t>
  </si>
  <si>
    <t>Logan Haushalter</t>
  </si>
  <si>
    <t>REG100115</t>
  </si>
  <si>
    <t>Cust 7656</t>
  </si>
  <si>
    <t>Kelly Collister</t>
  </si>
  <si>
    <t>San Diego</t>
  </si>
  <si>
    <t>REG100116</t>
  </si>
  <si>
    <t>Cust 5523</t>
  </si>
  <si>
    <t>Delfina Latchford</t>
  </si>
  <si>
    <t>REG100117</t>
  </si>
  <si>
    <t>Cust 2015</t>
  </si>
  <si>
    <t>Dan Reichenbach</t>
  </si>
  <si>
    <t>REG101130</t>
  </si>
  <si>
    <t>Cust 6895</t>
  </si>
  <si>
    <t>Craig Carreira</t>
  </si>
  <si>
    <t>REG100118</t>
  </si>
  <si>
    <t>REG100119</t>
  </si>
  <si>
    <t>Cust 1797</t>
  </si>
  <si>
    <t>Dorris liebe</t>
  </si>
  <si>
    <t>REG100120</t>
  </si>
  <si>
    <t>Cust 9969</t>
  </si>
  <si>
    <t>Sean Braxton</t>
  </si>
  <si>
    <t>REG100121</t>
  </si>
  <si>
    <t>Cust 1815</t>
  </si>
  <si>
    <t>Roy Collins</t>
  </si>
  <si>
    <t>REG101047</t>
  </si>
  <si>
    <t>Cust 7773</t>
  </si>
  <si>
    <t>Alan Hwang</t>
  </si>
  <si>
    <t>Brentwood</t>
  </si>
  <si>
    <t>REG100122</t>
  </si>
  <si>
    <t>REG100123</t>
  </si>
  <si>
    <t>Cust 1499</t>
  </si>
  <si>
    <t>Claudia Bergmann</t>
  </si>
  <si>
    <t>Chapel Hill</t>
  </si>
  <si>
    <t>REG100958</t>
  </si>
  <si>
    <t>Cust 3809</t>
  </si>
  <si>
    <t>Morristown</t>
  </si>
  <si>
    <t>REG100124</t>
  </si>
  <si>
    <t>REG100125</t>
  </si>
  <si>
    <t>Cust 7824</t>
  </si>
  <si>
    <t>Christine Abelman</t>
  </si>
  <si>
    <t>Cincinnati</t>
  </si>
  <si>
    <t>REG100126</t>
  </si>
  <si>
    <t>Cust 7258</t>
  </si>
  <si>
    <t>Kristen Hastings</t>
  </si>
  <si>
    <t>REG100127</t>
  </si>
  <si>
    <t>Cust 1151</t>
  </si>
  <si>
    <t>REG100128</t>
  </si>
  <si>
    <t>Cust 6486</t>
  </si>
  <si>
    <t>Barry Blumstein</t>
  </si>
  <si>
    <t>Inglewood</t>
  </si>
  <si>
    <t>REG100129</t>
  </si>
  <si>
    <t>Cust 4034</t>
  </si>
  <si>
    <t>Andrew Gjertsen</t>
  </si>
  <si>
    <t>REG100130</t>
  </si>
  <si>
    <t>Cust 9794</t>
  </si>
  <si>
    <t>REG100530</t>
  </si>
  <si>
    <t>Cust 2414</t>
  </si>
  <si>
    <t>Jas O'Carroll</t>
  </si>
  <si>
    <t>REG100131</t>
  </si>
  <si>
    <t>REG100132</t>
  </si>
  <si>
    <t>Cust 9024</t>
  </si>
  <si>
    <t>REG100133</t>
  </si>
  <si>
    <t>Cust 2663</t>
  </si>
  <si>
    <t>Alan Haines</t>
  </si>
  <si>
    <t>Tamarac</t>
  </si>
  <si>
    <t>REG100134</t>
  </si>
  <si>
    <t>Cust 2293</t>
  </si>
  <si>
    <t>Nick Zandusky</t>
  </si>
  <si>
    <t>REG100135</t>
  </si>
  <si>
    <t>Cust 8963</t>
  </si>
  <si>
    <t>Kelly Lampkin</t>
  </si>
  <si>
    <t>Colorado Springs</t>
  </si>
  <si>
    <t>REG100136</t>
  </si>
  <si>
    <t>Cust 9238</t>
  </si>
  <si>
    <t>Belleville</t>
  </si>
  <si>
    <t>REG100137</t>
  </si>
  <si>
    <t>Cust 1390</t>
  </si>
  <si>
    <t>REG100138</t>
  </si>
  <si>
    <t>Cust 8548</t>
  </si>
  <si>
    <t>Alan Schoenberger</t>
  </si>
  <si>
    <t>REG100139</t>
  </si>
  <si>
    <t>Cust 2919</t>
  </si>
  <si>
    <t>Taylor</t>
  </si>
  <si>
    <t>REG100140</t>
  </si>
  <si>
    <t>Cust 5847</t>
  </si>
  <si>
    <t>Corey Roper</t>
  </si>
  <si>
    <t>Lakewood</t>
  </si>
  <si>
    <t>REG100141</t>
  </si>
  <si>
    <t>Cust 5711</t>
  </si>
  <si>
    <t>Shahid Hopkins</t>
  </si>
  <si>
    <t>Arlington</t>
  </si>
  <si>
    <t>REG100142</t>
  </si>
  <si>
    <t>Cust 5461</t>
  </si>
  <si>
    <t>Ben Peterman</t>
  </si>
  <si>
    <t>Arvada</t>
  </si>
  <si>
    <t>REG100143</t>
  </si>
  <si>
    <t>Cust 8905</t>
  </si>
  <si>
    <t>Thomas Seio</t>
  </si>
  <si>
    <t>Hackensack</t>
  </si>
  <si>
    <t>REG100248</t>
  </si>
  <si>
    <t>Cust 9618</t>
  </si>
  <si>
    <t>Andy Gerbode</t>
  </si>
  <si>
    <t>Saint Petersburg</t>
  </si>
  <si>
    <t>REG100144</t>
  </si>
  <si>
    <t>REG100145</t>
  </si>
  <si>
    <t>Cust 5203</t>
  </si>
  <si>
    <t>Sung Pak</t>
  </si>
  <si>
    <t>REG100146</t>
  </si>
  <si>
    <t>Cust 1732</t>
  </si>
  <si>
    <t>Nathan Mautz</t>
  </si>
  <si>
    <t>REG100147</t>
  </si>
  <si>
    <t>Cust 4734</t>
  </si>
  <si>
    <t>Frank Atkinson</t>
  </si>
  <si>
    <t>Long Beach</t>
  </si>
  <si>
    <t>REG100411</t>
  </si>
  <si>
    <t>Cust 5895</t>
  </si>
  <si>
    <t>Grace Kelly</t>
  </si>
  <si>
    <t>Hesperia</t>
  </si>
  <si>
    <t>REG100148</t>
  </si>
  <si>
    <t>REG100149</t>
  </si>
  <si>
    <t>Cust 9691</t>
  </si>
  <si>
    <t>Don Jones</t>
  </si>
  <si>
    <t>Murfreesboro</t>
  </si>
  <si>
    <t>REG100150</t>
  </si>
  <si>
    <t>Cust 5406</t>
  </si>
  <si>
    <t>Patrick O'Brill</t>
  </si>
  <si>
    <t>REG100478</t>
  </si>
  <si>
    <t>Cust 5750</t>
  </si>
  <si>
    <t>John Lucas</t>
  </si>
  <si>
    <t>REG100151</t>
  </si>
  <si>
    <t>Doug Bickford</t>
  </si>
  <si>
    <t>REG101165</t>
  </si>
  <si>
    <t>Cust 8280</t>
  </si>
  <si>
    <t>Alyssa Crouse</t>
  </si>
  <si>
    <t>REG100153</t>
  </si>
  <si>
    <t>REG100154</t>
  </si>
  <si>
    <t>Cust 4358</t>
  </si>
  <si>
    <t>Layton</t>
  </si>
  <si>
    <t>REG100155</t>
  </si>
  <si>
    <t>Cust 3588</t>
  </si>
  <si>
    <t>Austin</t>
  </si>
  <si>
    <t>REG100156</t>
  </si>
  <si>
    <t>Cust 4539</t>
  </si>
  <si>
    <t>Clay Cheatham</t>
  </si>
  <si>
    <t>REG100157</t>
  </si>
  <si>
    <t>Cust 7067</t>
  </si>
  <si>
    <t>Tamara Dahlen</t>
  </si>
  <si>
    <t>Lowell</t>
  </si>
  <si>
    <t>Massachusetts</t>
  </si>
  <si>
    <t>REG100158</t>
  </si>
  <si>
    <t>Cust 7720</t>
  </si>
  <si>
    <t>Adam Bellavance</t>
  </si>
  <si>
    <t>REG100159</t>
  </si>
  <si>
    <t>Cust 5668</t>
  </si>
  <si>
    <t>Jeremy Lonsdale</t>
  </si>
  <si>
    <t>REG101332</t>
  </si>
  <si>
    <t>Cust 8367</t>
  </si>
  <si>
    <t>REG100160</t>
  </si>
  <si>
    <t>REG100161</t>
  </si>
  <si>
    <t>Cust 4438</t>
  </si>
  <si>
    <t>Victoria Brennan</t>
  </si>
  <si>
    <t>Georgia</t>
  </si>
  <si>
    <t>REG100162</t>
  </si>
  <si>
    <t>Cust 3481</t>
  </si>
  <si>
    <t>Katrina Willman</t>
  </si>
  <si>
    <t>REG100163</t>
  </si>
  <si>
    <t>Cust 1489</t>
  </si>
  <si>
    <t>Julia Dunbar</t>
  </si>
  <si>
    <t>REG100164</t>
  </si>
  <si>
    <t>Cust 6649</t>
  </si>
  <si>
    <t>Michael Kennedy</t>
  </si>
  <si>
    <t>Manchester</t>
  </si>
  <si>
    <t>REG100165</t>
  </si>
  <si>
    <t>Cust 6114</t>
  </si>
  <si>
    <t>Guy Thornton</t>
  </si>
  <si>
    <t>Harlingen</t>
  </si>
  <si>
    <t>REG100166</t>
  </si>
  <si>
    <t>Cust 9589</t>
  </si>
  <si>
    <t>Arthur Gainer</t>
  </si>
  <si>
    <t>Tucson</t>
  </si>
  <si>
    <t>REG100167</t>
  </si>
  <si>
    <t>Cust 8184</t>
  </si>
  <si>
    <t>Muhammed MacIntyre</t>
  </si>
  <si>
    <t>Quincy</t>
  </si>
  <si>
    <t>REG100168</t>
  </si>
  <si>
    <t>Cust 2490</t>
  </si>
  <si>
    <t>Allen Rosenblatt</t>
  </si>
  <si>
    <t>REG100169</t>
  </si>
  <si>
    <t>Cust 1647</t>
  </si>
  <si>
    <t>Russell Applegate</t>
  </si>
  <si>
    <t>REG100170</t>
  </si>
  <si>
    <t>Cust 2017</t>
  </si>
  <si>
    <t>Alejandro Savely</t>
  </si>
  <si>
    <t>REG100171</t>
  </si>
  <si>
    <t>Cust 3446</t>
  </si>
  <si>
    <t>Laura Armstrong</t>
  </si>
  <si>
    <t>REG100172</t>
  </si>
  <si>
    <t>Cust 4877</t>
  </si>
  <si>
    <t>Denny Ordway</t>
  </si>
  <si>
    <t>Pembroke Pines</t>
  </si>
  <si>
    <t>REG100173</t>
  </si>
  <si>
    <t>Cust 9112</t>
  </si>
  <si>
    <t>Dean Katz</t>
  </si>
  <si>
    <t>REG100174</t>
  </si>
  <si>
    <t>Cust 8172</t>
  </si>
  <si>
    <t>Nathan Gelder</t>
  </si>
  <si>
    <t>REG100175</t>
  </si>
  <si>
    <t>Cust 4597</t>
  </si>
  <si>
    <t>Mike Vittorini</t>
  </si>
  <si>
    <t>REG100176</t>
  </si>
  <si>
    <t>Cust 3690</t>
  </si>
  <si>
    <t>Jack Garza</t>
  </si>
  <si>
    <t>Des Moines</t>
  </si>
  <si>
    <t>REG100177</t>
  </si>
  <si>
    <t>Cust 2893</t>
  </si>
  <si>
    <t>Bart Pistole</t>
  </si>
  <si>
    <t>Peoria</t>
  </si>
  <si>
    <t>REG100178</t>
  </si>
  <si>
    <t>Cust 5602</t>
  </si>
  <si>
    <t>Victor Preis</t>
  </si>
  <si>
    <t>Las Vegas</t>
  </si>
  <si>
    <t>Nevada</t>
  </si>
  <si>
    <t>REG100179</t>
  </si>
  <si>
    <t>Cust 5616</t>
  </si>
  <si>
    <t>Saphhira Shifley</t>
  </si>
  <si>
    <t>Warwick</t>
  </si>
  <si>
    <t>Rhode Island</t>
  </si>
  <si>
    <t>REG100180</t>
  </si>
  <si>
    <t>Cust 1312</t>
  </si>
  <si>
    <t>REG100181</t>
  </si>
  <si>
    <t>Cust 6315</t>
  </si>
  <si>
    <t>Anna Gayman</t>
  </si>
  <si>
    <t>REG100182</t>
  </si>
  <si>
    <t>Cust 1224</t>
  </si>
  <si>
    <t>Luke Foster</t>
  </si>
  <si>
    <t>Miami</t>
  </si>
  <si>
    <t>REG100183</t>
  </si>
  <si>
    <t>Cust 7182</t>
  </si>
  <si>
    <t>REG100184</t>
  </si>
  <si>
    <t>Cust 7901</t>
  </si>
  <si>
    <t>Roy FranzÃƒÂ¶sisch</t>
  </si>
  <si>
    <t>REG100854</t>
  </si>
  <si>
    <t>Cust 1736</t>
  </si>
  <si>
    <t>Keith Herrera</t>
  </si>
  <si>
    <t>REG100185</t>
  </si>
  <si>
    <t>REG100186</t>
  </si>
  <si>
    <t>Cust 7795</t>
  </si>
  <si>
    <t>Kimberly Carter</t>
  </si>
  <si>
    <t>REG100187</t>
  </si>
  <si>
    <t>Cust 2471</t>
  </si>
  <si>
    <t>Caroline Jumper</t>
  </si>
  <si>
    <t>Huntington Beach</t>
  </si>
  <si>
    <t>REG100188</t>
  </si>
  <si>
    <t>Cust 3068</t>
  </si>
  <si>
    <t>Philip Brown</t>
  </si>
  <si>
    <t>REG100189</t>
  </si>
  <si>
    <t>Cust 3848</t>
  </si>
  <si>
    <t>Richmond</t>
  </si>
  <si>
    <t>REG100190</t>
  </si>
  <si>
    <t>Cust 7777</t>
  </si>
  <si>
    <t>REG100191</t>
  </si>
  <si>
    <t>Cust 6613</t>
  </si>
  <si>
    <t>Louisville</t>
  </si>
  <si>
    <t>REG100192</t>
  </si>
  <si>
    <t>Cust 2326</t>
  </si>
  <si>
    <t>Michael Paige</t>
  </si>
  <si>
    <t>Lawrence</t>
  </si>
  <si>
    <t>REG100193</t>
  </si>
  <si>
    <t>Cust 8304</t>
  </si>
  <si>
    <t>Natalie Fritzler</t>
  </si>
  <si>
    <t>Mississippi</t>
  </si>
  <si>
    <t>REG100194</t>
  </si>
  <si>
    <t>Cust 3630</t>
  </si>
  <si>
    <t>Canton</t>
  </si>
  <si>
    <t>REG100195</t>
  </si>
  <si>
    <t>Cust 8617</t>
  </si>
  <si>
    <t>Shirley Daniels</t>
  </si>
  <si>
    <t>New Rochelle</t>
  </si>
  <si>
    <t>REG100196</t>
  </si>
  <si>
    <t>Cust 3530</t>
  </si>
  <si>
    <t>Ken Heidel</t>
  </si>
  <si>
    <t>REG100197</t>
  </si>
  <si>
    <t>Cust 3884</t>
  </si>
  <si>
    <t>Ross Baird</t>
  </si>
  <si>
    <t>Gastonia</t>
  </si>
  <si>
    <t>REG100198</t>
  </si>
  <si>
    <t>Cust 5739</t>
  </si>
  <si>
    <t>REG100199</t>
  </si>
  <si>
    <t>Cust 9707</t>
  </si>
  <si>
    <t>Mike Kennedy</t>
  </si>
  <si>
    <t>Jacksonville</t>
  </si>
  <si>
    <t>REG100200</t>
  </si>
  <si>
    <t>Cust 9288</t>
  </si>
  <si>
    <t>Philisse Overcash</t>
  </si>
  <si>
    <t>REG100201</t>
  </si>
  <si>
    <t>Cust 1216</t>
  </si>
  <si>
    <t>Brenda Bowman</t>
  </si>
  <si>
    <t>REG100202</t>
  </si>
  <si>
    <t>Cust 2489</t>
  </si>
  <si>
    <t>REG100203</t>
  </si>
  <si>
    <t>Cust 7171</t>
  </si>
  <si>
    <t>REG100204</t>
  </si>
  <si>
    <t>Cust 9125</t>
  </si>
  <si>
    <t>Troy Blackwell</t>
  </si>
  <si>
    <t>REG100410</t>
  </si>
  <si>
    <t>Cust 9697</t>
  </si>
  <si>
    <t>Raymond Buch</t>
  </si>
  <si>
    <t>Auburn</t>
  </si>
  <si>
    <t>REG100205</t>
  </si>
  <si>
    <t>REG100206</t>
  </si>
  <si>
    <t>Cust 8171</t>
  </si>
  <si>
    <t>Ed Braxton</t>
  </si>
  <si>
    <t>REG100207</t>
  </si>
  <si>
    <t>Cust 2004</t>
  </si>
  <si>
    <t>Norman</t>
  </si>
  <si>
    <t>Sanjit Chand</t>
  </si>
  <si>
    <t>REG100209</t>
  </si>
  <si>
    <t>Cust 9837</t>
  </si>
  <si>
    <t>REG100210</t>
  </si>
  <si>
    <t>Cust 2082</t>
  </si>
  <si>
    <t>REG101196</t>
  </si>
  <si>
    <t>Cust 3001</t>
  </si>
  <si>
    <t>Tanja Norvell</t>
  </si>
  <si>
    <t>REG100211</t>
  </si>
  <si>
    <t>REG100212</t>
  </si>
  <si>
    <t>Cust 6161</t>
  </si>
  <si>
    <t>Joni Sundaresam</t>
  </si>
  <si>
    <t>Park Ridge</t>
  </si>
  <si>
    <t>REG100213</t>
  </si>
  <si>
    <t>Cust 5220</t>
  </si>
  <si>
    <t>Amarillo</t>
  </si>
  <si>
    <t>REG100214</t>
  </si>
  <si>
    <t>Cust 3386</t>
  </si>
  <si>
    <t>REG100215</t>
  </si>
  <si>
    <t>Cust 1591</t>
  </si>
  <si>
    <t>Maya Herman</t>
  </si>
  <si>
    <t>Lindenhurst</t>
  </si>
  <si>
    <t>REG100216</t>
  </si>
  <si>
    <t>Cust 3434</t>
  </si>
  <si>
    <t>Jeremy Pistek</t>
  </si>
  <si>
    <t>REG100217</t>
  </si>
  <si>
    <t>Cust 1501</t>
  </si>
  <si>
    <t>REG100218</t>
  </si>
  <si>
    <t>Cust 9683</t>
  </si>
  <si>
    <t>Jeremy Ellison</t>
  </si>
  <si>
    <t>REG100219</t>
  </si>
  <si>
    <t>Cust 5416</t>
  </si>
  <si>
    <t>John Grady</t>
  </si>
  <si>
    <t>REG101366</t>
  </si>
  <si>
    <t>Cust 2153</t>
  </si>
  <si>
    <t>Xylona Preis</t>
  </si>
  <si>
    <t>REG100220</t>
  </si>
  <si>
    <t>REG100221</t>
  </si>
  <si>
    <t>Cust 3572</t>
  </si>
  <si>
    <t>Erin Mull</t>
  </si>
  <si>
    <t>REG100222</t>
  </si>
  <si>
    <t>Cust 6372</t>
  </si>
  <si>
    <t>Michelle Tran</t>
  </si>
  <si>
    <t>REG100223</t>
  </si>
  <si>
    <t>Cust 6109</t>
  </si>
  <si>
    <t>Sue Ann Reed</t>
  </si>
  <si>
    <t>REG100281</t>
  </si>
  <si>
    <t>Cust 5234</t>
  </si>
  <si>
    <t>Carl Weiss</t>
  </si>
  <si>
    <t>Huntsville</t>
  </si>
  <si>
    <t>REG100224</t>
  </si>
  <si>
    <t>REG100499</t>
  </si>
  <si>
    <t>Cust 5530</t>
  </si>
  <si>
    <t>Astrea Jones</t>
  </si>
  <si>
    <t>REG100225</t>
  </si>
  <si>
    <t>REG100226</t>
  </si>
  <si>
    <t>Cust 5398</t>
  </si>
  <si>
    <t>Sonia Sunley</t>
  </si>
  <si>
    <t>REG100450</t>
  </si>
  <si>
    <t>Cust 3247</t>
  </si>
  <si>
    <t>Rose O'Brian</t>
  </si>
  <si>
    <t>REG100227</t>
  </si>
  <si>
    <t>REG100228</t>
  </si>
  <si>
    <t>Cust 7137</t>
  </si>
  <si>
    <t>Maribeth Dona</t>
  </si>
  <si>
    <t>Fayetteville</t>
  </si>
  <si>
    <t>Arkansas</t>
  </si>
  <si>
    <t>REG100229</t>
  </si>
  <si>
    <t>Cust 4627</t>
  </si>
  <si>
    <t>Costa Mesa</t>
  </si>
  <si>
    <t>REG100230</t>
  </si>
  <si>
    <t>Cust 4878</t>
  </si>
  <si>
    <t>Maribeth Yedwab</t>
  </si>
  <si>
    <t>Parker</t>
  </si>
  <si>
    <t>REG100231</t>
  </si>
  <si>
    <t>Cust 2779</t>
  </si>
  <si>
    <t>REG100232</t>
  </si>
  <si>
    <t>Cust 8606</t>
  </si>
  <si>
    <t>Christopher Martinez</t>
  </si>
  <si>
    <t>Atlanta</t>
  </si>
  <si>
    <t>REG100233</t>
  </si>
  <si>
    <t>Cust 9599</t>
  </si>
  <si>
    <t>Lynn Smith</t>
  </si>
  <si>
    <t>Gladstone</t>
  </si>
  <si>
    <t>REG100234</t>
  </si>
  <si>
    <t>Cust 4500</t>
  </si>
  <si>
    <t>REG100235</t>
  </si>
  <si>
    <t>Cust 4173</t>
  </si>
  <si>
    <t>Bradley Nguyen</t>
  </si>
  <si>
    <t>REG100236</t>
  </si>
  <si>
    <t>Cust 7607</t>
  </si>
  <si>
    <t>Great Falls</t>
  </si>
  <si>
    <t>Montana</t>
  </si>
  <si>
    <t>REG100237</t>
  </si>
  <si>
    <t>Cust 4768</t>
  </si>
  <si>
    <t>Dean Braden</t>
  </si>
  <si>
    <t>REG100238</t>
  </si>
  <si>
    <t>Cust 5746</t>
  </si>
  <si>
    <t>Matt Connell</t>
  </si>
  <si>
    <t>REG100239</t>
  </si>
  <si>
    <t>Cust 3002</t>
  </si>
  <si>
    <t>REG100240</t>
  </si>
  <si>
    <t>Cust 3237</t>
  </si>
  <si>
    <t>Brian Dahlen</t>
  </si>
  <si>
    <t>REG100241</t>
  </si>
  <si>
    <t>Cust 6437</t>
  </si>
  <si>
    <t>Patricia Hirasaki</t>
  </si>
  <si>
    <t>Lakeland</t>
  </si>
  <si>
    <t>REG100242</t>
  </si>
  <si>
    <t>Cust 8806</t>
  </si>
  <si>
    <t>Mike Gockenbach</t>
  </si>
  <si>
    <t>REG100243</t>
  </si>
  <si>
    <t>Cust 8678</t>
  </si>
  <si>
    <t>Karen Bern</t>
  </si>
  <si>
    <t>REG100244</t>
  </si>
  <si>
    <t>Cust 9649</t>
  </si>
  <si>
    <t>Jasper Cacioppo</t>
  </si>
  <si>
    <t>REG100245</t>
  </si>
  <si>
    <t>Cust 1960</t>
  </si>
  <si>
    <t>Rob Lucas</t>
  </si>
  <si>
    <t>Montgomery</t>
  </si>
  <si>
    <t>REG100246</t>
  </si>
  <si>
    <t>Cust 3910</t>
  </si>
  <si>
    <t>Allen Armold</t>
  </si>
  <si>
    <t>Mesa</t>
  </si>
  <si>
    <t>Emily Phan</t>
  </si>
  <si>
    <t>REG100249</t>
  </si>
  <si>
    <t>Cust 2279</t>
  </si>
  <si>
    <t>Darren Koutras</t>
  </si>
  <si>
    <t>REG100250</t>
  </si>
  <si>
    <t>Cust 4689</t>
  </si>
  <si>
    <t>Bradley Drucker</t>
  </si>
  <si>
    <t>Green Bay</t>
  </si>
  <si>
    <t>REG100251</t>
  </si>
  <si>
    <t>Cust 7381</t>
  </si>
  <si>
    <t>REG100252</t>
  </si>
  <si>
    <t>Cust 2724</t>
  </si>
  <si>
    <t>Liz MacKendrick</t>
  </si>
  <si>
    <t>REG100253</t>
  </si>
  <si>
    <t>Cust 2823</t>
  </si>
  <si>
    <t>REG101287</t>
  </si>
  <si>
    <t>Cust 9402</t>
  </si>
  <si>
    <t>Adrian Shami</t>
  </si>
  <si>
    <t>REG100254</t>
  </si>
  <si>
    <t>REG100255</t>
  </si>
  <si>
    <t>Cust 6561</t>
  </si>
  <si>
    <t>REG100256</t>
  </si>
  <si>
    <t>Cust 3116</t>
  </si>
  <si>
    <t>Bill Donatelli</t>
  </si>
  <si>
    <t>REG100257</t>
  </si>
  <si>
    <t>Cust 1015</t>
  </si>
  <si>
    <t>REG100258</t>
  </si>
  <si>
    <t>Cust 1207</t>
  </si>
  <si>
    <t>Greg Tran</t>
  </si>
  <si>
    <t>REG100259</t>
  </si>
  <si>
    <t>Cust 2501</t>
  </si>
  <si>
    <t>Anaheim</t>
  </si>
  <si>
    <t>REG100260</t>
  </si>
  <si>
    <t>Cust 2330</t>
  </si>
  <si>
    <t>Ashley Jarboe</t>
  </si>
  <si>
    <t>REG100261</t>
  </si>
  <si>
    <t>Cust 7436</t>
  </si>
  <si>
    <t>Olvera Toch</t>
  </si>
  <si>
    <t>REG100262</t>
  </si>
  <si>
    <t>Cust 2762</t>
  </si>
  <si>
    <t>Liz Pelletier</t>
  </si>
  <si>
    <t>REG100263</t>
  </si>
  <si>
    <t>Cust 3599</t>
  </si>
  <si>
    <t>Cynthia Arntzen</t>
  </si>
  <si>
    <t>REG100264</t>
  </si>
  <si>
    <t>Cust 4127</t>
  </si>
  <si>
    <t>Jeremy Farry</t>
  </si>
  <si>
    <t>REG101090</t>
  </si>
  <si>
    <t>Cust 6855</t>
  </si>
  <si>
    <t>Frank Preis</t>
  </si>
  <si>
    <t>REG100340</t>
  </si>
  <si>
    <t>REG100265</t>
  </si>
  <si>
    <t>REG100266</t>
  </si>
  <si>
    <t>Cust 7017</t>
  </si>
  <si>
    <t>Ellis Ballard</t>
  </si>
  <si>
    <t>REG100267</t>
  </si>
  <si>
    <t>Cust 6957</t>
  </si>
  <si>
    <t>Jennifer Ferguson</t>
  </si>
  <si>
    <t>REG100268</t>
  </si>
  <si>
    <t>Cust 9822</t>
  </si>
  <si>
    <t>Sarah Foster</t>
  </si>
  <si>
    <t>Marysville</t>
  </si>
  <si>
    <t>REG100269</t>
  </si>
  <si>
    <t>Cust 7425</t>
  </si>
  <si>
    <t>Trudy Glocke</t>
  </si>
  <si>
    <t>Carlos Soltero</t>
  </si>
  <si>
    <t>REG100271</t>
  </si>
  <si>
    <t>Cust 8897</t>
  </si>
  <si>
    <t>Charles Crestani</t>
  </si>
  <si>
    <t>REG100272</t>
  </si>
  <si>
    <t>Cust 9816</t>
  </si>
  <si>
    <t>Dianna Vittorini</t>
  </si>
  <si>
    <t>REG100273</t>
  </si>
  <si>
    <t>Cust 8227</t>
  </si>
  <si>
    <t>Bruce Degenhardt</t>
  </si>
  <si>
    <t>REG101019</t>
  </si>
  <si>
    <t>Cust 4990</t>
  </si>
  <si>
    <t>Zuschuss Carroll</t>
  </si>
  <si>
    <t>Salem</t>
  </si>
  <si>
    <t>REG100274</t>
  </si>
  <si>
    <t>REG100275</t>
  </si>
  <si>
    <t>Cust 5834</t>
  </si>
  <si>
    <t>Melanie Seite</t>
  </si>
  <si>
    <t>Laredo</t>
  </si>
  <si>
    <t>REG100276</t>
  </si>
  <si>
    <t>Cust 7330</t>
  </si>
  <si>
    <t>Lena Radford</t>
  </si>
  <si>
    <t>REG100277</t>
  </si>
  <si>
    <t>Cust 5273</t>
  </si>
  <si>
    <t>Theone Pippenger</t>
  </si>
  <si>
    <t>REG100882</t>
  </si>
  <si>
    <t>Cust 6138</t>
  </si>
  <si>
    <t>Chloris Kastensmidt</t>
  </si>
  <si>
    <t>REG100278</t>
  </si>
  <si>
    <t>REG100279</t>
  </si>
  <si>
    <t>Cust 2084</t>
  </si>
  <si>
    <t>Alan Shonely</t>
  </si>
  <si>
    <t>REG100280</t>
  </si>
  <si>
    <t>Cust 2799</t>
  </si>
  <si>
    <t>Andrew Roberts</t>
  </si>
  <si>
    <t>Nona Balk</t>
  </si>
  <si>
    <t>REG100282</t>
  </si>
  <si>
    <t>Cust 3051</t>
  </si>
  <si>
    <t>Giulietta Dortch</t>
  </si>
  <si>
    <t>REG100283</t>
  </si>
  <si>
    <t>Cust 5456</t>
  </si>
  <si>
    <t>Clytie Kelty</t>
  </si>
  <si>
    <t>Grove City</t>
  </si>
  <si>
    <t>REG100284</t>
  </si>
  <si>
    <t>Cust 6029</t>
  </si>
  <si>
    <t>Nat Gilpin</t>
  </si>
  <si>
    <t>REG100978</t>
  </si>
  <si>
    <t>Cust 4002</t>
  </si>
  <si>
    <t>Christina Anderson</t>
  </si>
  <si>
    <t>REG100285</t>
  </si>
  <si>
    <t>REG100286</t>
  </si>
  <si>
    <t>Cust 5830</t>
  </si>
  <si>
    <t>Sylvia Foulston</t>
  </si>
  <si>
    <t>Dearborn</t>
  </si>
  <si>
    <t>REG100680</t>
  </si>
  <si>
    <t>Cust 8088</t>
  </si>
  <si>
    <t>Meg O'Connel</t>
  </si>
  <si>
    <t>REG100287</t>
  </si>
  <si>
    <t>REG100288</t>
  </si>
  <si>
    <t>Cust 6455</t>
  </si>
  <si>
    <t>Annie Thurman</t>
  </si>
  <si>
    <t>REG100289</t>
  </si>
  <si>
    <t>Cust 4117</t>
  </si>
  <si>
    <t>REG100515</t>
  </si>
  <si>
    <t>Cust 1385</t>
  </si>
  <si>
    <t>Fred McMath</t>
  </si>
  <si>
    <t>REG100290</t>
  </si>
  <si>
    <t>REG100291</t>
  </si>
  <si>
    <t>Cust 5185</t>
  </si>
  <si>
    <t>REG100292</t>
  </si>
  <si>
    <t>Cust 8704</t>
  </si>
  <si>
    <t>Denny Joy</t>
  </si>
  <si>
    <t>Warner Robins</t>
  </si>
  <si>
    <t>REG100293</t>
  </si>
  <si>
    <t>Cust 3528</t>
  </si>
  <si>
    <t>Max Engle</t>
  </si>
  <si>
    <t>REG100294</t>
  </si>
  <si>
    <t>Cust 3907</t>
  </si>
  <si>
    <t>Vallejo</t>
  </si>
  <si>
    <t>REG100295</t>
  </si>
  <si>
    <t>Cust 9005</t>
  </si>
  <si>
    <t>Justin Deggeller</t>
  </si>
  <si>
    <t>REG100296</t>
  </si>
  <si>
    <t>Cust 3635</t>
  </si>
  <si>
    <t>John Lee</t>
  </si>
  <si>
    <t>Mission Viejo</t>
  </si>
  <si>
    <t>REG100297</t>
  </si>
  <si>
    <t>Cust 2122</t>
  </si>
  <si>
    <t>Sean Christensen</t>
  </si>
  <si>
    <t>Rochester Hills</t>
  </si>
  <si>
    <t>REG100298</t>
  </si>
  <si>
    <t>Cust 4467</t>
  </si>
  <si>
    <t>Plainfield</t>
  </si>
  <si>
    <t>REG100299</t>
  </si>
  <si>
    <t>Cust 6146</t>
  </si>
  <si>
    <t>Chuck Clark</t>
  </si>
  <si>
    <t>REG100300</t>
  </si>
  <si>
    <t>Cust 4001</t>
  </si>
  <si>
    <t>Sierra Vista</t>
  </si>
  <si>
    <t>REG100301</t>
  </si>
  <si>
    <t>Cust 3365</t>
  </si>
  <si>
    <t>Anthony Rawles</t>
  </si>
  <si>
    <t>Vancouver</t>
  </si>
  <si>
    <t>REG100302</t>
  </si>
  <si>
    <t>Cust 2194</t>
  </si>
  <si>
    <t>Steven Roelle</t>
  </si>
  <si>
    <t>REG100702</t>
  </si>
  <si>
    <t>Cust 7942</t>
  </si>
  <si>
    <t>REG100303</t>
  </si>
  <si>
    <t>REG100304</t>
  </si>
  <si>
    <t>Cust 8451</t>
  </si>
  <si>
    <t>Craig Reiter</t>
  </si>
  <si>
    <t>REG100305</t>
  </si>
  <si>
    <t>Cust 4238</t>
  </si>
  <si>
    <t>Eugene Hildebrand</t>
  </si>
  <si>
    <t>REG100306</t>
  </si>
  <si>
    <t>Cust 2529</t>
  </si>
  <si>
    <t>REG100307</t>
  </si>
  <si>
    <t>Cust 7057</t>
  </si>
  <si>
    <t>Sibella Parks</t>
  </si>
  <si>
    <t>REG100465</t>
  </si>
  <si>
    <t>Cust 9069</t>
  </si>
  <si>
    <t>REG100308</t>
  </si>
  <si>
    <t>REG100309</t>
  </si>
  <si>
    <t>Cust 5858</t>
  </si>
  <si>
    <t>Tiffany House</t>
  </si>
  <si>
    <t>REG100310</t>
  </si>
  <si>
    <t>Cust 2712</t>
  </si>
  <si>
    <t>Resi PÃƒÂ¶lking</t>
  </si>
  <si>
    <t>Cleveland</t>
  </si>
  <si>
    <t>REG100311</t>
  </si>
  <si>
    <t>Cust 7052</t>
  </si>
  <si>
    <t>REG100821</t>
  </si>
  <si>
    <t>Cust 9397</t>
  </si>
  <si>
    <t>REG100312</t>
  </si>
  <si>
    <t>REG100313</t>
  </si>
  <si>
    <t>Cust 4614</t>
  </si>
  <si>
    <t>Rob Beeghly</t>
  </si>
  <si>
    <t>REG100314</t>
  </si>
  <si>
    <t>Cust 1573</t>
  </si>
  <si>
    <t>Carol Darley</t>
  </si>
  <si>
    <t>Tyler</t>
  </si>
  <si>
    <t>REG100315</t>
  </si>
  <si>
    <t>Cust 5660</t>
  </si>
  <si>
    <t>Doug Jacobs</t>
  </si>
  <si>
    <t>REG100316</t>
  </si>
  <si>
    <t>Cust 3952</t>
  </si>
  <si>
    <t>Grant Thornton</t>
  </si>
  <si>
    <t>Burlington</t>
  </si>
  <si>
    <t>REG100317</t>
  </si>
  <si>
    <t>Cust 5407</t>
  </si>
  <si>
    <t>Michael Chen</t>
  </si>
  <si>
    <t>REG100318</t>
  </si>
  <si>
    <t>Cust 9595</t>
  </si>
  <si>
    <t>Ralph Arnett</t>
  </si>
  <si>
    <t>REG100319</t>
  </si>
  <si>
    <t>Cust 3245</t>
  </si>
  <si>
    <t>Naresj Patel</t>
  </si>
  <si>
    <t>Waynesboro</t>
  </si>
  <si>
    <t>REG100320</t>
  </si>
  <si>
    <t>Cust 7180</t>
  </si>
  <si>
    <t>Alan Barnes</t>
  </si>
  <si>
    <t>REG100321</t>
  </si>
  <si>
    <t>Cust 5973</t>
  </si>
  <si>
    <t>Jesus Ocampo</t>
  </si>
  <si>
    <t>Chester</t>
  </si>
  <si>
    <t>REG100322</t>
  </si>
  <si>
    <t>Cust 4310</t>
  </si>
  <si>
    <t>REG100323</t>
  </si>
  <si>
    <t>Cust 6243</t>
  </si>
  <si>
    <t>REG100324</t>
  </si>
  <si>
    <t>Cust 2448</t>
  </si>
  <si>
    <t>Jay Kimmel</t>
  </si>
  <si>
    <t>REG100325</t>
  </si>
  <si>
    <t>Cust 9386</t>
  </si>
  <si>
    <t>Brad Norvell</t>
  </si>
  <si>
    <t>Cary</t>
  </si>
  <si>
    <t>REG100526</t>
  </si>
  <si>
    <t>Cust 2227</t>
  </si>
  <si>
    <t>David Philippe</t>
  </si>
  <si>
    <t>REG100326</t>
  </si>
  <si>
    <t>REG100327</t>
  </si>
  <si>
    <t>Cust 3803</t>
  </si>
  <si>
    <t>Tracy Hopkins</t>
  </si>
  <si>
    <t>REG100328</t>
  </si>
  <si>
    <t>Cust 1236</t>
  </si>
  <si>
    <t>Arthur Prichep</t>
  </si>
  <si>
    <t>Palm Coast</t>
  </si>
  <si>
    <t>REG100329</t>
  </si>
  <si>
    <t>Cust 2669</t>
  </si>
  <si>
    <t>Roland Schwarz</t>
  </si>
  <si>
    <t>Mount Vernon</t>
  </si>
  <si>
    <t>REG100330</t>
  </si>
  <si>
    <t>Cust 3746</t>
  </si>
  <si>
    <t>REG100331</t>
  </si>
  <si>
    <t>Cust 9694</t>
  </si>
  <si>
    <t>Seth Vernon</t>
  </si>
  <si>
    <t>REG100332</t>
  </si>
  <si>
    <t>Cust 4993</t>
  </si>
  <si>
    <t>REG100333</t>
  </si>
  <si>
    <t>Cust 1271</t>
  </si>
  <si>
    <t>Christine Kargatis</t>
  </si>
  <si>
    <t>REG100334</t>
  </si>
  <si>
    <t>Cust 3042</t>
  </si>
  <si>
    <t>Ross DeVincentis</t>
  </si>
  <si>
    <t>REG100335</t>
  </si>
  <si>
    <t>Cust 6424</t>
  </si>
  <si>
    <t>REG100336</t>
  </si>
  <si>
    <t>Cust 1422</t>
  </si>
  <si>
    <t>Mathew Reese</t>
  </si>
  <si>
    <t>REG100640</t>
  </si>
  <si>
    <t>Cust 5857</t>
  </si>
  <si>
    <t>Steve Chapman</t>
  </si>
  <si>
    <t>Hialeah</t>
  </si>
  <si>
    <t>REG100337</t>
  </si>
  <si>
    <t>REG100338</t>
  </si>
  <si>
    <t>Cust 6953</t>
  </si>
  <si>
    <t>Jay Fein</t>
  </si>
  <si>
    <t>REG100339</t>
  </si>
  <si>
    <t>Cust 2916</t>
  </si>
  <si>
    <t>Emily Grady</t>
  </si>
  <si>
    <t>Oceanside</t>
  </si>
  <si>
    <t>Darrin Sayre</t>
  </si>
  <si>
    <t>REG100341</t>
  </si>
  <si>
    <t>Cust 8464</t>
  </si>
  <si>
    <t>REG100342</t>
  </si>
  <si>
    <t>Cust 9700</t>
  </si>
  <si>
    <t>Phillina Ober</t>
  </si>
  <si>
    <t>REG100343</t>
  </si>
  <si>
    <t>Cust 7765</t>
  </si>
  <si>
    <t>Sung Shariari</t>
  </si>
  <si>
    <t>REG100344</t>
  </si>
  <si>
    <t>Cust 8246</t>
  </si>
  <si>
    <t>REG100345</t>
  </si>
  <si>
    <t>Cust 6500</t>
  </si>
  <si>
    <t>Peter BÃƒÂ¼hler</t>
  </si>
  <si>
    <t>Evanston</t>
  </si>
  <si>
    <t>REG100346</t>
  </si>
  <si>
    <t>Cust 1150</t>
  </si>
  <si>
    <t>Roland Fjeld</t>
  </si>
  <si>
    <t>Trenton</t>
  </si>
  <si>
    <t>REG100740</t>
  </si>
  <si>
    <t>Cust 7449</t>
  </si>
  <si>
    <t>Yoseph Carroll</t>
  </si>
  <si>
    <t>REG100347</t>
  </si>
  <si>
    <t>REG100348</t>
  </si>
  <si>
    <t>Cust 1957</t>
  </si>
  <si>
    <t>REG100349</t>
  </si>
  <si>
    <t>Cust 3467</t>
  </si>
  <si>
    <t>REG100350</t>
  </si>
  <si>
    <t>Cust 5212</t>
  </si>
  <si>
    <t>Debra Catini</t>
  </si>
  <si>
    <t>Cottage Grove</t>
  </si>
  <si>
    <t>REG100351</t>
  </si>
  <si>
    <t>Cust 3509</t>
  </si>
  <si>
    <t>Christine Phan</t>
  </si>
  <si>
    <t>REG100352</t>
  </si>
  <si>
    <t>Cust 5316</t>
  </si>
  <si>
    <t>Barry FranzÃƒÂ¶sisch</t>
  </si>
  <si>
    <t>REG100353</t>
  </si>
  <si>
    <t>Cust 9919</t>
  </si>
  <si>
    <t>REG100354</t>
  </si>
  <si>
    <t>Cust 7129</t>
  </si>
  <si>
    <t>REG100355</t>
  </si>
  <si>
    <t>Cust 9841</t>
  </si>
  <si>
    <t>Lisa Hazard</t>
  </si>
  <si>
    <t>Chris Selesnick</t>
  </si>
  <si>
    <t>Bossier City</t>
  </si>
  <si>
    <t>REG100357</t>
  </si>
  <si>
    <t>Cust 4142</t>
  </si>
  <si>
    <t>Anthony Johnson</t>
  </si>
  <si>
    <t>REG100762</t>
  </si>
  <si>
    <t>Cust 9584</t>
  </si>
  <si>
    <t>REG100358</t>
  </si>
  <si>
    <t>REG101469</t>
  </si>
  <si>
    <t>Cust 2553</t>
  </si>
  <si>
    <t>Benjamin Venier</t>
  </si>
  <si>
    <t>REG100359</t>
  </si>
  <si>
    <t>REG100360</t>
  </si>
  <si>
    <t>Cust 1347</t>
  </si>
  <si>
    <t>Dan Lawera</t>
  </si>
  <si>
    <t>REG100657</t>
  </si>
  <si>
    <t>Cust 8305</t>
  </si>
  <si>
    <t>REG100361</t>
  </si>
  <si>
    <t>REG100362</t>
  </si>
  <si>
    <t>Cust 7015</t>
  </si>
  <si>
    <t>Bryan Mills</t>
  </si>
  <si>
    <t>REG100363</t>
  </si>
  <si>
    <t>Cust 4394</t>
  </si>
  <si>
    <t>REG100364</t>
  </si>
  <si>
    <t>Cust 3323</t>
  </si>
  <si>
    <t>Lancaster</t>
  </si>
  <si>
    <t>REG100365</t>
  </si>
  <si>
    <t>Cust 4029</t>
  </si>
  <si>
    <t>Liz Thompson</t>
  </si>
  <si>
    <t>REG100366</t>
  </si>
  <si>
    <t>Cust 1400</t>
  </si>
  <si>
    <t>REG101423</t>
  </si>
  <si>
    <t>Cust 6361</t>
  </si>
  <si>
    <t>Joe Kamberova</t>
  </si>
  <si>
    <t>Asheville</t>
  </si>
  <si>
    <t>REG100367</t>
  </si>
  <si>
    <t>REG100368</t>
  </si>
  <si>
    <t>Cust 5267</t>
  </si>
  <si>
    <t>Erica Smith</t>
  </si>
  <si>
    <t>REG100369</t>
  </si>
  <si>
    <t>Cust 9354</t>
  </si>
  <si>
    <t>Rick Hansen</t>
  </si>
  <si>
    <t>REG100370</t>
  </si>
  <si>
    <t>Cust 9443</t>
  </si>
  <si>
    <t>REG100371</t>
  </si>
  <si>
    <t>Cust 2252</t>
  </si>
  <si>
    <t>Carlos Daly</t>
  </si>
  <si>
    <t>Lake Elsinore</t>
  </si>
  <si>
    <t>REG100372</t>
  </si>
  <si>
    <t>Cust 1031</t>
  </si>
  <si>
    <t>Helen Wasserman</t>
  </si>
  <si>
    <t>REG100374</t>
  </si>
  <si>
    <t>Cust 1672</t>
  </si>
  <si>
    <t>Mike Caudle</t>
  </si>
  <si>
    <t>REG100375</t>
  </si>
  <si>
    <t>Cust 9313</t>
  </si>
  <si>
    <t>Gary McGarr</t>
  </si>
  <si>
    <t>REG100376</t>
  </si>
  <si>
    <t>Cust 4405</t>
  </si>
  <si>
    <t>REG101150</t>
  </si>
  <si>
    <t>Cust 6453</t>
  </si>
  <si>
    <t>Omaha</t>
  </si>
  <si>
    <t>REG100377</t>
  </si>
  <si>
    <t>REG100378</t>
  </si>
  <si>
    <t>Cust 4772</t>
  </si>
  <si>
    <t>Edmonds</t>
  </si>
  <si>
    <t>REG101081</t>
  </si>
  <si>
    <t>Cust 1762</t>
  </si>
  <si>
    <t>Pauline Johnson</t>
  </si>
  <si>
    <t>Santa Ana</t>
  </si>
  <si>
    <t>REG100379</t>
  </si>
  <si>
    <t>REG100380</t>
  </si>
  <si>
    <t>Cust 1865</t>
  </si>
  <si>
    <t>Bart Watters</t>
  </si>
  <si>
    <t>Milwaukee</t>
  </si>
  <si>
    <t>REG100381</t>
  </si>
  <si>
    <t>Cust 9552</t>
  </si>
  <si>
    <t>REG100382</t>
  </si>
  <si>
    <t>Cust 4273</t>
  </si>
  <si>
    <t>REG100383</t>
  </si>
  <si>
    <t>Cust 8712</t>
  </si>
  <si>
    <t>Toby Ritter</t>
  </si>
  <si>
    <t>REG100384</t>
  </si>
  <si>
    <t>Cust 9048</t>
  </si>
  <si>
    <t>Patrick Gardner</t>
  </si>
  <si>
    <t>REG100385</t>
  </si>
  <si>
    <t>Cust 7714</t>
  </si>
  <si>
    <t>REG100386</t>
  </si>
  <si>
    <t>Cust 4770</t>
  </si>
  <si>
    <t>Florence</t>
  </si>
  <si>
    <t>REG100387</t>
  </si>
  <si>
    <t>Cust 2007</t>
  </si>
  <si>
    <t>REG100388</t>
  </si>
  <si>
    <t>Cust 8909</t>
  </si>
  <si>
    <t>REG100555</t>
  </si>
  <si>
    <t>Cust 4196</t>
  </si>
  <si>
    <t>James Lanier</t>
  </si>
  <si>
    <t>REG100389</t>
  </si>
  <si>
    <t>REG100943</t>
  </si>
  <si>
    <t>Cust 4189</t>
  </si>
  <si>
    <t>REG100390</t>
  </si>
  <si>
    <t>REG100391</t>
  </si>
  <si>
    <t>Cust 7226</t>
  </si>
  <si>
    <t>Brian Moss</t>
  </si>
  <si>
    <t>REG100392</t>
  </si>
  <si>
    <t>Cust 5015</t>
  </si>
  <si>
    <t>Eudokia Martin</t>
  </si>
  <si>
    <t>REG100393</t>
  </si>
  <si>
    <t>Cust 9904</t>
  </si>
  <si>
    <t>Art Foster</t>
  </si>
  <si>
    <t>REG100394</t>
  </si>
  <si>
    <t>Cust 7687</t>
  </si>
  <si>
    <t>Guy Armstrong</t>
  </si>
  <si>
    <t>Lorain</t>
  </si>
  <si>
    <t>REG100395</t>
  </si>
  <si>
    <t>Cust 6511</t>
  </si>
  <si>
    <t>Cyma Kinney</t>
  </si>
  <si>
    <t>Linden</t>
  </si>
  <si>
    <t>REG100396</t>
  </si>
  <si>
    <t>Cust 2412</t>
  </si>
  <si>
    <t>Dave Poirier</t>
  </si>
  <si>
    <t>Salinas</t>
  </si>
  <si>
    <t>REG100397</t>
  </si>
  <si>
    <t>Cust 1664</t>
  </si>
  <si>
    <t>REG100398</t>
  </si>
  <si>
    <t>Cust 6033</t>
  </si>
  <si>
    <t>REG100399</t>
  </si>
  <si>
    <t>Cust 4019</t>
  </si>
  <si>
    <t>Berenike Kampe</t>
  </si>
  <si>
    <t>REG100400</t>
  </si>
  <si>
    <t>Cust 4515</t>
  </si>
  <si>
    <t>Sanjit Jacobs</t>
  </si>
  <si>
    <t>New Brunswick</t>
  </si>
  <si>
    <t>REG100401</t>
  </si>
  <si>
    <t>Cust 7532</t>
  </si>
  <si>
    <t>Chuck Magee</t>
  </si>
  <si>
    <t>REG100402</t>
  </si>
  <si>
    <t>Cust 8756</t>
  </si>
  <si>
    <t>REG100403</t>
  </si>
  <si>
    <t>Cust 7620</t>
  </si>
  <si>
    <t>Anthony Jacobs</t>
  </si>
  <si>
    <t>REG100404</t>
  </si>
  <si>
    <t>Cust 7368</t>
  </si>
  <si>
    <t>Linda Southworth</t>
  </si>
  <si>
    <t>REG100405</t>
  </si>
  <si>
    <t>Cust 1319</t>
  </si>
  <si>
    <t>Guy Phonely</t>
  </si>
  <si>
    <t>REG100406</t>
  </si>
  <si>
    <t>Cust 9597</t>
  </si>
  <si>
    <t>Paul Knutson</t>
  </si>
  <si>
    <t>REG100407</t>
  </si>
  <si>
    <t>Cust 7369</t>
  </si>
  <si>
    <t>New Hampshire</t>
  </si>
  <si>
    <t>REG100408</t>
  </si>
  <si>
    <t>Cust 8592</t>
  </si>
  <si>
    <t>Sally Matthias</t>
  </si>
  <si>
    <t>REG100409</t>
  </si>
  <si>
    <t>Cust 2337</t>
  </si>
  <si>
    <t>Anthony Garverick</t>
  </si>
  <si>
    <t>REG101255</t>
  </si>
  <si>
    <t>Cust 9097</t>
  </si>
  <si>
    <t>REG100412</t>
  </si>
  <si>
    <t>REG100413</t>
  </si>
  <si>
    <t>Cust 5938</t>
  </si>
  <si>
    <t>REG100414</t>
  </si>
  <si>
    <t>Cust 6928</t>
  </si>
  <si>
    <t>REG100415</t>
  </si>
  <si>
    <t>Cust 6223</t>
  </si>
  <si>
    <t>Peter McVee</t>
  </si>
  <si>
    <t>REG100416</t>
  </si>
  <si>
    <t>Cust 7614</t>
  </si>
  <si>
    <t>Lauren Leatherbury</t>
  </si>
  <si>
    <t>REG100417</t>
  </si>
  <si>
    <t>Cust 3231</t>
  </si>
  <si>
    <t>Jill Stevenson</t>
  </si>
  <si>
    <t>REG100418</t>
  </si>
  <si>
    <t>Cust 9123</t>
  </si>
  <si>
    <t>REG100569</t>
  </si>
  <si>
    <t>Cust 7054</t>
  </si>
  <si>
    <t>Ed Ludwig</t>
  </si>
  <si>
    <t>Maryland</t>
  </si>
  <si>
    <t>REG100419</t>
  </si>
  <si>
    <t>REG100807</t>
  </si>
  <si>
    <t>Cust 4240</t>
  </si>
  <si>
    <t>REG100420</t>
  </si>
  <si>
    <t>REG100421</t>
  </si>
  <si>
    <t>Cust 1237</t>
  </si>
  <si>
    <t>REG100422</t>
  </si>
  <si>
    <t>Cust 5513</t>
  </si>
  <si>
    <t>REG100423</t>
  </si>
  <si>
    <t>Cust 1835</t>
  </si>
  <si>
    <t>Pamela Coakley</t>
  </si>
  <si>
    <t>REG101033</t>
  </si>
  <si>
    <t>Cust 8492</t>
  </si>
  <si>
    <t>Hunter Lopez</t>
  </si>
  <si>
    <t>REG100424</t>
  </si>
  <si>
    <t>REG100425</t>
  </si>
  <si>
    <t>Cust 2451</t>
  </si>
  <si>
    <t>Maribeth Schnelling</t>
  </si>
  <si>
    <t>REG100426</t>
  </si>
  <si>
    <t>Cust 4509</t>
  </si>
  <si>
    <t>George Bell</t>
  </si>
  <si>
    <t>REG100427</t>
  </si>
  <si>
    <t>Cust 6643</t>
  </si>
  <si>
    <t>Justin Ritter</t>
  </si>
  <si>
    <t>REG100428</t>
  </si>
  <si>
    <t>Cust 2559</t>
  </si>
  <si>
    <t>Garland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</si>
  <si>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</si>
  <si>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</si>
  <si>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</si>
  <si>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</si>
  <si>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</si>
  <si>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</si>
  <si>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</si>
  <si>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</si>
  <si>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Bill Eplett</t>
  </si>
  <si>
    <t>REG100433</t>
  </si>
  <si>
    <t>Cust 8000</t>
  </si>
  <si>
    <t>Sample Company A</t>
  </si>
  <si>
    <t>Norwich</t>
  </si>
  <si>
    <t>REG100434</t>
  </si>
  <si>
    <t>Cust 7585</t>
  </si>
  <si>
    <t>REG100435</t>
  </si>
  <si>
    <t>Cust 3127</t>
  </si>
  <si>
    <t>REG100436</t>
  </si>
  <si>
    <t>Cust 4130</t>
  </si>
  <si>
    <t>Rob Williams</t>
  </si>
  <si>
    <t>REG100437</t>
  </si>
  <si>
    <t>Cust 6956</t>
  </si>
  <si>
    <t>Alexandria</t>
  </si>
  <si>
    <t>REG100438</t>
  </si>
  <si>
    <t>Cust 8155</t>
  </si>
  <si>
    <t>Sanjit Engle</t>
  </si>
  <si>
    <t>REG100439</t>
  </si>
  <si>
    <t>Cust 8852</t>
  </si>
  <si>
    <t>Adam Hart</t>
  </si>
  <si>
    <t>REG100440</t>
  </si>
  <si>
    <t>Cust 2850</t>
  </si>
  <si>
    <t>Jessica Myrick</t>
  </si>
  <si>
    <t>REG100441</t>
  </si>
  <si>
    <t>Cust 9572</t>
  </si>
  <si>
    <t>Joel Jenkins</t>
  </si>
  <si>
    <t>REG100442</t>
  </si>
  <si>
    <t>Cust 6253</t>
  </si>
  <si>
    <t>Toledo</t>
  </si>
  <si>
    <t>REG100443</t>
  </si>
  <si>
    <t>Cust 4154</t>
  </si>
  <si>
    <t>Ralph Kennedy</t>
  </si>
  <si>
    <t>REG101052</t>
  </si>
  <si>
    <t>Cust 2137</t>
  </si>
  <si>
    <t>Catherine Glotzbach</t>
  </si>
  <si>
    <t>REG100444</t>
  </si>
  <si>
    <t>REG100445</t>
  </si>
  <si>
    <t>Cust 8157</t>
  </si>
  <si>
    <t>Farmington</t>
  </si>
  <si>
    <t>REG100446</t>
  </si>
  <si>
    <t>Cust 4861</t>
  </si>
  <si>
    <t>Rachel Payne</t>
  </si>
  <si>
    <t>Riverside</t>
  </si>
  <si>
    <t>REG100447</t>
  </si>
  <si>
    <t>Cust 7493</t>
  </si>
  <si>
    <t>Karen Carlisle</t>
  </si>
  <si>
    <t>REG100448</t>
  </si>
  <si>
    <t>Cust 7073</t>
  </si>
  <si>
    <t>Torrance</t>
  </si>
  <si>
    <t>REG100780</t>
  </si>
  <si>
    <t>Cust 9085</t>
  </si>
  <si>
    <t>REG100449</t>
  </si>
  <si>
    <t>REG100451</t>
  </si>
  <si>
    <t>Cust 8504</t>
  </si>
  <si>
    <t>REG100452</t>
  </si>
  <si>
    <t>Cust 4164</t>
  </si>
  <si>
    <t>Katherine Hughes</t>
  </si>
  <si>
    <t>REG100453</t>
  </si>
  <si>
    <t>Cust 9592</t>
  </si>
  <si>
    <t>Greg Hansen</t>
  </si>
  <si>
    <t>Round Rock</t>
  </si>
  <si>
    <t>REG100454</t>
  </si>
  <si>
    <t>Cust 7450</t>
  </si>
  <si>
    <t>Scott Williamson</t>
  </si>
  <si>
    <t>Joseph Airdo</t>
  </si>
  <si>
    <t>REG100456</t>
  </si>
  <si>
    <t>Cust 3305</t>
  </si>
  <si>
    <t>Daniel Lacy</t>
  </si>
  <si>
    <t>REG100457</t>
  </si>
  <si>
    <t>Cust 9768</t>
  </si>
  <si>
    <t>Lindsay Williams</t>
  </si>
  <si>
    <t>REG100458</t>
  </si>
  <si>
    <t>Cust 1179</t>
  </si>
  <si>
    <t>Thomas Brumley</t>
  </si>
  <si>
    <t>REG100492</t>
  </si>
  <si>
    <t>Cust 2546</t>
  </si>
  <si>
    <t>REG100459</t>
  </si>
  <si>
    <t>REG100460</t>
  </si>
  <si>
    <t>Cust 2672</t>
  </si>
  <si>
    <t>Boca Raton</t>
  </si>
  <si>
    <t>REG100461</t>
  </si>
  <si>
    <t>Cust 3394</t>
  </si>
  <si>
    <t>Bryan Spruell</t>
  </si>
  <si>
    <t>REG100462</t>
  </si>
  <si>
    <t>Cust 1649</t>
  </si>
  <si>
    <t>REG100463</t>
  </si>
  <si>
    <t>Cust 6994</t>
  </si>
  <si>
    <t>REG100464</t>
  </si>
  <si>
    <t>Cust 9879</t>
  </si>
  <si>
    <t>REG100466</t>
  </si>
  <si>
    <t>Cust 3712</t>
  </si>
  <si>
    <t>Robert Waldorf</t>
  </si>
  <si>
    <t>REG101008</t>
  </si>
  <si>
    <t>Cust 3829</t>
  </si>
  <si>
    <t>REG100467</t>
  </si>
  <si>
    <t>REG100468</t>
  </si>
  <si>
    <t>Cust 1623</t>
  </si>
  <si>
    <t>REG100469</t>
  </si>
  <si>
    <t>Cust 3532</t>
  </si>
  <si>
    <t>Tracy Zic</t>
  </si>
  <si>
    <t>REG100470</t>
  </si>
  <si>
    <t>Cust 4712</t>
  </si>
  <si>
    <t>Ann Steele</t>
  </si>
  <si>
    <t>REG100471</t>
  </si>
  <si>
    <t>Cust 6211</t>
  </si>
  <si>
    <t>Toby Swindell</t>
  </si>
  <si>
    <t>REG101411</t>
  </si>
  <si>
    <t>Cust 1222</t>
  </si>
  <si>
    <t>REG100472</t>
  </si>
  <si>
    <t>REG100473</t>
  </si>
  <si>
    <t>Cust 6208</t>
  </si>
  <si>
    <t>Sara Luxemburg</t>
  </si>
  <si>
    <t>REG100474</t>
  </si>
  <si>
    <t>Cust 5942</t>
  </si>
  <si>
    <t>REG100475</t>
  </si>
  <si>
    <t>Cust 1745</t>
  </si>
  <si>
    <t>REG100476</t>
  </si>
  <si>
    <t>Cust 2679</t>
  </si>
  <si>
    <t>Mitch Willingham</t>
  </si>
  <si>
    <t>Virginia Beach</t>
  </si>
  <si>
    <t>REG100477</t>
  </si>
  <si>
    <t>Cust 9907</t>
  </si>
  <si>
    <t>Rob Dowd</t>
  </si>
  <si>
    <t>REG100479</t>
  </si>
  <si>
    <t>Cust 5717</t>
  </si>
  <si>
    <t>REG100480</t>
  </si>
  <si>
    <t>Cust 7995</t>
  </si>
  <si>
    <t>Ryan Akin</t>
  </si>
  <si>
    <t>Murrieta</t>
  </si>
  <si>
    <t>REG100481</t>
  </si>
  <si>
    <t>Cust 5572</t>
  </si>
  <si>
    <t>REG100482</t>
  </si>
  <si>
    <t>Cust 1721</t>
  </si>
  <si>
    <t>Meg Tillman</t>
  </si>
  <si>
    <t>REG101318</t>
  </si>
  <si>
    <t>Cust 2641</t>
  </si>
  <si>
    <t>REG100483</t>
  </si>
  <si>
    <t>REG100484</t>
  </si>
  <si>
    <t>Cust 9769</t>
  </si>
  <si>
    <t>REG100485</t>
  </si>
  <si>
    <t>Cust 1718</t>
  </si>
  <si>
    <t>Vivek Gonzalez</t>
  </si>
  <si>
    <t>REG100486</t>
  </si>
  <si>
    <t>Cust 1210</t>
  </si>
  <si>
    <t>Olympia</t>
  </si>
  <si>
    <t>REG100487</t>
  </si>
  <si>
    <t>Cust 7710</t>
  </si>
  <si>
    <t>John Stevenson</t>
  </si>
  <si>
    <t>REG100488</t>
  </si>
  <si>
    <t>Cust 1428</t>
  </si>
  <si>
    <t>REG100489</t>
  </si>
  <si>
    <t>Cust 2810</t>
  </si>
  <si>
    <t>Kalyca Meade</t>
  </si>
  <si>
    <t>REG100490</t>
  </si>
  <si>
    <t>Cust 2234</t>
  </si>
  <si>
    <t>District of Columbia</t>
  </si>
  <si>
    <t>REG100491</t>
  </si>
  <si>
    <t>Cust 9602</t>
  </si>
  <si>
    <t>Hallie Redmond</t>
  </si>
  <si>
    <t>REG100493</t>
  </si>
  <si>
    <t>Cust 5032</t>
  </si>
  <si>
    <t>Deanra Eno</t>
  </si>
  <si>
    <t>REG100594</t>
  </si>
  <si>
    <t>Cust 4297</t>
  </si>
  <si>
    <t>REG100494</t>
  </si>
  <si>
    <t>REG100495</t>
  </si>
  <si>
    <t>Cust 6944</t>
  </si>
  <si>
    <t>Allen Goldenen</t>
  </si>
  <si>
    <t>REG100496</t>
  </si>
  <si>
    <t>Cust 4136</t>
  </si>
  <si>
    <t>Jefferson City</t>
  </si>
  <si>
    <t>REG100497</t>
  </si>
  <si>
    <t>Cust 7460</t>
  </si>
  <si>
    <t>Jennifer Jackson</t>
  </si>
  <si>
    <t>REG101048</t>
  </si>
  <si>
    <t>Cust 3960</t>
  </si>
  <si>
    <t>Jennifer Halladay</t>
  </si>
  <si>
    <t>REG100498</t>
  </si>
  <si>
    <t>Robert Dilbeck</t>
  </si>
  <si>
    <t>Saint Peters</t>
  </si>
  <si>
    <t>REG100500</t>
  </si>
  <si>
    <t>Cust 3160</t>
  </si>
  <si>
    <t>Mary O'Rourke</t>
  </si>
  <si>
    <t>REG100501</t>
  </si>
  <si>
    <t>Cust 9641</t>
  </si>
  <si>
    <t>Noel Staavos</t>
  </si>
  <si>
    <t>REG100502</t>
  </si>
  <si>
    <t>Cust 9742</t>
  </si>
  <si>
    <t>Rockford</t>
  </si>
  <si>
    <t>REG100503</t>
  </si>
  <si>
    <t>Cust 1144</t>
  </si>
  <si>
    <t>REG100504</t>
  </si>
  <si>
    <t>Cust 2936</t>
  </si>
  <si>
    <t>REG100505</t>
  </si>
  <si>
    <t>Cust 3035</t>
  </si>
  <si>
    <t>Deirdre Greer</t>
  </si>
  <si>
    <t>REG100506</t>
  </si>
  <si>
    <t>Cust 1717</t>
  </si>
  <si>
    <t>Nicole Fjeld</t>
  </si>
  <si>
    <t>REG100508</t>
  </si>
  <si>
    <t>Cust 6435</t>
  </si>
  <si>
    <t>Matthew Grinstein</t>
  </si>
  <si>
    <t>REG100509</t>
  </si>
  <si>
    <t>Cust 9352</t>
  </si>
  <si>
    <t>REG100510</t>
  </si>
  <si>
    <t>Cust 6746</t>
  </si>
  <si>
    <t>Theresa Swint</t>
  </si>
  <si>
    <t>REG100511</t>
  </si>
  <si>
    <t>Cust 8189</t>
  </si>
  <si>
    <t>Brian DeCherney</t>
  </si>
  <si>
    <t>REG100512</t>
  </si>
  <si>
    <t>Cust 8470</t>
  </si>
  <si>
    <t>Charles McCrossin</t>
  </si>
  <si>
    <t>Brownsville</t>
  </si>
  <si>
    <t>REG100513</t>
  </si>
  <si>
    <t>Cust 1044</t>
  </si>
  <si>
    <t>REG100514</t>
  </si>
  <si>
    <t>Cust 4010</t>
  </si>
  <si>
    <t>Skye Norling</t>
  </si>
  <si>
    <t>Erica Hernandez</t>
  </si>
  <si>
    <t>REG101099</t>
  </si>
  <si>
    <t>Cust 1904</t>
  </si>
  <si>
    <t>Frank Olsen</t>
  </si>
  <si>
    <t>REG100516</t>
  </si>
  <si>
    <t>REG100517</t>
  </si>
  <si>
    <t>Cust 6034</t>
  </si>
  <si>
    <t>Maurice Satty</t>
  </si>
  <si>
    <t>REG100518</t>
  </si>
  <si>
    <t>Cust 9239</t>
  </si>
  <si>
    <t>Chad Cunningham</t>
  </si>
  <si>
    <t>REG100519</t>
  </si>
  <si>
    <t>Cust 5678</t>
  </si>
  <si>
    <t>Don Weiss</t>
  </si>
  <si>
    <t>REG100520</t>
  </si>
  <si>
    <t>Cust 3696</t>
  </si>
  <si>
    <t>Bill Tyler</t>
  </si>
  <si>
    <t>REG100521</t>
  </si>
  <si>
    <t>Cust 9025</t>
  </si>
  <si>
    <t>Yonkers</t>
  </si>
  <si>
    <t>REG100522</t>
  </si>
  <si>
    <t>Cust 9924</t>
  </si>
  <si>
    <t>REG100523</t>
  </si>
  <si>
    <t>Cust 3887</t>
  </si>
  <si>
    <t>Craig Yedwab</t>
  </si>
  <si>
    <t>Oakland</t>
  </si>
  <si>
    <t>REG100524</t>
  </si>
  <si>
    <t>Cust 5302</t>
  </si>
  <si>
    <t>REG100525</t>
  </si>
  <si>
    <t>Cust 2290</t>
  </si>
  <si>
    <t>Brad Thomas</t>
  </si>
  <si>
    <t>Clinton</t>
  </si>
  <si>
    <t>REG100527</t>
  </si>
  <si>
    <t>Cust 1726</t>
  </si>
  <si>
    <t>Penelope Sewall</t>
  </si>
  <si>
    <t>REG100528</t>
  </si>
  <si>
    <t>Cust 9874</t>
  </si>
  <si>
    <t>REG100529</t>
  </si>
  <si>
    <t>Cust 1774</t>
  </si>
  <si>
    <t>Paul Van Hugh</t>
  </si>
  <si>
    <t>REG100531</t>
  </si>
  <si>
    <t>Cust 6534</t>
  </si>
  <si>
    <t>Neoma Murray</t>
  </si>
  <si>
    <t>REG100532</t>
  </si>
  <si>
    <t>Cust 3170</t>
  </si>
  <si>
    <t>REG100533</t>
  </si>
  <si>
    <t>Cust 5438</t>
  </si>
  <si>
    <t>Encinitas</t>
  </si>
  <si>
    <t>REG100534</t>
  </si>
  <si>
    <t>Cust 2670</t>
  </si>
  <si>
    <t>Dionis Lloyd</t>
  </si>
  <si>
    <t>REG100535</t>
  </si>
  <si>
    <t>Cust 8949</t>
  </si>
  <si>
    <t>Christine Sundaresam</t>
  </si>
  <si>
    <t>Roswell</t>
  </si>
  <si>
    <t>REG100536</t>
  </si>
  <si>
    <t>Cust 9748</t>
  </si>
  <si>
    <t>Jonesboro</t>
  </si>
  <si>
    <t>REG100537</t>
  </si>
  <si>
    <t>Cust 1220</t>
  </si>
  <si>
    <t>REG100538</t>
  </si>
  <si>
    <t>Cust 5645</t>
  </si>
  <si>
    <t>REG100539</t>
  </si>
  <si>
    <t>Cust 6577</t>
  </si>
  <si>
    <t>Antioch</t>
  </si>
  <si>
    <t>REG101300</t>
  </si>
  <si>
    <t>Cust 9506</t>
  </si>
  <si>
    <t>REG100540</t>
  </si>
  <si>
    <t>REG100541</t>
  </si>
  <si>
    <t>Cust 9302</t>
  </si>
  <si>
    <t>Homestead</t>
  </si>
  <si>
    <t>REG100542</t>
  </si>
  <si>
    <t>Cust 3030</t>
  </si>
  <si>
    <t>Frank Hawley</t>
  </si>
  <si>
    <t>La Porte</t>
  </si>
  <si>
    <t>REG100543</t>
  </si>
  <si>
    <t>Cust 5896</t>
  </si>
  <si>
    <t>REG100544</t>
  </si>
  <si>
    <t>Cust 3763</t>
  </si>
  <si>
    <t>Nat Carroll</t>
  </si>
  <si>
    <t>Lansing</t>
  </si>
  <si>
    <t>REG100545</t>
  </si>
  <si>
    <t>Cust 9510</t>
  </si>
  <si>
    <t>Cuyahoga Falls</t>
  </si>
  <si>
    <t>REG100546</t>
  </si>
  <si>
    <t>Cust 7637</t>
  </si>
  <si>
    <t>Reno</t>
  </si>
  <si>
    <t>REG100547</t>
  </si>
  <si>
    <t>Cust 8382</t>
  </si>
  <si>
    <t>Harrisonburg</t>
  </si>
  <si>
    <t>REG100870</t>
  </si>
  <si>
    <t>Cust 4015</t>
  </si>
  <si>
    <t>REG100548</t>
  </si>
  <si>
    <t>REG100549</t>
  </si>
  <si>
    <t>Cust 5172</t>
  </si>
  <si>
    <t>Alex Avila</t>
  </si>
  <si>
    <t>REG100550</t>
  </si>
  <si>
    <t>Cust 7584</t>
  </si>
  <si>
    <t>Larry Tron</t>
  </si>
  <si>
    <t>Escondido</t>
  </si>
  <si>
    <t>REG100551</t>
  </si>
  <si>
    <t>Cust 6809</t>
  </si>
  <si>
    <t>Anne Pryor</t>
  </si>
  <si>
    <t>REG100552</t>
  </si>
  <si>
    <t>Cust 7540</t>
  </si>
  <si>
    <t>Paul MacIntyre</t>
  </si>
  <si>
    <t>REG100553</t>
  </si>
  <si>
    <t>Cust 6888</t>
  </si>
  <si>
    <t>REG100554</t>
  </si>
  <si>
    <t>Cust 3304</t>
  </si>
  <si>
    <t>Royal Oak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</si>
  <si>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</si>
  <si>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</si>
  <si>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</si>
  <si>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</si>
  <si>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</si>
  <si>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</si>
  <si>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</si>
  <si>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</si>
  <si>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REG101060</t>
  </si>
  <si>
    <t>Cust 1947</t>
  </si>
  <si>
    <t>Alyssa Tate</t>
  </si>
  <si>
    <t>REG100749</t>
  </si>
  <si>
    <t>REG100560</t>
  </si>
  <si>
    <t>REG100561</t>
  </si>
  <si>
    <t>Cust 7332</t>
  </si>
  <si>
    <t>Rockville</t>
  </si>
  <si>
    <t>REG100562</t>
  </si>
  <si>
    <t>Cust 7314</t>
  </si>
  <si>
    <t>Cathy Armstrong</t>
  </si>
  <si>
    <t>REG100563</t>
  </si>
  <si>
    <t>Cust 5296</t>
  </si>
  <si>
    <t>REG100564</t>
  </si>
  <si>
    <t>Cust 2964</t>
  </si>
  <si>
    <t>REG100565</t>
  </si>
  <si>
    <t>Cust 5381</t>
  </si>
  <si>
    <t>Harold Ryan</t>
  </si>
  <si>
    <t>REG100566</t>
  </si>
  <si>
    <t>Cust 5436</t>
  </si>
  <si>
    <t>Bradley Talbott</t>
  </si>
  <si>
    <t>REG100567</t>
  </si>
  <si>
    <t>Cust 1494</t>
  </si>
  <si>
    <t>Coral Springs</t>
  </si>
  <si>
    <t>REG100568</t>
  </si>
  <si>
    <t>Cust 4380</t>
  </si>
  <si>
    <t>REG100570</t>
  </si>
  <si>
    <t>Cust 1375</t>
  </si>
  <si>
    <t>Larry Hughes</t>
  </si>
  <si>
    <t>REG100571</t>
  </si>
  <si>
    <t>Cust 5698</t>
  </si>
  <si>
    <t>Steven Ward</t>
  </si>
  <si>
    <t>REG100929</t>
  </si>
  <si>
    <t>Cust 3259</t>
  </si>
  <si>
    <t>Stefania Perrino</t>
  </si>
  <si>
    <t>REG100572</t>
  </si>
  <si>
    <t>REG100573</t>
  </si>
  <si>
    <t>Cust 9295</t>
  </si>
  <si>
    <t>Ben Ferrer</t>
  </si>
  <si>
    <t>REG101302</t>
  </si>
  <si>
    <t>Cust 7035</t>
  </si>
  <si>
    <t>REG100574</t>
  </si>
  <si>
    <t>REG100575</t>
  </si>
  <si>
    <t>Cust 9049</t>
  </si>
  <si>
    <t>REG100576</t>
  </si>
  <si>
    <t>Cust 6173</t>
  </si>
  <si>
    <t>Kean Thornton</t>
  </si>
  <si>
    <t>Buffalo</t>
  </si>
  <si>
    <t>REG100577</t>
  </si>
  <si>
    <t>Cust 3447</t>
  </si>
  <si>
    <t>Brooke Gillingham</t>
  </si>
  <si>
    <t>REG100578</t>
  </si>
  <si>
    <t>Cust 2218</t>
  </si>
  <si>
    <t>Boynton Beach</t>
  </si>
  <si>
    <t>REG100579</t>
  </si>
  <si>
    <t>Cust 8882</t>
  </si>
  <si>
    <t>Greg Matthias</t>
  </si>
  <si>
    <t>REG100580</t>
  </si>
  <si>
    <t>Cust 6709</t>
  </si>
  <si>
    <t>REG100581</t>
  </si>
  <si>
    <t>Cust 8727</t>
  </si>
  <si>
    <t>REG100582</t>
  </si>
  <si>
    <t>Cust 8359</t>
  </si>
  <si>
    <t>Eva Jacobs</t>
  </si>
  <si>
    <t>Gulfport</t>
  </si>
  <si>
    <t>REG100583</t>
  </si>
  <si>
    <t>Cust 1514</t>
  </si>
  <si>
    <t>Nora Preis</t>
  </si>
  <si>
    <t>Fresno</t>
  </si>
  <si>
    <t>REG100584</t>
  </si>
  <si>
    <t>Cust 2774</t>
  </si>
  <si>
    <t>REG101356</t>
  </si>
  <si>
    <t>Cust 4270</t>
  </si>
  <si>
    <t>REG100924</t>
  </si>
  <si>
    <t>REG100585</t>
  </si>
  <si>
    <t>REG100586</t>
  </si>
  <si>
    <t>Cust 3123</t>
  </si>
  <si>
    <t>Mick Hernandez</t>
  </si>
  <si>
    <t>REG100587</t>
  </si>
  <si>
    <t>Cust 7414</t>
  </si>
  <si>
    <t>REG100588</t>
  </si>
  <si>
    <t>Cust 5051</t>
  </si>
  <si>
    <t>Jocasta Rupert</t>
  </si>
  <si>
    <t>REG100589</t>
  </si>
  <si>
    <t>Cust 5975</t>
  </si>
  <si>
    <t>Suzanne McNair</t>
  </si>
  <si>
    <t>Greenville</t>
  </si>
  <si>
    <t>REG100590</t>
  </si>
  <si>
    <t>Cust 6948</t>
  </si>
  <si>
    <t>REG100591</t>
  </si>
  <si>
    <t>Cust 8253</t>
  </si>
  <si>
    <t>Chris Cortes</t>
  </si>
  <si>
    <t>REG100592</t>
  </si>
  <si>
    <t>Cust 7238</t>
  </si>
  <si>
    <t>Phillip Flathmann</t>
  </si>
  <si>
    <t>REG100593</t>
  </si>
  <si>
    <t>Cust 2219</t>
  </si>
  <si>
    <t>REG100822</t>
  </si>
  <si>
    <t>Cust 6665</t>
  </si>
  <si>
    <t>Dan Campbell</t>
  </si>
  <si>
    <t>REG100595</t>
  </si>
  <si>
    <t>REG100596</t>
  </si>
  <si>
    <t>Cust 4252</t>
  </si>
  <si>
    <t>REG100597</t>
  </si>
  <si>
    <t>Cust 6104</t>
  </si>
  <si>
    <t>REG100598</t>
  </si>
  <si>
    <t>Cust 6407</t>
  </si>
  <si>
    <t>Bryan Davis</t>
  </si>
  <si>
    <t>REG100599</t>
  </si>
  <si>
    <t>Cust 3573</t>
  </si>
  <si>
    <t>Macon</t>
  </si>
  <si>
    <t>REG100600</t>
  </si>
  <si>
    <t>Cust 5280</t>
  </si>
  <si>
    <t>Cedar Rapids</t>
  </si>
  <si>
    <t>REG101422</t>
  </si>
  <si>
    <t>Cust 2365</t>
  </si>
  <si>
    <t>REG100601</t>
  </si>
  <si>
    <t>REG100602</t>
  </si>
  <si>
    <t>Cust 7130</t>
  </si>
  <si>
    <t>REG100603</t>
  </si>
  <si>
    <t>Cust 6539</t>
  </si>
  <si>
    <t>Gene McClure</t>
  </si>
  <si>
    <t>Providence</t>
  </si>
  <si>
    <t>REG100922</t>
  </si>
  <si>
    <t>Cust 1656</t>
  </si>
  <si>
    <t>REG100604</t>
  </si>
  <si>
    <t>REG100605</t>
  </si>
  <si>
    <t>Cust 1932</t>
  </si>
  <si>
    <t>Todd Boyes</t>
  </si>
  <si>
    <t>REG100993</t>
  </si>
  <si>
    <t>Cust 7367</t>
  </si>
  <si>
    <t>REG100606</t>
  </si>
  <si>
    <t>REG101477</t>
  </si>
  <si>
    <t>Cust 1116</t>
  </si>
  <si>
    <t>REG100607</t>
  </si>
  <si>
    <t>REG100608</t>
  </si>
  <si>
    <t>Cust 4464</t>
  </si>
  <si>
    <t>Justin Hirsh</t>
  </si>
  <si>
    <t>Pueblo</t>
  </si>
  <si>
    <t>REG100609</t>
  </si>
  <si>
    <t>Cust 2543</t>
  </si>
  <si>
    <t>Erica Bern</t>
  </si>
  <si>
    <t>REG100610</t>
  </si>
  <si>
    <t>Cust 7948</t>
  </si>
  <si>
    <t>Quincy Jones</t>
  </si>
  <si>
    <t>REG100611</t>
  </si>
  <si>
    <t>Cust 3199</t>
  </si>
  <si>
    <t>REG100966</t>
  </si>
  <si>
    <t>Cust 2800</t>
  </si>
  <si>
    <t>REG100612</t>
  </si>
  <si>
    <t>REG100613</t>
  </si>
  <si>
    <t>Cust 3863</t>
  </si>
  <si>
    <t>Tracy Collins</t>
  </si>
  <si>
    <t>REG100614</t>
  </si>
  <si>
    <t>Cust 8391</t>
  </si>
  <si>
    <t>Chuck Sachs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</si>
  <si>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</si>
  <si>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</si>
  <si>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</si>
  <si>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</si>
  <si>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</si>
  <si>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</si>
  <si>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</si>
  <si>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</si>
  <si>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</si>
  <si>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</si>
  <si>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Henry Goldwyn</t>
  </si>
  <si>
    <t>REG100620</t>
  </si>
  <si>
    <t>Cust 5382</t>
  </si>
  <si>
    <t>REG100621</t>
  </si>
  <si>
    <t>Cust 4323</t>
  </si>
  <si>
    <t>Laurel Workman</t>
  </si>
  <si>
    <t>Deltona</t>
  </si>
  <si>
    <t>REG100622</t>
  </si>
  <si>
    <t>Cust 1767</t>
  </si>
  <si>
    <t>Matt Collins</t>
  </si>
  <si>
    <t>Liz Preis</t>
  </si>
  <si>
    <t>Murray</t>
  </si>
  <si>
    <t>REG100624</t>
  </si>
  <si>
    <t>Cust 5912</t>
  </si>
  <si>
    <t>Evan Bailliet</t>
  </si>
  <si>
    <t>REG100625</t>
  </si>
  <si>
    <t>Cust 4446</t>
  </si>
  <si>
    <t>George Zrebassa</t>
  </si>
  <si>
    <t>REG100626</t>
  </si>
  <si>
    <t>Cust 6107</t>
  </si>
  <si>
    <t>REG100627</t>
  </si>
  <si>
    <t>Cust 3330</t>
  </si>
  <si>
    <t>REG100628</t>
  </si>
  <si>
    <t>Cust 3604</t>
  </si>
  <si>
    <t>Cathy Prescott</t>
  </si>
  <si>
    <t>REG100629</t>
  </si>
  <si>
    <t>Cust 7412</t>
  </si>
  <si>
    <t>Frank Gastineau</t>
  </si>
  <si>
    <t>REG100630</t>
  </si>
  <si>
    <t>Cust 5183</t>
  </si>
  <si>
    <t>Lisa DeCherney</t>
  </si>
  <si>
    <t>REG100631</t>
  </si>
  <si>
    <t>Cust 4825</t>
  </si>
  <si>
    <t>Alejandro Ballentine</t>
  </si>
  <si>
    <t>REG100632</t>
  </si>
  <si>
    <t>Cust 2123</t>
  </si>
  <si>
    <t>Michael Nguyen</t>
  </si>
  <si>
    <t>REG100633</t>
  </si>
  <si>
    <t>Cust 8684</t>
  </si>
  <si>
    <t>REG100634</t>
  </si>
  <si>
    <t>Cust 5964</t>
  </si>
  <si>
    <t>Jim Radford</t>
  </si>
  <si>
    <t>Middletown</t>
  </si>
  <si>
    <t>REG100635</t>
  </si>
  <si>
    <t>Cust 1810</t>
  </si>
  <si>
    <t>Jamie Frazer</t>
  </si>
  <si>
    <t>REG100793</t>
  </si>
  <si>
    <t>Cust 2685</t>
  </si>
  <si>
    <t>Chad McGuire</t>
  </si>
  <si>
    <t>REG100636</t>
  </si>
  <si>
    <t>REG100637</t>
  </si>
  <si>
    <t>Cust 7855</t>
  </si>
  <si>
    <t>Aaron Smayling</t>
  </si>
  <si>
    <t>REG101394</t>
  </si>
  <si>
    <t>Cust 4101</t>
  </si>
  <si>
    <t>Freeport</t>
  </si>
  <si>
    <t>REG100638</t>
  </si>
  <si>
    <t>REG100639</t>
  </si>
  <si>
    <t>Cust 7964</t>
  </si>
  <si>
    <t>Beth Paige</t>
  </si>
  <si>
    <t>REG100641</t>
  </si>
  <si>
    <t>Cust 7010</t>
  </si>
  <si>
    <t>REG100642</t>
  </si>
  <si>
    <t>Cust 7917</t>
  </si>
  <si>
    <t>REG100643</t>
  </si>
  <si>
    <t>Cust 8111</t>
  </si>
  <si>
    <t>REG101306</t>
  </si>
  <si>
    <t>Cust 4715</t>
  </si>
  <si>
    <t>Natalie DeCherney</t>
  </si>
  <si>
    <t>REG100644</t>
  </si>
  <si>
    <t>REG100645</t>
  </si>
  <si>
    <t>Cust 8720</t>
  </si>
  <si>
    <t>Larry Blacks</t>
  </si>
  <si>
    <t>REG100646</t>
  </si>
  <si>
    <t>Cust 8216</t>
  </si>
  <si>
    <t>Kean Takahito</t>
  </si>
  <si>
    <t>REG100647</t>
  </si>
  <si>
    <t>Cust 6946</t>
  </si>
  <si>
    <t>Harry Marie</t>
  </si>
  <si>
    <t>REG100648</t>
  </si>
  <si>
    <t>Cust 9888</t>
  </si>
  <si>
    <t>Ann Blume</t>
  </si>
  <si>
    <t>REG101351</t>
  </si>
  <si>
    <t>Cust 4009</t>
  </si>
  <si>
    <t>Sam Zeldin</t>
  </si>
  <si>
    <t>Pico Rivera</t>
  </si>
  <si>
    <t>REG100649</t>
  </si>
  <si>
    <t>REG100650</t>
  </si>
  <si>
    <t>Cust 9489</t>
  </si>
  <si>
    <t>REG100651</t>
  </si>
  <si>
    <t>Cust 2446</t>
  </si>
  <si>
    <t>Michael Granlund</t>
  </si>
  <si>
    <t>REG100652</t>
  </si>
  <si>
    <t>Cust 4150</t>
  </si>
  <si>
    <t>REG100653</t>
  </si>
  <si>
    <t>Cust 3569</t>
  </si>
  <si>
    <t>Provo</t>
  </si>
  <si>
    <t>REG100654</t>
  </si>
  <si>
    <t>Cust 1023</t>
  </si>
  <si>
    <t>Pleasant Grove</t>
  </si>
  <si>
    <t>REG100655</t>
  </si>
  <si>
    <t>Cust 3748</t>
  </si>
  <si>
    <t>Julie Kriz</t>
  </si>
  <si>
    <t>REG100656</t>
  </si>
  <si>
    <t>Cust 4798</t>
  </si>
  <si>
    <t>Paul Prost</t>
  </si>
  <si>
    <t>Smyrna</t>
  </si>
  <si>
    <t>Yana Sorensen</t>
  </si>
  <si>
    <t>REG100658</t>
  </si>
  <si>
    <t>Cust 3864</t>
  </si>
  <si>
    <t>REG100659</t>
  </si>
  <si>
    <t>Cust 3459</t>
  </si>
  <si>
    <t>REG100660</t>
  </si>
  <si>
    <t>Cust 1187</t>
  </si>
  <si>
    <t>Katherine Murray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</si>
  <si>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</si>
  <si>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</si>
  <si>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</si>
  <si>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</si>
  <si>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</si>
  <si>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</si>
  <si>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</si>
  <si>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</si>
  <si>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Adrian Barton</t>
  </si>
  <si>
    <t>REG100665</t>
  </si>
  <si>
    <t>Cust 8401</t>
  </si>
  <si>
    <t>REG100666</t>
  </si>
  <si>
    <t>Cust 4047</t>
  </si>
  <si>
    <t>REG100667</t>
  </si>
  <si>
    <t>Cust 6019</t>
  </si>
  <si>
    <t>Helen Abelman</t>
  </si>
  <si>
    <t>REG100668</t>
  </si>
  <si>
    <t>Cust 8750</t>
  </si>
  <si>
    <t>Beth Thompson</t>
  </si>
  <si>
    <t>REG100669</t>
  </si>
  <si>
    <t>Cust 5782</t>
  </si>
  <si>
    <t>Stuart Van</t>
  </si>
  <si>
    <t>REG100670</t>
  </si>
  <si>
    <t>Cust 4090</t>
  </si>
  <si>
    <t>Rick Wilson</t>
  </si>
  <si>
    <t>REG100671</t>
  </si>
  <si>
    <t>Cust 4730</t>
  </si>
  <si>
    <t>Damala Kotsonis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</si>
  <si>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</si>
  <si>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</si>
  <si>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</si>
  <si>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</si>
  <si>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</si>
  <si>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</si>
  <si>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</si>
  <si>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</si>
  <si>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Shui Tom</t>
  </si>
  <si>
    <t>Parma</t>
  </si>
  <si>
    <t>REG100676</t>
  </si>
  <si>
    <t>Cust 1944</t>
  </si>
  <si>
    <t>REG100677</t>
  </si>
  <si>
    <t>Cust 7780</t>
  </si>
  <si>
    <t>REG100678</t>
  </si>
  <si>
    <t>Cust 8055</t>
  </si>
  <si>
    <t>Michael Moore</t>
  </si>
  <si>
    <t>REG100679</t>
  </si>
  <si>
    <t>Cust 4707</t>
  </si>
  <si>
    <t>Pauline Webber</t>
  </si>
  <si>
    <t>Shaun Chance</t>
  </si>
  <si>
    <t>REG100681</t>
  </si>
  <si>
    <t>Cust 7806</t>
  </si>
  <si>
    <t>REG100682</t>
  </si>
  <si>
    <t>Cust 7033</t>
  </si>
  <si>
    <t>REG100683</t>
  </si>
  <si>
    <t>Cust 8372</t>
  </si>
  <si>
    <t>REG101499</t>
  </si>
  <si>
    <t>Cust 1935</t>
  </si>
  <si>
    <t>REG100684</t>
  </si>
  <si>
    <t>REG100685</t>
  </si>
  <si>
    <t>Cust 8417</t>
  </si>
  <si>
    <t>Thais Sissman</t>
  </si>
  <si>
    <t>REG100686</t>
  </si>
  <si>
    <t>Cust 3370</t>
  </si>
  <si>
    <t>Mark Cousins</t>
  </si>
  <si>
    <t>Mobile</t>
  </si>
  <si>
    <t>REG100687</t>
  </si>
  <si>
    <t>Cust 3664</t>
  </si>
  <si>
    <t>Maria Etezadi</t>
  </si>
  <si>
    <t>REG100688</t>
  </si>
  <si>
    <t>Cust 5760</t>
  </si>
  <si>
    <t>New Bedford</t>
  </si>
  <si>
    <t>REG100689</t>
  </si>
  <si>
    <t>Cust 3037</t>
  </si>
  <si>
    <t>Nicole Hansen</t>
  </si>
  <si>
    <t>Irving</t>
  </si>
  <si>
    <t>REG100690</t>
  </si>
  <si>
    <t>Cust 9828</t>
  </si>
  <si>
    <t>REG100691</t>
  </si>
  <si>
    <t>Cust 5297</t>
  </si>
  <si>
    <t>REG101249</t>
  </si>
  <si>
    <t>Cust 6785</t>
  </si>
  <si>
    <t>Mick Brown</t>
  </si>
  <si>
    <t>Vineland</t>
  </si>
  <si>
    <t>REG100692</t>
  </si>
  <si>
    <t>REG100693</t>
  </si>
  <si>
    <t>Cust 1344</t>
  </si>
  <si>
    <t>REG100694</t>
  </si>
  <si>
    <t>Cust 4023</t>
  </si>
  <si>
    <t>Keith Dawkins</t>
  </si>
  <si>
    <t>REG100695</t>
  </si>
  <si>
    <t>Cust 3721</t>
  </si>
  <si>
    <t>Glendale</t>
  </si>
  <si>
    <t>REG100696</t>
  </si>
  <si>
    <t>Cust 1486</t>
  </si>
  <si>
    <t>REG100697</t>
  </si>
  <si>
    <t>Cust 3958</t>
  </si>
  <si>
    <t>REG100800</t>
  </si>
  <si>
    <t>Cust 6914</t>
  </si>
  <si>
    <t>REG100698</t>
  </si>
  <si>
    <t>REG100699</t>
  </si>
  <si>
    <t>Cust 3287</t>
  </si>
  <si>
    <t>Katherine Nockton</t>
  </si>
  <si>
    <t>REG101476</t>
  </si>
  <si>
    <t>Cust 9072</t>
  </si>
  <si>
    <t>REG100700</t>
  </si>
  <si>
    <t>REG100701</t>
  </si>
  <si>
    <t>Cust 3098</t>
  </si>
  <si>
    <t>Nora Pelletier</t>
  </si>
  <si>
    <t>Niagara Falls</t>
  </si>
  <si>
    <t>REG100703</t>
  </si>
  <si>
    <t>Cust 4307</t>
  </si>
  <si>
    <t>Cindy Stewart</t>
  </si>
  <si>
    <t>Thomasville</t>
  </si>
  <si>
    <t>REG100704</t>
  </si>
  <si>
    <t>Cust 4618</t>
  </si>
  <si>
    <t>Westminster</t>
  </si>
  <si>
    <t>REG100829</t>
  </si>
  <si>
    <t>Cust 5322</t>
  </si>
  <si>
    <t>REG100705</t>
  </si>
  <si>
    <t>REG100706</t>
  </si>
  <si>
    <t>Cust 9873</t>
  </si>
  <si>
    <t>REG100707</t>
  </si>
  <si>
    <t>Cust 3652</t>
  </si>
  <si>
    <t>REG100708</t>
  </si>
  <si>
    <t>Cust 5569</t>
  </si>
  <si>
    <t>Maxwell Schwartz</t>
  </si>
  <si>
    <t>REG100709</t>
  </si>
  <si>
    <t>Cust 5369</t>
  </si>
  <si>
    <t>Corinna Mitchell</t>
  </si>
  <si>
    <t>REG100710</t>
  </si>
  <si>
    <t>Cust 9044</t>
  </si>
  <si>
    <t>Corey-Lock</t>
  </si>
  <si>
    <t>REG100711</t>
  </si>
  <si>
    <t>Cust 1887</t>
  </si>
  <si>
    <t>REG100712</t>
  </si>
  <si>
    <t>Cust 1559</t>
  </si>
  <si>
    <t>Todd Sumrall</t>
  </si>
  <si>
    <t>REG100955</t>
  </si>
  <si>
    <t>Cust 1722</t>
  </si>
  <si>
    <t>Jane Waco</t>
  </si>
  <si>
    <t>REG100713</t>
  </si>
  <si>
    <t>REG100714</t>
  </si>
  <si>
    <t>Cust 9029</t>
  </si>
  <si>
    <t>REG100715</t>
  </si>
  <si>
    <t>Cust 9555</t>
  </si>
  <si>
    <t>John Dryer</t>
  </si>
  <si>
    <t>Coppell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</si>
  <si>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</si>
  <si>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</si>
  <si>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</si>
  <si>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</si>
  <si>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</si>
  <si>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</si>
  <si>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</si>
  <si>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</si>
  <si>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Pauline Chand</t>
  </si>
  <si>
    <t>REG100720</t>
  </si>
  <si>
    <t>Cust 6922</t>
  </si>
  <si>
    <t>Andy Reiter</t>
  </si>
  <si>
    <t>REG100721</t>
  </si>
  <si>
    <t>Cust 4807</t>
  </si>
  <si>
    <t>REG100722</t>
  </si>
  <si>
    <t>Cust 3368</t>
  </si>
  <si>
    <t>REG100723</t>
  </si>
  <si>
    <t>Cust 2871</t>
  </si>
  <si>
    <t>REG100827</t>
  </si>
  <si>
    <t>Cust 6229</t>
  </si>
  <si>
    <t>Pomona</t>
  </si>
  <si>
    <t>REG100724</t>
  </si>
  <si>
    <t>REG100725</t>
  </si>
  <si>
    <t>Cust 4560</t>
  </si>
  <si>
    <t>REG100726</t>
  </si>
  <si>
    <t>Cust 7099</t>
  </si>
  <si>
    <t>Arianne Irving</t>
  </si>
  <si>
    <t>REG100727</t>
  </si>
  <si>
    <t>Cust 6333</t>
  </si>
  <si>
    <t>North Las Vegas</t>
  </si>
  <si>
    <t>REG100728</t>
  </si>
  <si>
    <t>Cust 4678</t>
  </si>
  <si>
    <t>Tom Boeckenhauer</t>
  </si>
  <si>
    <t>REG100729</t>
  </si>
  <si>
    <t>Cust 6657</t>
  </si>
  <si>
    <t>REG100730</t>
  </si>
  <si>
    <t>Cust 1267</t>
  </si>
  <si>
    <t>Paul Lucas</t>
  </si>
  <si>
    <t>REG101471</t>
  </si>
  <si>
    <t>Cust 8150</t>
  </si>
  <si>
    <t>Gary Hwang</t>
  </si>
  <si>
    <t>REG101101</t>
  </si>
  <si>
    <t>REG100901</t>
  </si>
  <si>
    <t>REG100731</t>
  </si>
  <si>
    <t>REG100732</t>
  </si>
  <si>
    <t>Cust 3668</t>
  </si>
  <si>
    <t>Allentown</t>
  </si>
  <si>
    <t>REG100733</t>
  </si>
  <si>
    <t>Cust 4803</t>
  </si>
  <si>
    <t>REG100734</t>
  </si>
  <si>
    <t>Cust 8633</t>
  </si>
  <si>
    <t>REG100735</t>
  </si>
  <si>
    <t>Cust 7235</t>
  </si>
  <si>
    <t>Tempe</t>
  </si>
  <si>
    <t>REG100736</t>
  </si>
  <si>
    <t>Cust 8992</t>
  </si>
  <si>
    <t>REG100737</t>
  </si>
  <si>
    <t>Cust 1889</t>
  </si>
  <si>
    <t>Mike Pelletier</t>
  </si>
  <si>
    <t>Laguna Niguel</t>
  </si>
  <si>
    <t>REG100738</t>
  </si>
  <si>
    <t>Cust 5411</t>
  </si>
  <si>
    <t>Jim Mitchum</t>
  </si>
  <si>
    <t>Bridgeton</t>
  </si>
  <si>
    <t>REG100739</t>
  </si>
  <si>
    <t>Cust 3411</t>
  </si>
  <si>
    <t>Carl Ludwig</t>
  </si>
  <si>
    <t>Everett</t>
  </si>
  <si>
    <t>REG100741</t>
  </si>
  <si>
    <t>Cust 4788</t>
  </si>
  <si>
    <t>Deborah Brumfield</t>
  </si>
  <si>
    <t>REG100742</t>
  </si>
  <si>
    <t>Cust 3564</t>
  </si>
  <si>
    <t>Watertown</t>
  </si>
  <si>
    <t>REG100743</t>
  </si>
  <si>
    <t>Cust 8018</t>
  </si>
  <si>
    <t>REG100975</t>
  </si>
  <si>
    <t>Cust 3045</t>
  </si>
  <si>
    <t>REG100744</t>
  </si>
  <si>
    <t>REG100745</t>
  </si>
  <si>
    <t>Cust 7020</t>
  </si>
  <si>
    <t>REG100746</t>
  </si>
  <si>
    <t>Cust 1905</t>
  </si>
  <si>
    <t>Ivan Gibson</t>
  </si>
  <si>
    <t>REG100747</t>
  </si>
  <si>
    <t>Cust 4592</t>
  </si>
  <si>
    <t>Appleton</t>
  </si>
  <si>
    <t>REG100748</t>
  </si>
  <si>
    <t>Cust 5482</t>
  </si>
  <si>
    <t>Bobby Odegard</t>
  </si>
  <si>
    <t>Bellevue</t>
  </si>
  <si>
    <t>REG100750</t>
  </si>
  <si>
    <t>Cust 2801</t>
  </si>
  <si>
    <t>Aimee Bixby</t>
  </si>
  <si>
    <t>REG100751</t>
  </si>
  <si>
    <t>Cust 8206</t>
  </si>
  <si>
    <t>Julia West</t>
  </si>
  <si>
    <t>REG100752</t>
  </si>
  <si>
    <t>Cust 5277</t>
  </si>
  <si>
    <t>REG100753</t>
  </si>
  <si>
    <t>Cust 8900</t>
  </si>
  <si>
    <t>Edward Becker</t>
  </si>
  <si>
    <t>REG100754</t>
  </si>
  <si>
    <t>Cust 9387</t>
  </si>
  <si>
    <t>REG100755</t>
  </si>
  <si>
    <t>Cust 7013</t>
  </si>
  <si>
    <t>REG100756</t>
  </si>
  <si>
    <t>Cust 4868</t>
  </si>
  <si>
    <t>Sheri Gordon</t>
  </si>
  <si>
    <t>REG100757</t>
  </si>
  <si>
    <t>Cust 5239</t>
  </si>
  <si>
    <t>Charlotte Melton</t>
  </si>
  <si>
    <t>REG100758</t>
  </si>
  <si>
    <t>Cust 4703</t>
  </si>
  <si>
    <t>REG100759</t>
  </si>
  <si>
    <t>Cust 7224</t>
  </si>
  <si>
    <t>REG100760</t>
  </si>
  <si>
    <t>Cust 4751</t>
  </si>
  <si>
    <t>Anthony Witt</t>
  </si>
  <si>
    <t>Allen</t>
  </si>
  <si>
    <t>REG100761</t>
  </si>
  <si>
    <t>Cust 1201</t>
  </si>
  <si>
    <t>REG100763</t>
  </si>
  <si>
    <t>Cust 6980</t>
  </si>
  <si>
    <t>REG100764</t>
  </si>
  <si>
    <t>Cust 2835</t>
  </si>
  <si>
    <t>Mick Crebagga</t>
  </si>
  <si>
    <t>El Paso</t>
  </si>
  <si>
    <t>REG100765</t>
  </si>
  <si>
    <t>Cust 4286</t>
  </si>
  <si>
    <t>Tonja Turnell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</si>
  <si>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</si>
  <si>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</si>
  <si>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</si>
  <si>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</si>
  <si>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</si>
  <si>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</si>
  <si>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</si>
  <si>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</si>
  <si>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Vivek Grady</t>
  </si>
  <si>
    <t>REG100770</t>
  </si>
  <si>
    <t>Cust 9227</t>
  </si>
  <si>
    <t>Muhammed Yedwab</t>
  </si>
  <si>
    <t>Grapevine</t>
  </si>
  <si>
    <t>REG100771</t>
  </si>
  <si>
    <t>Cust 2830</t>
  </si>
  <si>
    <t>Rick Duston</t>
  </si>
  <si>
    <t>REG100772</t>
  </si>
  <si>
    <t>Cust 3767</t>
  </si>
  <si>
    <t>REG100773</t>
  </si>
  <si>
    <t>Cust 1561</t>
  </si>
  <si>
    <t>Dennis Pardue</t>
  </si>
  <si>
    <t>REG100774</t>
  </si>
  <si>
    <t>Cust 8569</t>
  </si>
  <si>
    <t>REG100775</t>
  </si>
  <si>
    <t>Cust 1254</t>
  </si>
  <si>
    <t>REG100776</t>
  </si>
  <si>
    <t>Cust 8556</t>
  </si>
  <si>
    <t>Carrollton</t>
  </si>
  <si>
    <t>REG100777</t>
  </si>
  <si>
    <t>Cust 7204</t>
  </si>
  <si>
    <t>REG100778</t>
  </si>
  <si>
    <t>Cust 7725</t>
  </si>
  <si>
    <t>REG100779</t>
  </si>
  <si>
    <t>Cust 9210</t>
  </si>
  <si>
    <t>REG100781</t>
  </si>
  <si>
    <t>Cust 4937</t>
  </si>
  <si>
    <t>Marina Lichtenstein</t>
  </si>
  <si>
    <t>REG100782</t>
  </si>
  <si>
    <t>Cust 3606</t>
  </si>
  <si>
    <t>REG100783</t>
  </si>
  <si>
    <t>Cust 5865</t>
  </si>
  <si>
    <t>REG100949</t>
  </si>
  <si>
    <t>Cust 7195</t>
  </si>
  <si>
    <t>REG100784</t>
  </si>
  <si>
    <t>REG100785</t>
  </si>
  <si>
    <t>Cust 6113</t>
  </si>
  <si>
    <t>REG101349</t>
  </si>
  <si>
    <t>Cust 9878</t>
  </si>
  <si>
    <t>Jenna Caffey</t>
  </si>
  <si>
    <t>Kent</t>
  </si>
  <si>
    <t>REG100786</t>
  </si>
  <si>
    <t>REG100787</t>
  </si>
  <si>
    <t>Cust 3936</t>
  </si>
  <si>
    <t>James Galang</t>
  </si>
  <si>
    <t>REG100788</t>
  </si>
  <si>
    <t>Cust 3937</t>
  </si>
  <si>
    <t>REG100789</t>
  </si>
  <si>
    <t>Cust 5262</t>
  </si>
  <si>
    <t>Marc Crier</t>
  </si>
  <si>
    <t>Lafayette</t>
  </si>
  <si>
    <t>REG101023</t>
  </si>
  <si>
    <t>Cust 3892</t>
  </si>
  <si>
    <t>REG100790</t>
  </si>
  <si>
    <t>REG100791</t>
  </si>
  <si>
    <t>Cust 8826</t>
  </si>
  <si>
    <t>REG100792</t>
  </si>
  <si>
    <t>Cust 1119</t>
  </si>
  <si>
    <t>Natalie Webber</t>
  </si>
  <si>
    <t>Tigard</t>
  </si>
  <si>
    <t>Toby Braunhardt</t>
  </si>
  <si>
    <t>REG100794</t>
  </si>
  <si>
    <t>Cust 5939</t>
  </si>
  <si>
    <t>Bill Stewart</t>
  </si>
  <si>
    <t>Skokie</t>
  </si>
  <si>
    <t>REG100795</t>
  </si>
  <si>
    <t>Cust 1791</t>
  </si>
  <si>
    <t>REG100796</t>
  </si>
  <si>
    <t>Cust 8530</t>
  </si>
  <si>
    <t>REG100798</t>
  </si>
  <si>
    <t>Cust 9619</t>
  </si>
  <si>
    <t>Hilary Holden</t>
  </si>
  <si>
    <t>REG100799</t>
  </si>
  <si>
    <t>Cust 1637</t>
  </si>
  <si>
    <t>Christina DeMoss</t>
  </si>
  <si>
    <t>REG100801</t>
  </si>
  <si>
    <t>Cust 5737</t>
  </si>
  <si>
    <t>Thea Hendricks</t>
  </si>
  <si>
    <t>Michelle Moray</t>
  </si>
  <si>
    <t>REG100803</t>
  </si>
  <si>
    <t>Cust 2524</t>
  </si>
  <si>
    <t>REG100804</t>
  </si>
  <si>
    <t>Cust 8480</t>
  </si>
  <si>
    <t>Neola Schneider</t>
  </si>
  <si>
    <t>REG100805</t>
  </si>
  <si>
    <t>Cust 2595</t>
  </si>
  <si>
    <t>REG100806</t>
  </si>
  <si>
    <t>Cust 7132</t>
  </si>
  <si>
    <t>Robert Barroso</t>
  </si>
  <si>
    <t>REG100808</t>
  </si>
  <si>
    <t>Cust 4644</t>
  </si>
  <si>
    <t>Plano</t>
  </si>
  <si>
    <t>REG100809</t>
  </si>
  <si>
    <t>Cust 5133</t>
  </si>
  <si>
    <t>Shaun Weien</t>
  </si>
  <si>
    <t>Suffolk</t>
  </si>
  <si>
    <t>REG100810</t>
  </si>
  <si>
    <t>Cust 1731</t>
  </si>
  <si>
    <t>REG100811</t>
  </si>
  <si>
    <t>Cust 3739</t>
  </si>
  <si>
    <t>Eric Barreto</t>
  </si>
  <si>
    <t>REG100812</t>
  </si>
  <si>
    <t>Cust 3853</t>
  </si>
  <si>
    <t>REG100813</t>
  </si>
  <si>
    <t>Cust 6830</t>
  </si>
  <si>
    <t>Pamela Stobb</t>
  </si>
  <si>
    <t>REG101448</t>
  </si>
  <si>
    <t>Cust 5351</t>
  </si>
  <si>
    <t>REG100814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</si>
  <si>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</si>
  <si>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</si>
  <si>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</si>
  <si>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</si>
  <si>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</si>
  <si>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</si>
  <si>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</si>
  <si>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</si>
  <si>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Herbert Flentye</t>
  </si>
  <si>
    <t>Indianapolis</t>
  </si>
  <si>
    <t>REG100819</t>
  </si>
  <si>
    <t>Cust 5826</t>
  </si>
  <si>
    <t>Henia Zydlo</t>
  </si>
  <si>
    <t>REG100820</t>
  </si>
  <si>
    <t>Cust 9410</t>
  </si>
  <si>
    <t>Bayonne</t>
  </si>
  <si>
    <t>REG100823</t>
  </si>
  <si>
    <t>Cust 2590</t>
  </si>
  <si>
    <t>REG100824</t>
  </si>
  <si>
    <t>Cust 4599</t>
  </si>
  <si>
    <t>REG100825</t>
  </si>
  <si>
    <t>Cust 7166</t>
  </si>
  <si>
    <t>Cynthia Delaney</t>
  </si>
  <si>
    <t>REG100826</t>
  </si>
  <si>
    <t>Cust 6177</t>
  </si>
  <si>
    <t>REG100828</t>
  </si>
  <si>
    <t>Cust 2899</t>
  </si>
  <si>
    <t>Jamie Kunitz</t>
  </si>
  <si>
    <t>REG100830</t>
  </si>
  <si>
    <t>Cust 7063</t>
  </si>
  <si>
    <t>REG100831</t>
  </si>
  <si>
    <t>Cust 7487</t>
  </si>
  <si>
    <t>REG100832</t>
  </si>
  <si>
    <t>Cust 5481</t>
  </si>
  <si>
    <t>REG101068</t>
  </si>
  <si>
    <t>Cust 3150</t>
  </si>
  <si>
    <t>REG100833</t>
  </si>
  <si>
    <t>REG100834</t>
  </si>
  <si>
    <t>Cust 5099</t>
  </si>
  <si>
    <t>REG100835</t>
  </si>
  <si>
    <t>Cust 6615</t>
  </si>
  <si>
    <t>REG100836</t>
  </si>
  <si>
    <t>Cust 6924</t>
  </si>
  <si>
    <t>Filia McAdams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</si>
  <si>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</si>
  <si>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</si>
  <si>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</si>
  <si>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</si>
  <si>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</si>
  <si>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</si>
  <si>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</si>
  <si>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</si>
  <si>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</si>
  <si>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</si>
  <si>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</si>
  <si>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</si>
  <si>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Emily Ducich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</si>
  <si>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</si>
  <si>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</si>
  <si>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</si>
  <si>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</si>
  <si>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</si>
  <si>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</si>
  <si>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</si>
  <si>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</si>
  <si>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Dianna Arnett</t>
  </si>
  <si>
    <t>REG100847</t>
  </si>
  <si>
    <t>Cust 8799</t>
  </si>
  <si>
    <t>REG100848</t>
  </si>
  <si>
    <t>Cust 1699</t>
  </si>
  <si>
    <t>Joni Wasserman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</si>
  <si>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</si>
  <si>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</si>
  <si>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</si>
  <si>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</si>
  <si>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</si>
  <si>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</si>
  <si>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</si>
  <si>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</si>
  <si>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Raymond Messe</t>
  </si>
  <si>
    <t>REG100853</t>
  </si>
  <si>
    <t>Cust 1301</t>
  </si>
  <si>
    <t>REG100855</t>
  </si>
  <si>
    <t>Cust 6864</t>
  </si>
  <si>
    <t>Max Ludwig</t>
  </si>
  <si>
    <t>REG100856</t>
  </si>
  <si>
    <t>Cust 5207</t>
  </si>
  <si>
    <t>Craig Carroll</t>
  </si>
  <si>
    <t>Greensboro</t>
  </si>
  <si>
    <t>REG100857</t>
  </si>
  <si>
    <t>Cust 6525</t>
  </si>
  <si>
    <t>REG100858</t>
  </si>
  <si>
    <t>Cust 8298</t>
  </si>
  <si>
    <t>REG100859</t>
  </si>
  <si>
    <t>Cust 8204</t>
  </si>
  <si>
    <t>Baltimore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</si>
  <si>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</si>
  <si>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</si>
  <si>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</si>
  <si>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</si>
  <si>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</si>
  <si>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</si>
  <si>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</si>
  <si>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</si>
  <si>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Jim Epp</t>
  </si>
  <si>
    <t>REG100864</t>
  </si>
  <si>
    <t>Cust 7282</t>
  </si>
  <si>
    <t>Roy Phan</t>
  </si>
  <si>
    <t>Kenosha</t>
  </si>
  <si>
    <t>REG100865</t>
  </si>
  <si>
    <t>Cust 8437</t>
  </si>
  <si>
    <t>REG100866</t>
  </si>
  <si>
    <t>Cust 9508</t>
  </si>
  <si>
    <t>REG101441</t>
  </si>
  <si>
    <t>Cust 1186</t>
  </si>
  <si>
    <t>Thomas Boland</t>
  </si>
  <si>
    <t>REG100867</t>
  </si>
  <si>
    <t>REG100868</t>
  </si>
  <si>
    <t>Cust 4362</t>
  </si>
  <si>
    <t>Brad Eason</t>
  </si>
  <si>
    <t>Olathe</t>
  </si>
  <si>
    <t>Kansas</t>
  </si>
  <si>
    <t>REG100869</t>
  </si>
  <si>
    <t>Cust 9388</t>
  </si>
  <si>
    <t>REG100871</t>
  </si>
  <si>
    <t>Cust 6428</t>
  </si>
  <si>
    <t>Jill Fjeld</t>
  </si>
  <si>
    <t>REG100872</t>
  </si>
  <si>
    <t>Cust 2570</t>
  </si>
  <si>
    <t>REG100873</t>
  </si>
  <si>
    <t>Cust 5132</t>
  </si>
  <si>
    <t>REG100874</t>
  </si>
  <si>
    <t>Cust 4929</t>
  </si>
  <si>
    <t>REG101415</t>
  </si>
  <si>
    <t>Cust 4018</t>
  </si>
  <si>
    <t>Phillip Breyer</t>
  </si>
  <si>
    <t>Tulsa</t>
  </si>
  <si>
    <t>REG100875</t>
  </si>
  <si>
    <t>REG100876</t>
  </si>
  <si>
    <t>Cust 8069</t>
  </si>
  <si>
    <t>REG100877</t>
  </si>
  <si>
    <t>Cust 6741</t>
  </si>
  <si>
    <t>REG100878</t>
  </si>
  <si>
    <t>Cust 8050</t>
  </si>
  <si>
    <t>Brian Thompson</t>
  </si>
  <si>
    <t>REG100879</t>
  </si>
  <si>
    <t>Cust 2434</t>
  </si>
  <si>
    <t>REG100880</t>
  </si>
  <si>
    <t>Cust 9089</t>
  </si>
  <si>
    <t>REG100881</t>
  </si>
  <si>
    <t>Cust 1091</t>
  </si>
  <si>
    <t>Janet Lee</t>
  </si>
  <si>
    <t>REG100883</t>
  </si>
  <si>
    <t>Cust 6326</t>
  </si>
  <si>
    <t>REG100884</t>
  </si>
  <si>
    <t>Cust 1327</t>
  </si>
  <si>
    <t>Redmond</t>
  </si>
  <si>
    <t>REG100885</t>
  </si>
  <si>
    <t>Cust 8602</t>
  </si>
  <si>
    <t>Cathy Hwang</t>
  </si>
  <si>
    <t>Raleigh</t>
  </si>
  <si>
    <t>REG100886</t>
  </si>
  <si>
    <t>Cust 9131</t>
  </si>
  <si>
    <t>Neil Ducich</t>
  </si>
  <si>
    <t>REG101408</t>
  </si>
  <si>
    <t>Cust 6716</t>
  </si>
  <si>
    <t>REG100887</t>
  </si>
  <si>
    <t>REG100888</t>
  </si>
  <si>
    <t>Cust 2071</t>
  </si>
  <si>
    <t>Muskogee</t>
  </si>
  <si>
    <t>REG100889</t>
  </si>
  <si>
    <t>Cust 4472</t>
  </si>
  <si>
    <t>REG100890</t>
  </si>
  <si>
    <t>Cust 3899</t>
  </si>
  <si>
    <t>REG100891</t>
  </si>
  <si>
    <t>Cust 9467</t>
  </si>
  <si>
    <t>Meriden</t>
  </si>
  <si>
    <t>REG100892</t>
  </si>
  <si>
    <t>Cust 3824</t>
  </si>
  <si>
    <t>REG100893</t>
  </si>
  <si>
    <t>Cust 3511</t>
  </si>
  <si>
    <t>Barbara Fisher</t>
  </si>
  <si>
    <t>REG100894</t>
  </si>
  <si>
    <t>Cust 3356</t>
  </si>
  <si>
    <t>Katharine Harms</t>
  </si>
  <si>
    <t>Bowling Green</t>
  </si>
  <si>
    <t>REG100895</t>
  </si>
  <si>
    <t>Cust 2840</t>
  </si>
  <si>
    <t>REG100896</t>
  </si>
  <si>
    <t>Cust 3811</t>
  </si>
  <si>
    <t>Giulietta Weimer</t>
  </si>
  <si>
    <t>REG100897</t>
  </si>
  <si>
    <t>Cust 9960</t>
  </si>
  <si>
    <t>REG100898</t>
  </si>
  <si>
    <t>Cust 5906</t>
  </si>
  <si>
    <t>REG100899</t>
  </si>
  <si>
    <t>Cust 6579</t>
  </si>
  <si>
    <t>South Bend</t>
  </si>
  <si>
    <t>REG100900</t>
  </si>
  <si>
    <t>Cust 1756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</si>
  <si>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</si>
  <si>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</si>
  <si>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</si>
  <si>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</si>
  <si>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</si>
  <si>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</si>
  <si>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</si>
  <si>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</si>
  <si>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Noah Childs</t>
  </si>
  <si>
    <t>REG100906</t>
  </si>
  <si>
    <t>Cust 4078</t>
  </si>
  <si>
    <t>REG100907</t>
  </si>
  <si>
    <t>Cust 9091</t>
  </si>
  <si>
    <t>REG101020</t>
  </si>
  <si>
    <t>Cust 8706</t>
  </si>
  <si>
    <t>REG100908</t>
  </si>
  <si>
    <t>REG100909</t>
  </si>
  <si>
    <t>Cust 5042</t>
  </si>
  <si>
    <t>REG100910</t>
  </si>
  <si>
    <t>Cust 3319</t>
  </si>
  <si>
    <t>Michelle Ellison</t>
  </si>
  <si>
    <t>REG100911</t>
  </si>
  <si>
    <t>Cust 4139</t>
  </si>
  <si>
    <t>Benjamin Patterson</t>
  </si>
  <si>
    <t>Spokane</t>
  </si>
  <si>
    <t>REG100912</t>
  </si>
  <si>
    <t>Cust 6993</t>
  </si>
  <si>
    <t>REG100913</t>
  </si>
  <si>
    <t>Cust 8397</t>
  </si>
  <si>
    <t>REG100914</t>
  </si>
  <si>
    <t>Cust 3082</t>
  </si>
  <si>
    <t>John Castell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</si>
  <si>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</si>
  <si>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</si>
  <si>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</si>
  <si>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</si>
  <si>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</si>
  <si>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</si>
  <si>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</si>
  <si>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</si>
  <si>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Keller</t>
  </si>
  <si>
    <t>REG100919</t>
  </si>
  <si>
    <t>Cust 2651</t>
  </si>
  <si>
    <t>REG100920</t>
  </si>
  <si>
    <t>Cust 1252</t>
  </si>
  <si>
    <t>REG100921</t>
  </si>
  <si>
    <t>Cust 6679</t>
  </si>
  <si>
    <t>REG100923</t>
  </si>
  <si>
    <t>Cust 9361</t>
  </si>
  <si>
    <t>Port Orange</t>
  </si>
  <si>
    <t>Medford</t>
  </si>
  <si>
    <t>REG100925</t>
  </si>
  <si>
    <t>Cust 3049</t>
  </si>
  <si>
    <t>Adam Shillingsburg</t>
  </si>
  <si>
    <t>Charlottesville</t>
  </si>
  <si>
    <t>REG100926</t>
  </si>
  <si>
    <t>Cust 6415</t>
  </si>
  <si>
    <t>Missoula</t>
  </si>
  <si>
    <t>REG100927</t>
  </si>
  <si>
    <t>Cust 9856</t>
  </si>
  <si>
    <t>Amy Cox</t>
  </si>
  <si>
    <t>REG101307</t>
  </si>
  <si>
    <t>Cust 3106</t>
  </si>
  <si>
    <t>REG100928</t>
  </si>
  <si>
    <t>REG100930</t>
  </si>
  <si>
    <t>Cust 7107</t>
  </si>
  <si>
    <t>REG100931</t>
  </si>
  <si>
    <t>Cust 7542</t>
  </si>
  <si>
    <t>REG101243</t>
  </si>
  <si>
    <t>Cust 6330</t>
  </si>
  <si>
    <t>Michael Dominguez</t>
  </si>
  <si>
    <t>REG100932</t>
  </si>
  <si>
    <t>REG100933</t>
  </si>
  <si>
    <t>Cust 1469</t>
  </si>
  <si>
    <t>Apopka</t>
  </si>
  <si>
    <t>REG100934</t>
  </si>
  <si>
    <t>Cust 3698</t>
  </si>
  <si>
    <t>REG100935</t>
  </si>
  <si>
    <t>Cust 9833</t>
  </si>
  <si>
    <t>Duane Benoit</t>
  </si>
  <si>
    <t>REG100936</t>
  </si>
  <si>
    <t>Cust 1074</t>
  </si>
  <si>
    <t>REG100937</t>
  </si>
  <si>
    <t>Cust 7891</t>
  </si>
  <si>
    <t>REG100938</t>
  </si>
  <si>
    <t>Cust 3373</t>
  </si>
  <si>
    <t>Erica Hackney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</si>
  <si>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</si>
  <si>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</si>
  <si>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</si>
  <si>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</si>
  <si>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</si>
  <si>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</si>
  <si>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</si>
  <si>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</si>
  <si>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Edward Hooks</t>
  </si>
  <si>
    <t>Reading</t>
  </si>
  <si>
    <t>REG100944</t>
  </si>
  <si>
    <t>Cust 6267</t>
  </si>
  <si>
    <t>Scot Coram</t>
  </si>
  <si>
    <t>REG101347</t>
  </si>
  <si>
    <t>Cust 7753</t>
  </si>
  <si>
    <t>REG100945</t>
  </si>
  <si>
    <t>REG100946</t>
  </si>
  <si>
    <t>Cust 2789</t>
  </si>
  <si>
    <t>REG100947</t>
  </si>
  <si>
    <t>Cust 3527</t>
  </si>
  <si>
    <t>REG100948</t>
  </si>
  <si>
    <t>Cust 9538</t>
  </si>
  <si>
    <t>REG100950</t>
  </si>
  <si>
    <t>Cust 8929</t>
  </si>
  <si>
    <t>REG100951</t>
  </si>
  <si>
    <t>Cust 8931</t>
  </si>
  <si>
    <t>REG100952</t>
  </si>
  <si>
    <t>Cust 1424</t>
  </si>
  <si>
    <t>Joe Elijah</t>
  </si>
  <si>
    <t>Broomfield</t>
  </si>
  <si>
    <t>REG100953</t>
  </si>
  <si>
    <t>Cust 6723</t>
  </si>
  <si>
    <t>REG101321</t>
  </si>
  <si>
    <t>Cust 8850</t>
  </si>
  <si>
    <t>REG100954</t>
  </si>
  <si>
    <t>Ann Chong</t>
  </si>
  <si>
    <t>REG100956</t>
  </si>
  <si>
    <t>Cust 1211</t>
  </si>
  <si>
    <t>REG100957</t>
  </si>
  <si>
    <t>Cust 9384</t>
  </si>
  <si>
    <t>Paterson</t>
  </si>
  <si>
    <t>REG100959</t>
  </si>
  <si>
    <t>Cust 9338</t>
  </si>
  <si>
    <t>REG100960</t>
  </si>
  <si>
    <t>Cust 1822</t>
  </si>
  <si>
    <t>Joy Daniels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</si>
  <si>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</si>
  <si>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</si>
  <si>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</si>
  <si>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</si>
  <si>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</si>
  <si>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</si>
  <si>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</si>
  <si>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</si>
  <si>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</si>
  <si>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</si>
  <si>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Oklahoma City</t>
  </si>
  <si>
    <t>REG100967</t>
  </si>
  <si>
    <t>Cust 1146</t>
  </si>
  <si>
    <t>Christy Brittain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</si>
  <si>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</si>
  <si>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</si>
  <si>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</si>
  <si>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</si>
  <si>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</si>
  <si>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</si>
  <si>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</si>
  <si>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</si>
  <si>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Joy Smith</t>
  </si>
  <si>
    <t>REG100972</t>
  </si>
  <si>
    <t>Cust 6438</t>
  </si>
  <si>
    <t>Chesapeake</t>
  </si>
  <si>
    <t>REG100973</t>
  </si>
  <si>
    <t>Cust 1724</t>
  </si>
  <si>
    <t>Luke Weiss</t>
  </si>
  <si>
    <t>REG100974</t>
  </si>
  <si>
    <t>Cust 7808</t>
  </si>
  <si>
    <t>Lubbock</t>
  </si>
  <si>
    <t>REG100976</t>
  </si>
  <si>
    <t>Cust 7348</t>
  </si>
  <si>
    <t>REG100977</t>
  </si>
  <si>
    <t>Cust 5666</t>
  </si>
  <si>
    <t>Johnson City</t>
  </si>
  <si>
    <t>REG100979</t>
  </si>
  <si>
    <t>Cust 6675</t>
  </si>
  <si>
    <t>Stuart Calhoun</t>
  </si>
  <si>
    <t>REG100980</t>
  </si>
  <si>
    <t>Cust 5462</t>
  </si>
  <si>
    <t>Anne McFarland</t>
  </si>
  <si>
    <t>REG100981</t>
  </si>
  <si>
    <t>Cust 3471</t>
  </si>
  <si>
    <t>San Bernardino</t>
  </si>
  <si>
    <t>REG100982</t>
  </si>
  <si>
    <t>Cust 1603</t>
  </si>
  <si>
    <t>Rick Huthwaite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</si>
  <si>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</si>
  <si>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</si>
  <si>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</si>
  <si>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</si>
  <si>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</si>
  <si>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</si>
  <si>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</si>
  <si>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</si>
  <si>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Leominster</t>
  </si>
  <si>
    <t>REG100987</t>
  </si>
  <si>
    <t>Cust 8843</t>
  </si>
  <si>
    <t>REG100988</t>
  </si>
  <si>
    <t>Cust 7505</t>
  </si>
  <si>
    <t>Carol Triggs</t>
  </si>
  <si>
    <t>REG100989</t>
  </si>
  <si>
    <t>Cust 9490</t>
  </si>
  <si>
    <t>Bozeman</t>
  </si>
  <si>
    <t>REG100990</t>
  </si>
  <si>
    <t>Cust 8631</t>
  </si>
  <si>
    <t>REG100991</t>
  </si>
  <si>
    <t>Cust 6986</t>
  </si>
  <si>
    <t>REG100992</t>
  </si>
  <si>
    <t>Cust 9636</t>
  </si>
  <si>
    <t>REG100994</t>
  </si>
  <si>
    <t>Cust 1943</t>
  </si>
  <si>
    <t>Matt Collister</t>
  </si>
  <si>
    <t>Perth Amboy</t>
  </si>
  <si>
    <t>REG100995</t>
  </si>
  <si>
    <t>Cust 6368</t>
  </si>
  <si>
    <t>REG100996</t>
  </si>
  <si>
    <t>Cust 9724</t>
  </si>
  <si>
    <t>REG100998</t>
  </si>
  <si>
    <t>Cust 8723</t>
  </si>
  <si>
    <t>REG100999</t>
  </si>
  <si>
    <t>Cust 1901</t>
  </si>
  <si>
    <t>REG101000</t>
  </si>
  <si>
    <t>Cust 9682</t>
  </si>
  <si>
    <t>Corey Catlett</t>
  </si>
  <si>
    <t>REG101001</t>
  </si>
  <si>
    <t>Cust 5413</t>
  </si>
  <si>
    <t>Kelly Andreada</t>
  </si>
  <si>
    <t>Ontario</t>
  </si>
  <si>
    <t>REG101002</t>
  </si>
  <si>
    <t>Cust 9590</t>
  </si>
  <si>
    <t>Tamara Chand</t>
  </si>
  <si>
    <t>REG101003</t>
  </si>
  <si>
    <t>Cust 9379</t>
  </si>
  <si>
    <t>REG101004</t>
  </si>
  <si>
    <t>Cust 4722</t>
  </si>
  <si>
    <t>REG101005</t>
  </si>
  <si>
    <t>Cust 7152</t>
  </si>
  <si>
    <t>Bart Folk</t>
  </si>
  <si>
    <t>REG101006</t>
  </si>
  <si>
    <t>Cust 7255</t>
  </si>
  <si>
    <t>REG101007</t>
  </si>
  <si>
    <t>Cust 9593</t>
  </si>
  <si>
    <t>REG101009</t>
  </si>
  <si>
    <t>Cust 2561</t>
  </si>
  <si>
    <t>REG101010</t>
  </si>
  <si>
    <t>Cust 8387</t>
  </si>
  <si>
    <t>Rancho Cucamonga</t>
  </si>
  <si>
    <t>REG101011</t>
  </si>
  <si>
    <t>Cust 2860</t>
  </si>
  <si>
    <t>Magdelene Morse</t>
  </si>
  <si>
    <t>REG101012</t>
  </si>
  <si>
    <t>Cust 7794</t>
  </si>
  <si>
    <t>Moorhead</t>
  </si>
  <si>
    <t>REG101013</t>
  </si>
  <si>
    <t>Cust 6075</t>
  </si>
  <si>
    <t>REG101014</t>
  </si>
  <si>
    <t>Cust 4337</t>
  </si>
  <si>
    <t>REG101015</t>
  </si>
  <si>
    <t>Cust 2540</t>
  </si>
  <si>
    <t>REG101451</t>
  </si>
  <si>
    <t>Cust 3944</t>
  </si>
  <si>
    <t>REG101016</t>
  </si>
  <si>
    <t>REG101017</t>
  </si>
  <si>
    <t>Cust 8876</t>
  </si>
  <si>
    <t>REG101018</t>
  </si>
  <si>
    <t>Cust 3286</t>
  </si>
  <si>
    <t>Adrian Hane</t>
  </si>
  <si>
    <t>Ben Wallace</t>
  </si>
  <si>
    <t>REG101021</t>
  </si>
  <si>
    <t>Cust 2608</t>
  </si>
  <si>
    <t>Mesquite</t>
  </si>
  <si>
    <t>REG101022</t>
  </si>
  <si>
    <t>Cust 3290</t>
  </si>
  <si>
    <t>REG101024</t>
  </si>
  <si>
    <t>Cust 6979</t>
  </si>
  <si>
    <t>Scot Wooten</t>
  </si>
  <si>
    <t>Stockton</t>
  </si>
  <si>
    <t>REG101025</t>
  </si>
  <si>
    <t>Cust 9375</t>
  </si>
  <si>
    <t>REG101026</t>
  </si>
  <si>
    <t>Cust 9311</t>
  </si>
  <si>
    <t>Ormond Beach</t>
  </si>
  <si>
    <t>REG101027</t>
  </si>
  <si>
    <t>Cust 4097</t>
  </si>
  <si>
    <t>Sunnyvale</t>
  </si>
  <si>
    <t>REG101028</t>
  </si>
  <si>
    <t>Cust 6145</t>
  </si>
  <si>
    <t>REG101029</t>
  </si>
  <si>
    <t>Cust 8124</t>
  </si>
  <si>
    <t>REG101030</t>
  </si>
  <si>
    <t>Cust 7826</t>
  </si>
  <si>
    <t>Brian Stugart</t>
  </si>
  <si>
    <t>REG101031</t>
  </si>
  <si>
    <t>Cust 3472</t>
  </si>
  <si>
    <t>REG101032</t>
  </si>
  <si>
    <t>Cust 4266</t>
  </si>
  <si>
    <t>Randy Ferguson</t>
  </si>
  <si>
    <t>William Brown</t>
  </si>
  <si>
    <t>REG101034</t>
  </si>
  <si>
    <t>Cust 7354</t>
  </si>
  <si>
    <t>Trudy Brown</t>
  </si>
  <si>
    <t>REG101035</t>
  </si>
  <si>
    <t>Cust 6672</t>
  </si>
  <si>
    <t>REG101036</t>
  </si>
  <si>
    <t>Cust 5589</t>
  </si>
  <si>
    <t>REG101037</t>
  </si>
  <si>
    <t>Cust 2770</t>
  </si>
  <si>
    <t>York</t>
  </si>
  <si>
    <t>REG101038</t>
  </si>
  <si>
    <t>Cust 7206</t>
  </si>
  <si>
    <t>REG101039</t>
  </si>
  <si>
    <t>Cust 1580</t>
  </si>
  <si>
    <t>REG101040</t>
  </si>
  <si>
    <t>Cust 5313</t>
  </si>
  <si>
    <t>Art Ferguson</t>
  </si>
  <si>
    <t>College Station</t>
  </si>
  <si>
    <t>REG101041</t>
  </si>
  <si>
    <t>Cust 4209</t>
  </si>
  <si>
    <t>Richard Bierner</t>
  </si>
  <si>
    <t>Saint Louis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</si>
  <si>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</si>
  <si>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</si>
  <si>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</si>
  <si>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</si>
  <si>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</si>
  <si>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</si>
  <si>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</si>
  <si>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</si>
  <si>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</si>
  <si>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</si>
  <si>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REG101049</t>
  </si>
  <si>
    <t>Cust 4496</t>
  </si>
  <si>
    <t>REG101050</t>
  </si>
  <si>
    <t>Cust 3875</t>
  </si>
  <si>
    <t>Karen Ferguson</t>
  </si>
  <si>
    <t>Manteca</t>
  </si>
  <si>
    <t>REG101051</t>
  </si>
  <si>
    <t>Cust 7232</t>
  </si>
  <si>
    <t>John Huston</t>
  </si>
  <si>
    <t>REG101053</t>
  </si>
  <si>
    <t>Cust 4537</t>
  </si>
  <si>
    <t>San Angelo</t>
  </si>
  <si>
    <t>REG101054</t>
  </si>
  <si>
    <t>Cust 6274</t>
  </si>
  <si>
    <t>Ivan Liston</t>
  </si>
  <si>
    <t>REG101055</t>
  </si>
  <si>
    <t>Cust 3810</t>
  </si>
  <si>
    <t>REG101056</t>
  </si>
  <si>
    <t>Cust 5002</t>
  </si>
  <si>
    <t>REG101057</t>
  </si>
  <si>
    <t>Cust 8551</t>
  </si>
  <si>
    <t>Patrick Bzostek</t>
  </si>
  <si>
    <t>Salt Lake City</t>
  </si>
  <si>
    <t>REG101058</t>
  </si>
  <si>
    <t>Cust 8837</t>
  </si>
  <si>
    <t>REG101059</t>
  </si>
  <si>
    <t>Cust 6523</t>
  </si>
  <si>
    <t>Rob Haberlin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</si>
  <si>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</si>
  <si>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</si>
  <si>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</si>
  <si>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</si>
  <si>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</si>
  <si>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</si>
  <si>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</si>
  <si>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</si>
  <si>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Knoxville</t>
  </si>
  <si>
    <t>REG101065</t>
  </si>
  <si>
    <t>Cust 4022</t>
  </si>
  <si>
    <t>REG101066</t>
  </si>
  <si>
    <t>Cust 8676</t>
  </si>
  <si>
    <t>Little Rock</t>
  </si>
  <si>
    <t>REG101067</t>
  </si>
  <si>
    <t>Cust 7492</t>
  </si>
  <si>
    <t>REG101333</t>
  </si>
  <si>
    <t>Cust 7872</t>
  </si>
  <si>
    <t>REG101069</t>
  </si>
  <si>
    <t>REG101070</t>
  </si>
  <si>
    <t>Cust 8762</t>
  </si>
  <si>
    <t>Arthur Wiediger</t>
  </si>
  <si>
    <t>REG101071</t>
  </si>
  <si>
    <t>Cust 4004</t>
  </si>
  <si>
    <t>REG101072</t>
  </si>
  <si>
    <t>Cust 2781</t>
  </si>
  <si>
    <t>Maris LaWare</t>
  </si>
  <si>
    <t>REG101143</t>
  </si>
  <si>
    <t>Cust 9982</t>
  </si>
  <si>
    <t>Lincoln Park</t>
  </si>
  <si>
    <t>REG101073</t>
  </si>
  <si>
    <t>REG101074</t>
  </si>
  <si>
    <t>Cust 9561</t>
  </si>
  <si>
    <t>REG101075</t>
  </si>
  <si>
    <t>Cust 3496</t>
  </si>
  <si>
    <t>REG101076</t>
  </si>
  <si>
    <t>Cust 4085</t>
  </si>
  <si>
    <t>Dorothy Badders</t>
  </si>
  <si>
    <t>REG101077</t>
  </si>
  <si>
    <t>Cust 1921</t>
  </si>
  <si>
    <t>Matt Hagelstein</t>
  </si>
  <si>
    <t>REG101078</t>
  </si>
  <si>
    <t>Cust 9053</t>
  </si>
  <si>
    <t>Dennis Kane</t>
  </si>
  <si>
    <t>Marion</t>
  </si>
  <si>
    <t>REG101412</t>
  </si>
  <si>
    <t>Cust 3559</t>
  </si>
  <si>
    <t>Bobby Trafton</t>
  </si>
  <si>
    <t>Littleton</t>
  </si>
  <si>
    <t>REG101080</t>
  </si>
  <si>
    <t>REG101082</t>
  </si>
  <si>
    <t>Cust 7060</t>
  </si>
  <si>
    <t>REG101463</t>
  </si>
  <si>
    <t>Cust 8796</t>
  </si>
  <si>
    <t>REG101083</t>
  </si>
  <si>
    <t>REG101084</t>
  </si>
  <si>
    <t>Cust 6055</t>
  </si>
  <si>
    <t>Denny Blanton</t>
  </si>
  <si>
    <t>REG101085</t>
  </si>
  <si>
    <t>Cust 5779</t>
  </si>
  <si>
    <t>REG101086</t>
  </si>
  <si>
    <t>Cust 9330</t>
  </si>
  <si>
    <t>REG101087</t>
  </si>
  <si>
    <t>Cust 5374</t>
  </si>
  <si>
    <t>Vermont</t>
  </si>
  <si>
    <t>REG101088</t>
  </si>
  <si>
    <t>Cust 3321</t>
  </si>
  <si>
    <t>REG101089</t>
  </si>
  <si>
    <t>Cust 6554</t>
  </si>
  <si>
    <t>REG101091</t>
  </si>
  <si>
    <t>Cust 9955</t>
  </si>
  <si>
    <t>Toby Gnade</t>
  </si>
  <si>
    <t>REG101092</t>
  </si>
  <si>
    <t>Cust 3320</t>
  </si>
  <si>
    <t>REG101093</t>
  </si>
  <si>
    <t>Cust 8177</t>
  </si>
  <si>
    <t>Barry Franz</t>
  </si>
  <si>
    <t>REG101094</t>
  </si>
  <si>
    <t>Cust 1743</t>
  </si>
  <si>
    <t>Justin MacKendrick</t>
  </si>
  <si>
    <t>REG101095</t>
  </si>
  <si>
    <t>Cust 3719</t>
  </si>
  <si>
    <t>REG101096</t>
  </si>
  <si>
    <t>Cust 9323</t>
  </si>
  <si>
    <t>REG101097</t>
  </si>
  <si>
    <t>Cust 1914</t>
  </si>
  <si>
    <t>Bangor</t>
  </si>
  <si>
    <t>Maine</t>
  </si>
  <si>
    <t>REG101098</t>
  </si>
  <si>
    <t>Cust 5928</t>
  </si>
  <si>
    <t>Maria Zettner</t>
  </si>
  <si>
    <t>REG101100</t>
  </si>
  <si>
    <t>Cust 8062</t>
  </si>
  <si>
    <t>Mitch Webber</t>
  </si>
  <si>
    <t>Mark Van Huff</t>
  </si>
  <si>
    <t>REG101102</t>
  </si>
  <si>
    <t>Cust 3275</t>
  </si>
  <si>
    <t>REG101103</t>
  </si>
  <si>
    <t>Cust 3854</t>
  </si>
  <si>
    <t>Sean Miller</t>
  </si>
  <si>
    <t>REG101104</t>
  </si>
  <si>
    <t>Cust 8398</t>
  </si>
  <si>
    <t>Tom Prescott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</si>
  <si>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</si>
  <si>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</si>
  <si>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</si>
  <si>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</si>
  <si>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</si>
  <si>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</si>
  <si>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</si>
  <si>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</si>
  <si>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</si>
  <si>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</si>
  <si>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</si>
  <si>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</si>
  <si>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Southaven</t>
  </si>
  <si>
    <t>REG101111</t>
  </si>
  <si>
    <t>Cust 8378</t>
  </si>
  <si>
    <t>Jim Karlsson</t>
  </si>
  <si>
    <t>REG101112</t>
  </si>
  <si>
    <t>Cust 3069</t>
  </si>
  <si>
    <t>REG101113</t>
  </si>
  <si>
    <t>Cust 7619</t>
  </si>
  <si>
    <t>New Castle</t>
  </si>
  <si>
    <t>REG101114</t>
  </si>
  <si>
    <t>Cust 6167</t>
  </si>
  <si>
    <t>Patrick Jones</t>
  </si>
  <si>
    <t>REG101138</t>
  </si>
  <si>
    <t>Cust 2453</t>
  </si>
  <si>
    <t>REG101115</t>
  </si>
  <si>
    <t>REG101116</t>
  </si>
  <si>
    <t>Cust 8896</t>
  </si>
  <si>
    <t>REG101117</t>
  </si>
  <si>
    <t>Cust 8800</t>
  </si>
  <si>
    <t>REG101118</t>
  </si>
  <si>
    <t>Cust 1819</t>
  </si>
  <si>
    <t>Ricardo Sperren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</si>
  <si>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</si>
  <si>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</si>
  <si>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</si>
  <si>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</si>
  <si>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</si>
  <si>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</si>
  <si>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</si>
  <si>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</si>
  <si>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Midland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</si>
  <si>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</si>
  <si>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</si>
  <si>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</si>
  <si>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</si>
  <si>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</si>
  <si>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</si>
  <si>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</si>
  <si>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</si>
  <si>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</si>
  <si>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</si>
  <si>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Susan Vittorini</t>
  </si>
  <si>
    <t>REG101128</t>
  </si>
  <si>
    <t>Cust 2438</t>
  </si>
  <si>
    <t>Becky Castell</t>
  </si>
  <si>
    <t>REG101129</t>
  </si>
  <si>
    <t>Cust 4293</t>
  </si>
  <si>
    <t>Elizabeth Moffitt</t>
  </si>
  <si>
    <t>Sioux Falls</t>
  </si>
  <si>
    <t>South Dakota</t>
  </si>
  <si>
    <t>REG101131</t>
  </si>
  <si>
    <t>Cust 2616</t>
  </si>
  <si>
    <t>REG101132</t>
  </si>
  <si>
    <t>Cust 5362</t>
  </si>
  <si>
    <t>REG101133</t>
  </si>
  <si>
    <t>Cust 1670</t>
  </si>
  <si>
    <t>Brendan Murry</t>
  </si>
  <si>
    <t>REG101134</t>
  </si>
  <si>
    <t>Cust 2254</t>
  </si>
  <si>
    <t>Kristina Nunn</t>
  </si>
  <si>
    <t>Fort Collins</t>
  </si>
  <si>
    <t>REG101135</t>
  </si>
  <si>
    <t>Cust 9521</t>
  </si>
  <si>
    <t>REG101136</t>
  </si>
  <si>
    <t>Cust 3921</t>
  </si>
  <si>
    <t>REG101137</t>
  </si>
  <si>
    <t>Cust 7628</t>
  </si>
  <si>
    <t>Kelly Williams</t>
  </si>
  <si>
    <t>Clarksville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</si>
  <si>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</si>
  <si>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</si>
  <si>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</si>
  <si>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</si>
  <si>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</si>
  <si>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</si>
  <si>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</si>
  <si>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</si>
  <si>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</si>
  <si>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</si>
  <si>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</si>
  <si>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</si>
  <si>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</si>
  <si>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</si>
  <si>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</si>
  <si>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</si>
  <si>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</si>
  <si>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</si>
  <si>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Scott Cohen</t>
  </si>
  <si>
    <t>REG101149</t>
  </si>
  <si>
    <t>Cust 4571</t>
  </si>
  <si>
    <t>REG101151</t>
  </si>
  <si>
    <t>Cust 6982</t>
  </si>
  <si>
    <t>REG101152</t>
  </si>
  <si>
    <t>Cust 6824</t>
  </si>
  <si>
    <t>Sacramento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</si>
  <si>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</si>
  <si>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</si>
  <si>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</si>
  <si>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</si>
  <si>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</si>
  <si>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</si>
  <si>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</si>
  <si>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</si>
  <si>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</si>
  <si>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</si>
  <si>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</si>
  <si>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</si>
  <si>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</si>
  <si>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</si>
  <si>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Thousand Oaks</t>
  </si>
  <si>
    <t>REG101160</t>
  </si>
  <si>
    <t>Cust 3421</t>
  </si>
  <si>
    <t>REG101161</t>
  </si>
  <si>
    <t>Cust 1690</t>
  </si>
  <si>
    <t>Christina VanderZanden</t>
  </si>
  <si>
    <t>REG101162</t>
  </si>
  <si>
    <t>Cust 2507</t>
  </si>
  <si>
    <t>REG101163</t>
  </si>
  <si>
    <t>Cust 9880</t>
  </si>
  <si>
    <t>Speros Goranitis</t>
  </si>
  <si>
    <t>REG101164</t>
  </si>
  <si>
    <t>Cust 3972</t>
  </si>
  <si>
    <t>Malden</t>
  </si>
  <si>
    <t>REG101350</t>
  </si>
  <si>
    <t>Cust 4205</t>
  </si>
  <si>
    <t>REG101166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</si>
  <si>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</si>
  <si>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</si>
  <si>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</si>
  <si>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</si>
  <si>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</si>
  <si>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</si>
  <si>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</si>
  <si>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</si>
  <si>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Tamara Manning</t>
  </si>
  <si>
    <t>REG101171</t>
  </si>
  <si>
    <t>Cust 9447</t>
  </si>
  <si>
    <t>REG101172</t>
  </si>
  <si>
    <t>Cust 9095</t>
  </si>
  <si>
    <t>REG101173</t>
  </si>
  <si>
    <t>Cust 7587</t>
  </si>
  <si>
    <t>Eleni McCrary</t>
  </si>
  <si>
    <t>REG101174</t>
  </si>
  <si>
    <t>Cust 2611</t>
  </si>
  <si>
    <t>REG101175</t>
  </si>
  <si>
    <t>Cust 8284</t>
  </si>
  <si>
    <t>REG101176</t>
  </si>
  <si>
    <t>Cust 8154</t>
  </si>
  <si>
    <t>Holyoke</t>
  </si>
  <si>
    <t>REG101177</t>
  </si>
  <si>
    <t>Cust 5215</t>
  </si>
  <si>
    <t>Michelle Lonsdale</t>
  </si>
  <si>
    <t>Albuquerque</t>
  </si>
  <si>
    <t>REG101178</t>
  </si>
  <si>
    <t>Cust 5309</t>
  </si>
  <si>
    <t>Sparks</t>
  </si>
  <si>
    <t>REG101179</t>
  </si>
  <si>
    <t>Cust 2016</t>
  </si>
  <si>
    <t>Coachella</t>
  </si>
  <si>
    <t>REG101180</t>
  </si>
  <si>
    <t>Cust 2676</t>
  </si>
  <si>
    <t>Clay Rozendal</t>
  </si>
  <si>
    <t>Elmhurst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</si>
  <si>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</si>
  <si>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</si>
  <si>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</si>
  <si>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</si>
  <si>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</si>
  <si>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</si>
  <si>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</si>
  <si>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</si>
  <si>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</si>
  <si>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</si>
  <si>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Annie Zypern</t>
  </si>
  <si>
    <t>REG101186</t>
  </si>
  <si>
    <t>Cust 2957</t>
  </si>
  <si>
    <t>REG101187</t>
  </si>
  <si>
    <t>Cust 2852</t>
  </si>
  <si>
    <t>REG101188</t>
  </si>
  <si>
    <t>Cust 6365</t>
  </si>
  <si>
    <t>Pierre Wener</t>
  </si>
  <si>
    <t>REG101190</t>
  </si>
  <si>
    <t>Cust 3252</t>
  </si>
  <si>
    <t>REG101191</t>
  </si>
  <si>
    <t>Cust 8679</t>
  </si>
  <si>
    <t>Passaic</t>
  </si>
  <si>
    <t>REG101192</t>
  </si>
  <si>
    <t>Cust 5547</t>
  </si>
  <si>
    <t>REG101193</t>
  </si>
  <si>
    <t>Cust 9438</t>
  </si>
  <si>
    <t>North Charleston</t>
  </si>
  <si>
    <t>REG101195</t>
  </si>
  <si>
    <t>Cust 7007</t>
  </si>
  <si>
    <t>REG101197</t>
  </si>
  <si>
    <t>Cust 5771</t>
  </si>
  <si>
    <t>REG101198</t>
  </si>
  <si>
    <t>Cust 4317</t>
  </si>
  <si>
    <t>Shahid Collister</t>
  </si>
  <si>
    <t>REG101199</t>
  </si>
  <si>
    <t>Cust 3627</t>
  </si>
  <si>
    <t>REG101200</t>
  </si>
  <si>
    <t>Cust 4433</t>
  </si>
  <si>
    <t>Newport News</t>
  </si>
  <si>
    <t>REG101201</t>
  </si>
  <si>
    <t>Cust 6231</t>
  </si>
  <si>
    <t>Carlos Meador</t>
  </si>
  <si>
    <t>REG101202</t>
  </si>
  <si>
    <t>Cust 8987</t>
  </si>
  <si>
    <t>REG101203</t>
  </si>
  <si>
    <t>Cust 4510</t>
  </si>
  <si>
    <t>Greg Maxwell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</si>
  <si>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</si>
  <si>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</si>
  <si>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</si>
  <si>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</si>
  <si>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</si>
  <si>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</si>
  <si>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</si>
  <si>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</si>
  <si>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</si>
  <si>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</si>
  <si>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</si>
  <si>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</si>
  <si>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Tim Brockman</t>
  </si>
  <si>
    <t>REG101210</t>
  </si>
  <si>
    <t>Cust 9853</t>
  </si>
  <si>
    <t>REG101211</t>
  </si>
  <si>
    <t>Cust 6168</t>
  </si>
  <si>
    <t>John Murray</t>
  </si>
  <si>
    <t>Jamestown</t>
  </si>
  <si>
    <t>REG101212</t>
  </si>
  <si>
    <t>Cust 3175</t>
  </si>
  <si>
    <t>REG101213</t>
  </si>
  <si>
    <t>Cust 1813</t>
  </si>
  <si>
    <t>Sonia Cooley</t>
  </si>
  <si>
    <t>Mishawaka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</si>
  <si>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</si>
  <si>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</si>
  <si>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</si>
  <si>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</si>
  <si>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</si>
  <si>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</si>
  <si>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</si>
  <si>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</si>
  <si>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Luke Schmidt</t>
  </si>
  <si>
    <t>REG101218</t>
  </si>
  <si>
    <t>Cust 6246</t>
  </si>
  <si>
    <t>Ralph Ritter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</si>
  <si>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</si>
  <si>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</si>
  <si>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</si>
  <si>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</si>
  <si>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</si>
  <si>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</si>
  <si>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</si>
  <si>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</si>
  <si>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</si>
  <si>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</si>
  <si>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</si>
  <si>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</si>
  <si>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Daniel Byrd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</si>
  <si>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</si>
  <si>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</si>
  <si>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</si>
  <si>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</si>
  <si>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</si>
  <si>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</si>
  <si>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</si>
  <si>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</si>
  <si>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</si>
  <si>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</si>
  <si>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</si>
  <si>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</si>
  <si>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Thomas Thornton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</si>
  <si>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</si>
  <si>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</si>
  <si>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</si>
  <si>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</si>
  <si>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</si>
  <si>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</si>
  <si>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</si>
  <si>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</si>
  <si>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Lori Olson</t>
  </si>
  <si>
    <t>La Quinta</t>
  </si>
  <si>
    <t>REG101235</t>
  </si>
  <si>
    <t>Cust 8126</t>
  </si>
  <si>
    <t>REG101236</t>
  </si>
  <si>
    <t>Cust 4609</t>
  </si>
  <si>
    <t>REG101237</t>
  </si>
  <si>
    <t>Cust 1449</t>
  </si>
  <si>
    <t>Ken Dana</t>
  </si>
  <si>
    <t>REG101238</t>
  </si>
  <si>
    <t>Cust 3508</t>
  </si>
  <si>
    <t>Nicole Brennan</t>
  </si>
  <si>
    <t>REG101240</t>
  </si>
  <si>
    <t>Cust 1232</t>
  </si>
  <si>
    <t>REG101241</t>
  </si>
  <si>
    <t>Cust 9675</t>
  </si>
  <si>
    <t>REG101242</t>
  </si>
  <si>
    <t>Cust 5153</t>
  </si>
  <si>
    <t>REG101244</t>
  </si>
  <si>
    <t>Cust 8277</t>
  </si>
  <si>
    <t>Tallahassee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</si>
  <si>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</si>
  <si>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</si>
  <si>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</si>
  <si>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</si>
  <si>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</si>
  <si>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</si>
  <si>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</si>
  <si>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</si>
  <si>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Nashville</t>
  </si>
  <si>
    <t>REG101250</t>
  </si>
  <si>
    <t>Cust 6485</t>
  </si>
  <si>
    <t>REG101251</t>
  </si>
  <si>
    <t>Cust 6960</t>
  </si>
  <si>
    <t>Brian Derr</t>
  </si>
  <si>
    <t>REG101454</t>
  </si>
  <si>
    <t>Cust 1135</t>
  </si>
  <si>
    <t>Bellingham</t>
  </si>
  <si>
    <t>REG101252</t>
  </si>
  <si>
    <t>REG101253</t>
  </si>
  <si>
    <t>Cust 6186</t>
  </si>
  <si>
    <t>REG101395</t>
  </si>
  <si>
    <t>Cust 8828</t>
  </si>
  <si>
    <t>REG101254</t>
  </si>
  <si>
    <t>Woodstock</t>
  </si>
  <si>
    <t>REG101256</t>
  </si>
  <si>
    <t>Cust 4744</t>
  </si>
  <si>
    <t>Chris McAfee</t>
  </si>
  <si>
    <t>REG101257</t>
  </si>
  <si>
    <t>Cust 4287</t>
  </si>
  <si>
    <t>REG101258</t>
  </si>
  <si>
    <t>Cust 2236</t>
  </si>
  <si>
    <t>REG101282</t>
  </si>
  <si>
    <t>Cust 5096</t>
  </si>
  <si>
    <t>Haltom City</t>
  </si>
  <si>
    <t>REG101260</t>
  </si>
  <si>
    <t>REG101261</t>
  </si>
  <si>
    <t>Cust 1162</t>
  </si>
  <si>
    <t>REG101262</t>
  </si>
  <si>
    <t>Cust 1669</t>
  </si>
  <si>
    <t>REG101263</t>
  </si>
  <si>
    <t>Cust 6213</t>
  </si>
  <si>
    <t>Wheeling</t>
  </si>
  <si>
    <t>REG101264</t>
  </si>
  <si>
    <t>Cust 7659</t>
  </si>
  <si>
    <t>Summerville</t>
  </si>
  <si>
    <t>REG101265</t>
  </si>
  <si>
    <t>Cust 2894</t>
  </si>
  <si>
    <t>REG101266</t>
  </si>
  <si>
    <t>Cust 1457</t>
  </si>
  <si>
    <t>REG101267</t>
  </si>
  <si>
    <t>Cust 2410</t>
  </si>
  <si>
    <t>Edward Nazzal</t>
  </si>
  <si>
    <t>REG101268</t>
  </si>
  <si>
    <t>Cust 4723</t>
  </si>
  <si>
    <t>Kean Nguyen</t>
  </si>
  <si>
    <t>REG101269</t>
  </si>
  <si>
    <t>Cust 1586</t>
  </si>
  <si>
    <t>REG101398</t>
  </si>
  <si>
    <t>Cust 5049</t>
  </si>
  <si>
    <t>REG101270</t>
  </si>
  <si>
    <t>REG101271</t>
  </si>
  <si>
    <t>Cust 9534</t>
  </si>
  <si>
    <t>Bill Overfelt</t>
  </si>
  <si>
    <t>REG101272</t>
  </si>
  <si>
    <t>Cust 5693</t>
  </si>
  <si>
    <t>Aleksandra Gannaway</t>
  </si>
  <si>
    <t>REG101273</t>
  </si>
  <si>
    <t>Cust 6950</t>
  </si>
  <si>
    <t>REG101274</t>
  </si>
  <si>
    <t>Cust 7098</t>
  </si>
  <si>
    <t>REG101275</t>
  </si>
  <si>
    <t>Cust 8300</t>
  </si>
  <si>
    <t>Matthew Clasen</t>
  </si>
  <si>
    <t>REG101276</t>
  </si>
  <si>
    <t>Cust 9557</t>
  </si>
  <si>
    <t>Tom Ashbrook</t>
  </si>
  <si>
    <t>REG101277</t>
  </si>
  <si>
    <t>Cust 8787</t>
  </si>
  <si>
    <t>REG101278</t>
  </si>
  <si>
    <t>Cust 9717</t>
  </si>
  <si>
    <t>REG101279</t>
  </si>
  <si>
    <t>Cust 2719</t>
  </si>
  <si>
    <t>Jason Fortune-</t>
  </si>
  <si>
    <t>REG101280</t>
  </si>
  <si>
    <t>Cust 6203</t>
  </si>
  <si>
    <t>REG101281</t>
  </si>
  <si>
    <t>Cust 9151</t>
  </si>
  <si>
    <t>Tim Taslimi</t>
  </si>
  <si>
    <t>Sarah Bern</t>
  </si>
  <si>
    <t>REG101447</t>
  </si>
  <si>
    <t>Cust 4250</t>
  </si>
  <si>
    <t>Hot Springs</t>
  </si>
  <si>
    <t>REG101283</t>
  </si>
  <si>
    <t>REG101284</t>
  </si>
  <si>
    <t>Cust 1276</t>
  </si>
  <si>
    <t>REG101285</t>
  </si>
  <si>
    <t>Cust 6063</t>
  </si>
  <si>
    <t>REG101286</t>
  </si>
  <si>
    <t>Cust 7604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</si>
  <si>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</si>
  <si>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</si>
  <si>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</si>
  <si>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</si>
  <si>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</si>
  <si>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</si>
  <si>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</si>
  <si>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</si>
  <si>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</si>
  <si>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</si>
  <si>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Craig Leslie</t>
  </si>
  <si>
    <t>REG101293</t>
  </si>
  <si>
    <t>Cust 8233</t>
  </si>
  <si>
    <t>REG101294</t>
  </si>
  <si>
    <t>Cust 9012</t>
  </si>
  <si>
    <t>Hunter Glantz</t>
  </si>
  <si>
    <t>REG101295</t>
  </si>
  <si>
    <t>Cust 1496</t>
  </si>
  <si>
    <t>Nancy Lomonaco</t>
  </si>
  <si>
    <t>REG101296</t>
  </si>
  <si>
    <t>Cust 9365</t>
  </si>
  <si>
    <t>Rick Reed</t>
  </si>
  <si>
    <t>REG101297</t>
  </si>
  <si>
    <t>Cust 1392</t>
  </si>
  <si>
    <t>Toby Carlisle</t>
  </si>
  <si>
    <t>REG101298</t>
  </si>
  <si>
    <t>Cust 3474</t>
  </si>
  <si>
    <t>REG101299</t>
  </si>
  <si>
    <t>Cust 2111</t>
  </si>
  <si>
    <t>Stewart Visinsky</t>
  </si>
  <si>
    <t>REG101301</t>
  </si>
  <si>
    <t>Cust 2341</t>
  </si>
  <si>
    <t>REG101303</t>
  </si>
  <si>
    <t>Cust 5935</t>
  </si>
  <si>
    <t>REG101377</t>
  </si>
  <si>
    <t>Cust 3291</t>
  </si>
  <si>
    <t>REG101304</t>
  </si>
  <si>
    <t>REG101305</t>
  </si>
  <si>
    <t>Cust 5258</t>
  </si>
  <si>
    <t>Englewood</t>
  </si>
  <si>
    <t>REG101308</t>
  </si>
  <si>
    <t>Cust 9606</t>
  </si>
  <si>
    <t>REG101309</t>
  </si>
  <si>
    <t>Cust 9182</t>
  </si>
  <si>
    <t>REG101310</t>
  </si>
  <si>
    <t>Cust 6299</t>
  </si>
  <si>
    <t>Bobby Elias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</si>
  <si>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</si>
  <si>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</si>
  <si>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</si>
  <si>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</si>
  <si>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</si>
  <si>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</si>
  <si>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</si>
  <si>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</si>
  <si>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</si>
  <si>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</si>
  <si>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</si>
  <si>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</si>
  <si>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</si>
  <si>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</si>
  <si>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REG101319</t>
  </si>
  <si>
    <t>Cust 1969</t>
  </si>
  <si>
    <t>REG101320</t>
  </si>
  <si>
    <t>Cust 4494</t>
  </si>
  <si>
    <t>REG101322</t>
  </si>
  <si>
    <t>Cust 3061</t>
  </si>
  <si>
    <t>Steve Carroll</t>
  </si>
  <si>
    <t>REG101334</t>
  </si>
  <si>
    <t>Cust 4732</t>
  </si>
  <si>
    <t>REG101323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</si>
  <si>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</si>
  <si>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</si>
  <si>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</si>
  <si>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</si>
  <si>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</si>
  <si>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</si>
  <si>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</si>
  <si>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</si>
  <si>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</si>
  <si>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</si>
  <si>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David Flashing</t>
  </si>
  <si>
    <t>REG101329</t>
  </si>
  <si>
    <t>Cust 4262</t>
  </si>
  <si>
    <t>REG101330</t>
  </si>
  <si>
    <t>Cust 9314</t>
  </si>
  <si>
    <t>REG101331</t>
  </si>
  <si>
    <t>Cust 7703</t>
  </si>
  <si>
    <t>Fred Harton</t>
  </si>
  <si>
    <t>Las Cruces</t>
  </si>
  <si>
    <t>REG101335</t>
  </si>
  <si>
    <t>Cust 1007</t>
  </si>
  <si>
    <t>Hoover</t>
  </si>
  <si>
    <t>REG101336</t>
  </si>
  <si>
    <t>Cust 1946</t>
  </si>
  <si>
    <t>REG101337</t>
  </si>
  <si>
    <t>Cust 6347</t>
  </si>
  <si>
    <t>MaryBeth Skach</t>
  </si>
  <si>
    <t>REG101352</t>
  </si>
  <si>
    <t>Cust 6499</t>
  </si>
  <si>
    <t>REG101338</t>
  </si>
  <si>
    <t>REG101339</t>
  </si>
  <si>
    <t>Cust 1420</t>
  </si>
  <si>
    <t>REG101340</t>
  </si>
  <si>
    <t>Cust 6744</t>
  </si>
  <si>
    <t>REG101341</t>
  </si>
  <si>
    <t>Cust 5690</t>
  </si>
  <si>
    <t>Frisco</t>
  </si>
  <si>
    <t>REG101342</t>
  </si>
  <si>
    <t>Cust 1265</t>
  </si>
  <si>
    <t>Ritsa Hightower</t>
  </si>
  <si>
    <t>REG101343</t>
  </si>
  <si>
    <t>Cust 7676</t>
  </si>
  <si>
    <t>REG101344</t>
  </si>
  <si>
    <t>Cust 4442</t>
  </si>
  <si>
    <t>Vacaville</t>
  </si>
  <si>
    <t>REG101345</t>
  </si>
  <si>
    <t>Cust 2975</t>
  </si>
  <si>
    <t>REG101346</t>
  </si>
  <si>
    <t>Cust 7832</t>
  </si>
  <si>
    <t>George Ashbrook</t>
  </si>
  <si>
    <t>REG101348</t>
  </si>
  <si>
    <t>Cust 8639</t>
  </si>
  <si>
    <t>Julie Prescott</t>
  </si>
  <si>
    <t>Dean percer</t>
  </si>
  <si>
    <t>REG101353</t>
  </si>
  <si>
    <t>Cust 4389</t>
  </si>
  <si>
    <t>Michael Oakman</t>
  </si>
  <si>
    <t>REG101354</t>
  </si>
  <si>
    <t>Cust 2008</t>
  </si>
  <si>
    <t>Waukesha</t>
  </si>
  <si>
    <t>REG101355</t>
  </si>
  <si>
    <t>Cust 6509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</si>
  <si>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</si>
  <si>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</si>
  <si>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</si>
  <si>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</si>
  <si>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</si>
  <si>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</si>
  <si>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</si>
  <si>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</si>
  <si>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Bakersfield</t>
  </si>
  <si>
    <t>REG101361</t>
  </si>
  <si>
    <t>Cust 4045</t>
  </si>
  <si>
    <t>Pompano Beach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</si>
  <si>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</si>
  <si>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</si>
  <si>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</si>
  <si>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</si>
  <si>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</si>
  <si>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</si>
  <si>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</si>
  <si>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</si>
  <si>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REG101367</t>
  </si>
  <si>
    <t>Cust 9189</t>
  </si>
  <si>
    <t>REG101368</t>
  </si>
  <si>
    <t>Cust 8802</t>
  </si>
  <si>
    <t>Corpus Christi</t>
  </si>
  <si>
    <t>REG101369</t>
  </si>
  <si>
    <t>Cust 8707</t>
  </si>
  <si>
    <t>REG101455</t>
  </si>
  <si>
    <t>Cust 5638</t>
  </si>
  <si>
    <t>Redondo Beach</t>
  </si>
  <si>
    <t>REG101370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</si>
  <si>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</si>
  <si>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</si>
  <si>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</si>
  <si>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</si>
  <si>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</si>
  <si>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</si>
  <si>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</si>
  <si>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</si>
  <si>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Denise Leinenbach</t>
  </si>
  <si>
    <t>REG101375</t>
  </si>
  <si>
    <t>Cust 7745</t>
  </si>
  <si>
    <t>REG101376</t>
  </si>
  <si>
    <t>Cust 4365</t>
  </si>
  <si>
    <t>Michelle Huthwaite</t>
  </si>
  <si>
    <t>REG101378</t>
  </si>
  <si>
    <t>Cust 9020</t>
  </si>
  <si>
    <t>REG101379</t>
  </si>
  <si>
    <t>Cust 2667</t>
  </si>
  <si>
    <t>Daniel Raglin</t>
  </si>
  <si>
    <t>REG101380</t>
  </si>
  <si>
    <t>Cust 6158</t>
  </si>
  <si>
    <t>Darrin Martin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</si>
  <si>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</si>
  <si>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</si>
  <si>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</si>
  <si>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</si>
  <si>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</si>
  <si>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</si>
  <si>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</si>
  <si>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</si>
  <si>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</si>
  <si>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</si>
  <si>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</si>
  <si>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</si>
  <si>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Carol Adams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</si>
  <si>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</si>
  <si>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</si>
  <si>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</si>
  <si>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</si>
  <si>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</si>
  <si>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</si>
  <si>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</si>
  <si>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</si>
  <si>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</si>
  <si>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</si>
  <si>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</si>
  <si>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</si>
  <si>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Anna Chung</t>
  </si>
  <si>
    <t>REG101393</t>
  </si>
  <si>
    <t>Cust 5620</t>
  </si>
  <si>
    <t>REG101396</t>
  </si>
  <si>
    <t>Cust 3187</t>
  </si>
  <si>
    <t>REG101397</t>
  </si>
  <si>
    <t>Cust 1081</t>
  </si>
  <si>
    <t>Denise Monton</t>
  </si>
  <si>
    <t>REG101479</t>
  </si>
  <si>
    <t>Cust 5409</t>
  </si>
  <si>
    <t>REG101399</t>
  </si>
  <si>
    <t>Vicky Freymann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</si>
  <si>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</si>
  <si>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</si>
  <si>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</si>
  <si>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</si>
  <si>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</si>
  <si>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</si>
  <si>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</si>
  <si>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</si>
  <si>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</si>
  <si>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</si>
  <si>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Christopher Conant</t>
  </si>
  <si>
    <t>REG101406</t>
  </si>
  <si>
    <t>Cust 8272</t>
  </si>
  <si>
    <t>REG101407</t>
  </si>
  <si>
    <t>Cust 7302</t>
  </si>
  <si>
    <t>Orlando</t>
  </si>
  <si>
    <t>REG101409</t>
  </si>
  <si>
    <t>Cust 5484</t>
  </si>
  <si>
    <t>REG101410</t>
  </si>
  <si>
    <t>Cust 4652</t>
  </si>
  <si>
    <t>Beth Fritzler</t>
  </si>
  <si>
    <t>REG101413</t>
  </si>
  <si>
    <t>Cust 1287</t>
  </si>
  <si>
    <t>REG101414</t>
  </si>
  <si>
    <t>Cust 5444</t>
  </si>
  <si>
    <t>REG101416</t>
  </si>
  <si>
    <t>Cust 6355</t>
  </si>
  <si>
    <t>REG101417</t>
  </si>
  <si>
    <t>Cust 6620</t>
  </si>
  <si>
    <t>Orange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</si>
  <si>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</si>
  <si>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</si>
  <si>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</si>
  <si>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</si>
  <si>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</si>
  <si>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</si>
  <si>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</si>
  <si>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</si>
  <si>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REG101424</t>
  </si>
  <si>
    <t>Cust 4228</t>
  </si>
  <si>
    <t>Harry Greene</t>
  </si>
  <si>
    <t>Lake Charles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</si>
  <si>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</si>
  <si>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</si>
  <si>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</si>
  <si>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</si>
  <si>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</si>
  <si>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</si>
  <si>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</si>
  <si>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</si>
  <si>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</si>
  <si>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</si>
  <si>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</si>
  <si>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</si>
  <si>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</si>
  <si>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</si>
  <si>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</si>
  <si>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</si>
  <si>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Highland Park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</si>
  <si>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</si>
  <si>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</si>
  <si>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</si>
  <si>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</si>
  <si>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</si>
  <si>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</si>
  <si>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</si>
  <si>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</si>
  <si>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Hempstead</t>
  </si>
  <si>
    <t>REG101437</t>
  </si>
  <si>
    <t>Cust 4354</t>
  </si>
  <si>
    <t>Noblesville</t>
  </si>
  <si>
    <t>REG101439</t>
  </si>
  <si>
    <t>Cust 1376</t>
  </si>
  <si>
    <t>REG101440</t>
  </si>
  <si>
    <t>Cust 6542</t>
  </si>
  <si>
    <t>REG101442</t>
  </si>
  <si>
    <t>Cust 4386</t>
  </si>
  <si>
    <t>REG101443</t>
  </si>
  <si>
    <t>Cust 6708</t>
  </si>
  <si>
    <t>REG101444</t>
  </si>
  <si>
    <t>Cust 6354</t>
  </si>
  <si>
    <t>Becky Pak</t>
  </si>
  <si>
    <t>REG101445</t>
  </si>
  <si>
    <t>Cust 3477</t>
  </si>
  <si>
    <t>Apple Valley</t>
  </si>
  <si>
    <t>REG101446</t>
  </si>
  <si>
    <t>Cust 6646</t>
  </si>
  <si>
    <t>REG101449</t>
  </si>
  <si>
    <t>Cust 6284</t>
  </si>
  <si>
    <t>REG101450</t>
  </si>
  <si>
    <t>Cust 9099</t>
  </si>
  <si>
    <t>REG101452</t>
  </si>
  <si>
    <t>Cust 6124</t>
  </si>
  <si>
    <t>REG101453</t>
  </si>
  <si>
    <t>Cust 8533</t>
  </si>
  <si>
    <t>Eugene Moren</t>
  </si>
  <si>
    <t>REG101456</t>
  </si>
  <si>
    <t>Cust 1333</t>
  </si>
  <si>
    <t>Michelle Arnett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</si>
  <si>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</si>
  <si>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</si>
  <si>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</si>
  <si>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</si>
  <si>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</si>
  <si>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</si>
  <si>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</si>
  <si>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</si>
  <si>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Andy Yotov</t>
  </si>
  <si>
    <t>REG101461</t>
  </si>
  <si>
    <t>Cust 5086</t>
  </si>
  <si>
    <t>REG101462</t>
  </si>
  <si>
    <t>Cust 8858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</si>
  <si>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</si>
  <si>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</si>
  <si>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</si>
  <si>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</si>
  <si>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</si>
  <si>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</si>
  <si>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</si>
  <si>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</si>
  <si>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Mount Pleasant</t>
  </si>
  <si>
    <t>REG101468</t>
  </si>
  <si>
    <t>Cust 8054</t>
  </si>
  <si>
    <t>Giulietta Baptist</t>
  </si>
  <si>
    <t>REG101470</t>
  </si>
  <si>
    <t>Cust 7547</t>
  </si>
  <si>
    <t>Julia Barnett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</si>
  <si>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</si>
  <si>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</si>
  <si>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</si>
  <si>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</si>
  <si>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</si>
  <si>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</si>
  <si>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</si>
  <si>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</si>
  <si>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REG101478</t>
  </si>
  <si>
    <t>Cust 8458</t>
  </si>
  <si>
    <t>Sterling Heights</t>
  </si>
  <si>
    <t>REG101480</t>
  </si>
  <si>
    <t>Cust 8847</t>
  </si>
  <si>
    <t>Michael Grace</t>
  </si>
  <si>
    <t>REG101481</t>
  </si>
  <si>
    <t>Cust 7857</t>
  </si>
  <si>
    <t>Eau Claire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</si>
  <si>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</si>
  <si>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</si>
  <si>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</si>
  <si>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</si>
  <si>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</si>
  <si>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</si>
  <si>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</si>
  <si>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</si>
  <si>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</si>
  <si>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</si>
  <si>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Sharelle Roach</t>
  </si>
  <si>
    <t>REG101487</t>
  </si>
  <si>
    <t>Cust 2905</t>
  </si>
  <si>
    <t>REG101488</t>
  </si>
  <si>
    <t>Cust 5777</t>
  </si>
  <si>
    <t>Pharr</t>
  </si>
  <si>
    <t>REG101489</t>
  </si>
  <si>
    <t>Cust 6695</t>
  </si>
  <si>
    <t>REG101490</t>
  </si>
  <si>
    <t>Cust 1977</t>
  </si>
  <si>
    <t>Joy Bell-</t>
  </si>
  <si>
    <t>REG101491</t>
  </si>
  <si>
    <t>Cust 7979</t>
  </si>
  <si>
    <t>REG101492</t>
  </si>
  <si>
    <t>Cust 2437</t>
  </si>
  <si>
    <t>REG101493</t>
  </si>
  <si>
    <t>Cust 2516</t>
  </si>
  <si>
    <t>Billings</t>
  </si>
  <si>
    <t>REG101494</t>
  </si>
  <si>
    <t>Cust 6791</t>
  </si>
  <si>
    <t>REG101495</t>
  </si>
  <si>
    <t>Cust 5227</t>
  </si>
  <si>
    <t>Gresham</t>
  </si>
  <si>
    <t>REG101496</t>
  </si>
  <si>
    <t>Cust 5559</t>
  </si>
  <si>
    <t>Dario Medina</t>
  </si>
  <si>
    <t>REG101497</t>
  </si>
  <si>
    <t>Cust 8981</t>
  </si>
  <si>
    <t>REG101498</t>
  </si>
  <si>
    <t>Cust 1824</t>
  </si>
  <si>
    <t>Segment</t>
  </si>
  <si>
    <t>Consumer</t>
  </si>
  <si>
    <t>Corporate</t>
  </si>
  <si>
    <t>Home Office</t>
  </si>
  <si>
    <t>Sum of sales</t>
  </si>
  <si>
    <t>Row Labels</t>
  </si>
  <si>
    <t>Grand Total</t>
  </si>
  <si>
    <t>Column Labels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</si>
  <si>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</si>
  <si>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</si>
  <si>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</si>
  <si>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</si>
  <si>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</si>
  <si>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</si>
  <si>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</si>
  <si>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</si>
  <si>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</si>
  <si>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</si>
  <si>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</si>
  <si>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</si>
  <si>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</si>
  <si>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Profit Margin </t>
  </si>
  <si>
    <t xml:space="preserve">Total Sales :  </t>
  </si>
  <si>
    <t>Total Orders :</t>
  </si>
  <si>
    <t xml:space="preserve">Average Order Value : </t>
  </si>
  <si>
    <t>2023</t>
  </si>
  <si>
    <t>2024</t>
  </si>
  <si>
    <t>2025</t>
  </si>
  <si>
    <t xml:space="preserve">Previous Month Sales </t>
  </si>
  <si>
    <t>Sales Variance</t>
  </si>
  <si>
    <t xml:space="preserve">Growth Percent </t>
  </si>
  <si>
    <t>Profit Margin</t>
  </si>
  <si>
    <t>Revenue Contribution</t>
  </si>
  <si>
    <t>Growth % (2023-24)</t>
  </si>
  <si>
    <t>Growth %(2024-25)</t>
  </si>
  <si>
    <t>Region VS Profit Margin</t>
  </si>
  <si>
    <t>Segment VS Revenue Contribution</t>
  </si>
  <si>
    <t xml:space="preserve">Category VS Growth Percentage </t>
  </si>
  <si>
    <t>Year : 2023, 2024,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</si>
</sst>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left" indent="1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ASHIS" refreshedDate="46157.000346875" createdVersion="8" refreshedVersion="8" minRefreshableVersion="3" recordCount="1770" xr:uid="{A33E0BBA-80CA-4D3B-9995-70B04A96AFFD}">
  <cacheSource type="worksheet">
    <worksheetSource ref="A1:N1771" sheet="Task3_PartB_RawData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5-03-28T00:00:00"/>
        <d v="2023-06-24T00:00:00"/>
        <d v="2024-02-20T00:00:00"/>
        <d v="2023-01-11T00:00:00"/>
        <d v="2023-10-19T00:00:00"/>
        <d v="2023-01-09T00:00:00"/>
        <d v="2024-10-16T00:00:00"/>
        <d v="2025-03-05T00:00:00"/>
        <d v="2024-10-24T00:00:00"/>
        <d v="2024-04-10T00:00:00"/>
        <d v="2024-07-12T00:00:00"/>
        <d v="2025-02-27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7-30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4-05-30T00:00:00"/>
        <d v="2023-06-09T00:00:00"/>
        <d v="2025-02-08T00:00:00"/>
        <d v="2023-08-10T00:00:00"/>
        <d v="2024-06-16T00:00:00"/>
        <d v="2023-07-23T00:00:00"/>
        <d v="2023-05-20T00:00:00"/>
        <d v="2023-06-30T00:00:00"/>
        <d v="2024-06-04T00:00:00"/>
        <d v="2025-03-18T00:00:00"/>
        <d v="2025-02-03T00:00:00"/>
        <d v="2024-06-05T00:00:00"/>
        <d v="2024-01-09T00:00:00"/>
        <d v="2024-03-14T00:00:00"/>
        <d v="2024-09-06T00:00:00"/>
        <d v="2023-03-17T00:00:00"/>
        <d v="2025-01-17T00:00:00"/>
        <d v="2024-09-12T00:00:00"/>
        <d v="2024-03-24T00:00:00"/>
        <d v="2024-01-05T00:00:00"/>
        <d v="2024-04-19T00:00:00"/>
        <d v="2025-06-11T00:00:00"/>
        <d v="2025-03-06T00:00:00"/>
        <d v="2023-04-15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4-06-06T00:00:00"/>
        <d v="2023-07-27T00:00:00"/>
        <d v="2024-10-11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3-03-12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5-04-18T00:00:00"/>
        <d v="2024-12-02T00:00:00"/>
        <d v="2024-08-26T00:00:00"/>
        <d v="2024-07-07T00:00:00"/>
        <d v="2025-06-24T00:00:00"/>
        <d v="2023-09-29T00:00:00"/>
        <d v="2023-10-04T00:00:00"/>
        <d v="2025-06-09T00:00:00"/>
        <d v="2023-09-11T00:00:00"/>
        <d v="2025-06-12T00:00:00"/>
        <d v="2024-06-29T00:00:00"/>
        <d v="2024-06-26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4-04-20T00:00:00"/>
        <d v="2023-12-01T00:00:00"/>
        <d v="2024-01-24T00:00:00"/>
        <d v="2024-03-07T00:00:00"/>
        <d v="2023-03-24T00:00:00"/>
        <d v="2024-01-22T00:00:00"/>
        <d v="2024-07-08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12-26T00:00:00"/>
        <d v="2024-04-29T00:00:00"/>
        <d v="2023-03-18T00:00:00"/>
        <d v="2024-12-21T00:00:00"/>
        <d v="2023-04-23T00:00:00"/>
        <d v="2023-03-04T00:00:00"/>
        <d v="2025-01-20T00:00:00"/>
        <d v="2023-08-30T00:00:00"/>
        <d v="2024-11-08T00:00:00"/>
        <d v="2024-03-17T00:00:00"/>
        <d v="2023-08-29T00:00:00"/>
        <d v="2023-12-12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3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4-09T00:00:00"/>
        <d v="2023-08-14T00:00:00"/>
        <d v="2024-09-02T00:00:00"/>
        <d v="2025-06-29T00:00:00"/>
        <d v="2025-04-14T00:00:00"/>
        <d v="2025-04-02T00:00:00"/>
        <d v="2023-04-27T00:00:00"/>
        <d v="2024-08-07T00:00:00"/>
        <d v="2023-08-12T00:00:00"/>
        <d v="2023-06-19T00:00:00"/>
        <d v="2023-11-06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4-11-25T00:00:00"/>
        <d v="2023-01-24T00:00:00"/>
        <d v="2025-03-20T00:00:00"/>
        <d v="2024-02-22T00:00:00"/>
        <d v="2023-09-14T00:00:00"/>
        <d v="2024-06-14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6-01T00:00:00"/>
        <d v="2024-09-26T00:00:00"/>
        <d v="2024-08-10T00:00:00"/>
        <d v="2025-03-02T00:00:00"/>
        <d v="2025-03-10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4-04-08T00:00:00"/>
        <d v="2024-06-25T00:00:00"/>
        <d v="2023-11-22T00:00:00"/>
        <d v="2023-01-25T00:00:00"/>
        <d v="2023-02-02T00:00:00"/>
        <d v="2023-02-06T00:00:00"/>
        <d v="2024-07-15T00:00:00"/>
        <d v="2023-07-29T00:00:00"/>
        <d v="2023-07-26T00:00:00"/>
        <d v="2023-01-10T00:00:00"/>
        <d v="2025-01-24T00:00:00"/>
        <d v="2025-04-27T00:00:00"/>
        <d v="2025-02-20T00:00:00"/>
        <d v="2024-04-17T00:00:00"/>
        <d v="2024-11-14T00:00:00"/>
        <d v="2024-07-25T00:00:00"/>
        <d v="2023-07-04T00:00:00"/>
        <d v="2024-09-20T00:00:00"/>
        <d v="2023-09-08T00:00:00"/>
        <d v="2025-04-20T00:00:00"/>
        <d v="2024-06-20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4-04-23T00:00:00"/>
        <d v="2025-01-30T00:00:00"/>
        <d v="2025-03-29T00:00:00"/>
        <d v="2024-11-02T00:00:00"/>
        <d v="2024-06-30T00:00:00"/>
        <d v="2023-08-31T00:00:00"/>
        <d v="2023-06-21T00:00:00"/>
        <d v="2024-10-07T00:00:00"/>
        <d v="2023-04-12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4-11-28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1-29T00:00:00"/>
        <d v="2023-11-21T00:00:00"/>
        <d v="2024-12-16T00:00:00"/>
        <d v="2023-08-05T00:00:00"/>
        <d v="2025-03-25T00:00:00"/>
        <d v="2023-09-07T00:00:00"/>
        <d v="2024-04-25T00:00:00"/>
        <d v="2025-05-04T00:00:00"/>
        <d v="2023-09-16T00:00:00"/>
        <d v="2023-05-03T00:00:00"/>
        <d v="2023-08-25T00:00:00"/>
        <d v="2024-07-04T00:00:00"/>
        <d v="2023-07-13T00:00:00"/>
        <d v="2025-02-25T00:00:00"/>
        <d v="2023-02-09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4-09-22T00:00:00"/>
        <d v="2023-08-21T00:00:00"/>
        <d v="2024-06-07T00:00:00"/>
        <d v="2024-11-03T00:00:00"/>
        <d v="2025-05-24T00:00:00"/>
        <d v="2023-06-01T00:00:00"/>
        <d v="2025-04-17T00:00:00"/>
        <d v="2025-03-31T00:00:00"/>
        <d v="2024-08-30T00:00:00"/>
        <d v="2025-01-07T00:00:00"/>
        <d v="2025-05-20T00:00:00"/>
        <d v="2025-02-05T00:00:00"/>
        <d v="2025-01-04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12-26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3-09-24T00:00:00"/>
        <d v="2024-06-21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4-08-13T00:00:00"/>
        <d v="2024-06-19T00:00:00"/>
        <d v="2023-06-23T00:00:00"/>
        <d v="2024-09-21T00:00:00"/>
        <d v="2025-01-02T00:00:00"/>
        <d v="2024-05-04T00:00:00"/>
        <d v="2024-11-13T00:00:00"/>
        <d v="2024-08-29T00:00:00"/>
        <d v="2023-10-31T00:00:00"/>
        <d v="2023-12-19T00:00:00"/>
        <d v="2023-08-15T00:00:00"/>
        <d v="2023-01-16T00:00:00"/>
        <d v="2023-04-06T00:00:00"/>
        <d v="2025-02-28T00:00:00"/>
        <d v="2023-12-04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3-10-02T00:00:00"/>
        <d v="2023-06-18T00:00:00"/>
        <d v="2024-04-05T00:00:00"/>
        <d v="2023-04-26T00:00:00"/>
        <d v="2025-06-14T00:00:00"/>
        <d v="2024-12-22T00:00:00"/>
        <d v="2024-04-22T00:00:00"/>
        <d v="2023-03-16T00:00:00"/>
        <d v="2023-05-06T00:00:00"/>
        <d v="2024-10-03T00:00:00"/>
        <d v="2024-04-30T00:00:00"/>
        <d v="2025-03-11T00:00:00"/>
        <d v="2024-06-02T00:00:00"/>
        <d v="2024-09-01T00:00:00"/>
        <d v="2025-01-11T00:00:00"/>
        <d v="2023-07-05T00:00:00"/>
        <d v="2025-04-08T00:00:00"/>
        <d v="2023-01-20T00:00:00"/>
        <d v="2024-01-12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4-11-26T00:00:00"/>
        <d v="2023-04-29T00:00:00"/>
        <d v="2023-04-30T00:00:00"/>
        <d v="2023-03-23T00:00:00"/>
        <d v="2024-12-10T00:00:00"/>
        <d v="2025-01-01T00:00:00"/>
        <d v="2023-02-20T00:00:00"/>
        <d v="2024-01-16T00:00:00"/>
        <d v="2023-12-08T00:00:00"/>
        <d v="2023-03-15T00:00:00"/>
        <d v="2025-02-07T00:00:00"/>
        <d v="2025-06-27T00:00:00"/>
        <d v="2024-12-17T00:00:00"/>
        <d v="2023-05-12T00:00:00"/>
        <d v="2024-05-13T00:00:00"/>
        <d v="2023-10-07T00:00:00"/>
        <d v="2023-07-11T00:00:00"/>
        <d v="2023-02-04T00:00:00"/>
        <d v="2023-09-02T00:00:00"/>
        <d v="2024-04-16T00:00:00"/>
        <d v="2023-10-13T00:00:00"/>
        <d v="2024-04-28T00:00:00"/>
        <d v="2024-02-07T00:00:00"/>
        <d v="2024-02-29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5-05-19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5-06-06T00:00:00"/>
        <d v="2024-12-23T00:00:00"/>
        <d v="2024-12-31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5-05-09T00:00:00"/>
        <d v="2024-04-13T00:00:00"/>
        <d v="2023-05-17T00:00:00"/>
        <d v="2024-01-27T00:00:00"/>
        <d v="2025-05-26T00:00:00"/>
        <d v="2025-05-05T00:00:00"/>
        <d v="2024-11-01T00:00:00"/>
        <d v="2024-06-24T00:00:00"/>
        <d v="2023-12-28T00:00:00"/>
        <d v="2023-10-11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3-01-29T00:00:00"/>
        <d v="2023-08-01T00:00:00"/>
        <d v="2025-04-05T00:00:00"/>
        <d v="2024-10-12T00:00:00"/>
        <d v="2025-01-10T00:00:00"/>
        <d v="2024-05-22T00:00:00"/>
        <d v="2025-01-26T00:00:00"/>
        <d v="2024-06-18T00:00:00"/>
        <d v="2024-10-29T00:00:00"/>
        <d v="2023-01-31T00:00:00"/>
        <d v="2025-03-16T00:00:00"/>
        <d v="2024-12-20T00:00:00"/>
        <d v="2023-08-22T00:00:00"/>
        <d v="2024-12-09T00:00:00"/>
        <d v="2025-03-12T00:00:00"/>
        <d v="2025-05-31T00:00:00"/>
        <d v="2023-08-07T00:00:00"/>
        <d v="2024-08-01T00:00:00"/>
        <d v="2023-03-20T00:00:00"/>
        <d v="2024-05-19T00:00:00"/>
        <d v="2024-07-09T00:00:00"/>
        <d v="2023-03-31T00:00:00"/>
        <d v="2025-06-28T00:00:00"/>
        <d v="2024-03-09T00:00:00"/>
        <d v="2023-09-12T00:00:00"/>
        <d v="2024-06-17T00:00:00"/>
        <d v="2025-01-03T00:00:00"/>
        <d v="2025-04-26T00:00:00"/>
        <d v="2023-06-08T00:00:00"/>
        <d v="2025-05-23T00:00:00"/>
        <d v="2024-06-09T00:00:00"/>
        <d v="2024-06-11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9-20T00:00:00"/>
        <d v="2023-03-22T00:00:00"/>
        <d v="2023-09-05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4-01-08T00:00:00"/>
        <d v="2025-04-10T00:00:00"/>
        <d v="2025-04-03T00:00:00"/>
        <d v="2023-01-26T00:00:00"/>
        <d v="2025-01-15T00:00:00"/>
        <d v="2024-11-30T00:00:00"/>
        <d v="2024-06-27T00:00:00"/>
        <d v="2024-08-18T00:00:00"/>
        <d v="2025-04-28T00:00:00"/>
        <d v="2024-10-27T00:00:00"/>
        <d v="2025-02-04T00:00:00"/>
        <d v="2024-02-21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12-12T00:00:00"/>
        <d v="2024-12-01T00:00:00"/>
        <d v="2024-09-03T00:00:00"/>
        <d v="2025-02-22T00:00:00"/>
        <d v="2023-04-18T00:00:00"/>
        <d v="2024-02-25T00:00:00"/>
        <d v="2024-02-14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3-10-16T00:00:00"/>
        <d v="2023-05-21T00:00:00"/>
        <d v="2024-03-26T00:00:00"/>
        <d v="2024-09-25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12-06T00:00:00"/>
        <d v="2025-02-11T00:00:00"/>
        <d v="2024-08-08T00:00:00"/>
        <d v="2023-08-1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9T00:00:00"/>
        <d v="2023-04-08T00:00:00"/>
        <d v="2023-01-30T00:00:00"/>
        <d v="2025-03-24T00:00:00"/>
        <d v="2025-05-03T00:00:00"/>
        <d v="2025-01-05T00:00:00"/>
        <d v="2023-11-12T00:00:00"/>
        <d v="2024-03-12T00:00:00"/>
        <d v="2024-07-03T00:00:00"/>
        <d v="2024-02-04T00:00:00"/>
        <d v="2025-05-02T00:00:00"/>
        <d v="2025-06-23T00:00:00"/>
        <d v="2025-05-07T00:00:00"/>
        <d v="2025-04-24T00:00:00"/>
        <d v="2024-11-07T00:00:00"/>
        <d v="2024-07-26T00:00:00"/>
        <d v="2024-03-25T00:00:00"/>
        <d v="2023-10-20T00:00:00"/>
        <d v="2023-01-18T00:00:00"/>
        <d v="2024-09-19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4-08-03T00:00:00"/>
        <d v="2023-05-26T00:00:00"/>
        <d v="2024-10-25T00:00:00"/>
        <d v="2024-03-30T00:00:00"/>
        <d v="2023-10-08T00:00:00"/>
        <d v="2023-06-02T00:00:00"/>
        <d v="2024-12-06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4-07-24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14"/>
    </cacheField>
    <cacheField name="customer_id" numFmtId="0">
      <sharedItems/>
    </cacheField>
    <cacheField name="product_name" numFmtId="0">
      <sharedItems count="7">
        <s v="Laptop"/>
        <s v="Phone"/>
        <s v="Desk"/>
        <s v="Chair"/>
        <s v="Printer"/>
        <s v="Monitor"/>
        <s v="Tablet"/>
      </sharedItems>
    </cacheField>
    <cacheField name="sales" numFmtId="0">
      <sharedItems containsSemiMixedTypes="0" containsString="0" containsNumber="1" minValue="6.97" maxValue="11077"/>
    </cacheField>
    <cacheField name="quantity" numFmtId="0">
      <sharedItems containsSemiMixedTypes="0" containsString="0" containsNumber="1" containsInteger="1" minValue="1" maxValue="20"/>
    </cacheField>
    <cacheField name="profit" numFmtId="0">
      <sharedItems containsSemiMixedTypes="0" containsString="0" containsNumber="1" minValue="2.09" maxValue="3323.1"/>
    </cacheField>
    <cacheField name="discount" numFmtId="0">
      <sharedItems containsSemiMixedTypes="0" containsString="0" containsNumber="1" minValue="0" maxValue="0.15"/>
    </cacheField>
    <cacheField name="customer_id-2" numFmtId="0">
      <sharedItems/>
    </cacheField>
    <cacheField name="customer_name" numFmtId="0">
      <sharedItems/>
    </cacheField>
    <cacheField name="region" numFmtId="0">
      <sharedItems count="5">
        <s v="East"/>
        <s v="South"/>
        <s v="North"/>
        <s v="Central"/>
        <s v="West"/>
      </sharedItems>
    </cacheField>
    <cacheField name="city" numFmtId="0">
      <sharedItems/>
    </cacheField>
    <cacheField name="state" numFmtId="0">
      <sharedItems/>
    </cacheField>
    <cacheField name="Segment" numFmtId="0">
      <sharedItems count="3">
        <s v="Consumer"/>
        <s v="Corporate"/>
        <s v="Home Office"/>
      </sharedItems>
    </cacheField>
    <cacheField name="Years (order_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s v="REG100000"/>
    <x v="0"/>
    <s v="Cust 6583"/>
    <x v="0"/>
    <n v="2290.4"/>
    <n v="14"/>
    <n v="687.12"/>
    <n v="0"/>
    <s v="Cust 6583"/>
    <s v="Claire Gute"/>
    <x v="0"/>
    <s v="Henderson"/>
    <s v="Kentucky"/>
    <x v="0"/>
  </r>
  <r>
    <s v="REG100001"/>
    <x v="1"/>
    <s v="Cust 2144"/>
    <x v="1"/>
    <n v="544.01"/>
    <n v="1"/>
    <n v="163.19999999999999"/>
    <n v="0"/>
    <s v="Cust 2144"/>
    <s v="Darrin Van Huff"/>
    <x v="1"/>
    <s v="Los Angeles"/>
    <s v="California"/>
    <x v="0"/>
  </r>
  <r>
    <s v="REG100002"/>
    <x v="2"/>
    <s v="Cust 5998"/>
    <x v="2"/>
    <n v="4361.87"/>
    <n v="14"/>
    <n v="1308.56"/>
    <n v="0.1"/>
    <s v="Cust 5998"/>
    <s v="Sean O'Donnell"/>
    <x v="2"/>
    <s v="Fort Lauderdale"/>
    <s v="Florida"/>
    <x v="1"/>
  </r>
  <r>
    <s v="REG100003"/>
    <x v="3"/>
    <s v="Cust 7136"/>
    <x v="3"/>
    <n v="5887.75"/>
    <n v="18"/>
    <n v="1766.32"/>
    <n v="0.15"/>
    <s v="Cust 7136"/>
    <s v="Brosina Hoffman"/>
    <x v="3"/>
    <s v="Los Angeles"/>
    <s v="California"/>
    <x v="0"/>
  </r>
  <r>
    <s v="REG100152"/>
    <x v="4"/>
    <s v="Cust 6506"/>
    <x v="4"/>
    <n v="5313.52"/>
    <n v="20"/>
    <n v="1594.06"/>
    <n v="0.15"/>
    <s v="Cust 6506"/>
    <s v="Andrew Allen"/>
    <x v="0"/>
    <s v="Concord"/>
    <s v="North Carolina"/>
    <x v="0"/>
  </r>
  <r>
    <s v="REG100004"/>
    <x v="5"/>
    <s v="Cust 6506"/>
    <x v="2"/>
    <n v="4279.68"/>
    <n v="18"/>
    <n v="1283.9000000000001"/>
    <n v="0"/>
    <s v="Cust 6506"/>
    <s v="Andrew Allen"/>
    <x v="0"/>
    <s v="Concord"/>
    <s v="North Carolina"/>
    <x v="0"/>
  </r>
  <r>
    <s v="REG100005"/>
    <x v="6"/>
    <s v="Cust 3909"/>
    <x v="5"/>
    <n v="654.65"/>
    <n v="2"/>
    <n v="196.4"/>
    <n v="0.15"/>
    <s v="Cust 3909"/>
    <s v="Irene Maddox"/>
    <x v="3"/>
    <s v="Seattle"/>
    <s v="Washington"/>
    <x v="0"/>
  </r>
  <r>
    <s v="REG100006"/>
    <x v="7"/>
    <s v="Cust 7887"/>
    <x v="3"/>
    <n v="110.25"/>
    <n v="7"/>
    <n v="33.08"/>
    <n v="0.1"/>
    <s v="Cust 7887"/>
    <s v="Harold Pawlan"/>
    <x v="1"/>
    <s v="Fort Worth"/>
    <s v="Texas"/>
    <x v="0"/>
  </r>
  <r>
    <s v="REG100802"/>
    <x v="8"/>
    <s v="Cust 5301"/>
    <x v="3"/>
    <n v="4599.2700000000004"/>
    <n v="13"/>
    <n v="1379.78"/>
    <n v="0.1"/>
    <s v="Cust 5301"/>
    <s v="Pete Kriz"/>
    <x v="3"/>
    <s v="Madison"/>
    <s v="Wisconsin"/>
    <x v="0"/>
  </r>
  <r>
    <s v="REG100007"/>
    <x v="9"/>
    <s v="Cust 5301"/>
    <x v="3"/>
    <n v="842.06"/>
    <n v="3"/>
    <n v="252.62"/>
    <n v="0.15"/>
    <s v="Cust 5301"/>
    <s v="Pete Kriz"/>
    <x v="3"/>
    <s v="Madison"/>
    <s v="Wisconsin"/>
    <x v="0"/>
  </r>
  <r>
    <s v="REG100008"/>
    <x v="10"/>
    <s v="Cust 2284"/>
    <x v="3"/>
    <n v="1231.31"/>
    <n v="3"/>
    <n v="369.39"/>
    <n v="0.05"/>
    <s v="Cust 2284"/>
    <s v="Alejandro Grove"/>
    <x v="1"/>
    <s v="West Jordan"/>
    <s v="Utah"/>
    <x v="0"/>
  </r>
  <r>
    <s v="REG100009"/>
    <x v="11"/>
    <s v="Cust 3732"/>
    <x v="2"/>
    <n v="1454.76"/>
    <n v="5"/>
    <n v="436.43"/>
    <n v="0.1"/>
    <s v="Cust 3732"/>
    <s v="Zuschuss Donatelli"/>
    <x v="4"/>
    <s v="San Francisco"/>
    <s v="California"/>
    <x v="0"/>
  </r>
  <r>
    <s v="REG101438"/>
    <x v="12"/>
    <s v="Cust 1462"/>
    <x v="4"/>
    <n v="3723.17"/>
    <n v="9"/>
    <n v="1116.95"/>
    <n v="0.1"/>
    <s v="Cust 1462"/>
    <s v="Ken Black"/>
    <x v="2"/>
    <s v="Fremont"/>
    <s v="Nebraska"/>
    <x v="0"/>
  </r>
  <r>
    <s v="REG100010"/>
    <x v="13"/>
    <s v="Cust 1462"/>
    <x v="2"/>
    <n v="6671.95"/>
    <n v="15"/>
    <n v="2001.58"/>
    <n v="0.15"/>
    <s v="Cust 1462"/>
    <s v="Ken Black"/>
    <x v="2"/>
    <s v="Fremont"/>
    <s v="Nebraska"/>
    <x v="0"/>
  </r>
  <r>
    <s v="REG100011"/>
    <x v="14"/>
    <s v="Cust 4330"/>
    <x v="1"/>
    <n v="3545.69"/>
    <n v="19"/>
    <n v="1063.71"/>
    <n v="0.1"/>
    <s v="Cust 4330"/>
    <s v="Sandra Flanagan"/>
    <x v="0"/>
    <s v="Philadelphia"/>
    <s v="Pennsylvania"/>
    <x v="2"/>
  </r>
  <r>
    <s v="REG101400"/>
    <x v="15"/>
    <s v="Cust 2372"/>
    <x v="5"/>
    <n v="7396.09"/>
    <n v="18"/>
    <n v="2218.83"/>
    <n v="0.05"/>
    <s v="Cust 2372"/>
    <s v="Emily Burns"/>
    <x v="3"/>
    <s v="Orem"/>
    <s v="Utah"/>
    <x v="2"/>
  </r>
  <r>
    <s v="REG100012"/>
    <x v="16"/>
    <s v="Cust 2372"/>
    <x v="1"/>
    <n v="114.5"/>
    <n v="1"/>
    <n v="34.35"/>
    <n v="0.05"/>
    <s v="Cust 2372"/>
    <s v="Emily Burns"/>
    <x v="3"/>
    <s v="Orem"/>
    <s v="Utah"/>
    <x v="0"/>
  </r>
  <r>
    <s v="REG100013"/>
    <x v="17"/>
    <s v="Cust 4672"/>
    <x v="6"/>
    <n v="134.16"/>
    <n v="1"/>
    <n v="40.25"/>
    <n v="0.15"/>
    <s v="Cust 4672"/>
    <s v="Eric Hoffmann"/>
    <x v="4"/>
    <s v="Los Angeles"/>
    <s v="California"/>
    <x v="0"/>
  </r>
  <r>
    <s v="REG100014"/>
    <x v="18"/>
    <s v="Cust 4548"/>
    <x v="2"/>
    <n v="2808.83"/>
    <n v="15"/>
    <n v="842.65"/>
    <n v="0.15"/>
    <s v="Cust 4548"/>
    <s v="Tracy Blumstein"/>
    <x v="2"/>
    <s v="Philadelphia"/>
    <s v="Pennsylvania"/>
    <x v="0"/>
  </r>
  <r>
    <s v="REG100015"/>
    <x v="19"/>
    <s v="Cust 7037"/>
    <x v="3"/>
    <n v="2631.8"/>
    <n v="17"/>
    <n v="789.54"/>
    <n v="0.05"/>
    <s v="Cust 7037"/>
    <s v="Matt Abelman"/>
    <x v="4"/>
    <s v="Houston"/>
    <s v="Texas"/>
    <x v="0"/>
  </r>
  <r>
    <s v="REG100016"/>
    <x v="20"/>
    <s v="Cust 4975"/>
    <x v="0"/>
    <n v="4486.09"/>
    <n v="19"/>
    <n v="1345.83"/>
    <n v="0"/>
    <s v="Cust 4975"/>
    <s v="Gene Hale"/>
    <x v="4"/>
    <s v="Richardson"/>
    <s v="Texas"/>
    <x v="0"/>
  </r>
  <r>
    <s v="REG100017"/>
    <x v="21"/>
    <s v="Cust 8014"/>
    <x v="2"/>
    <n v="5989.31"/>
    <n v="11"/>
    <n v="1796.79"/>
    <n v="0.05"/>
    <s v="Cust 8014"/>
    <s v="Steve Nguyen"/>
    <x v="3"/>
    <s v="Houston"/>
    <s v="Texas"/>
    <x v="1"/>
  </r>
  <r>
    <s v="REG100018"/>
    <x v="22"/>
    <s v="Cust 1228"/>
    <x v="1"/>
    <n v="8823.68"/>
    <n v="20"/>
    <n v="2647.1"/>
    <n v="0.15"/>
    <s v="Cust 1228"/>
    <s v="Linda Cazamias"/>
    <x v="0"/>
    <s v="Naperville"/>
    <s v="Illinois"/>
    <x v="1"/>
  </r>
  <r>
    <s v="REG100019"/>
    <x v="23"/>
    <s v="Cust 4247"/>
    <x v="2"/>
    <n v="431.62"/>
    <n v="14"/>
    <n v="129.49"/>
    <n v="0"/>
    <s v="Cust 4247"/>
    <s v="Ruben Ausman"/>
    <x v="4"/>
    <s v="Los Angeles"/>
    <s v="California"/>
    <x v="0"/>
  </r>
  <r>
    <s v="REG100020"/>
    <x v="24"/>
    <s v="Cust 4199"/>
    <x v="1"/>
    <n v="3190.5"/>
    <n v="10"/>
    <n v="957.15"/>
    <n v="0"/>
    <s v="Cust 4199"/>
    <s v="Erin Smith"/>
    <x v="4"/>
    <s v="Melbourne"/>
    <s v="Florida"/>
    <x v="0"/>
  </r>
  <r>
    <s v="REG100455"/>
    <x v="25"/>
    <s v="Cust 4186"/>
    <x v="3"/>
    <n v="475.48"/>
    <n v="1"/>
    <n v="142.63999999999999"/>
    <n v="0.1"/>
    <s v="Cust 4186"/>
    <s v="Odella Nelson"/>
    <x v="3"/>
    <s v="Eagan"/>
    <s v="Minnesota"/>
    <x v="0"/>
  </r>
  <r>
    <s v="REG100021"/>
    <x v="26"/>
    <s v="Cust 4186"/>
    <x v="3"/>
    <n v="4160.1099999999997"/>
    <n v="14"/>
    <n v="1248.03"/>
    <n v="0.05"/>
    <s v="Cust 4186"/>
    <s v="Odella Nelson"/>
    <x v="3"/>
    <s v="Eagan"/>
    <s v="Minnesota"/>
    <x v="0"/>
  </r>
  <r>
    <s v="REG100022"/>
    <x v="27"/>
    <s v="Cust 8137"/>
    <x v="0"/>
    <n v="5536.3"/>
    <n v="14"/>
    <n v="1660.89"/>
    <n v="0"/>
    <s v="Cust 8137"/>
    <s v="Patrick O'Donnell"/>
    <x v="2"/>
    <s v="Westland"/>
    <s v="Michigan"/>
    <x v="0"/>
  </r>
  <r>
    <s v="REG100023"/>
    <x v="28"/>
    <s v="Cust 4638"/>
    <x v="0"/>
    <n v="4821.74"/>
    <n v="12"/>
    <n v="1446.52"/>
    <n v="0.15"/>
    <s v="Cust 4638"/>
    <s v="Lena Hernandez"/>
    <x v="3"/>
    <s v="Dover"/>
    <s v="Delaware"/>
    <x v="0"/>
  </r>
  <r>
    <s v="REG100024"/>
    <x v="29"/>
    <s v="Cust 8538"/>
    <x v="2"/>
    <n v="1440.05"/>
    <n v="5"/>
    <n v="432.02"/>
    <n v="0"/>
    <s v="Cust 8538"/>
    <s v="Darren Powers"/>
    <x v="2"/>
    <s v="New Albany"/>
    <s v="Indiana"/>
    <x v="0"/>
  </r>
  <r>
    <s v="REG100025"/>
    <x v="30"/>
    <s v="Cust 6322"/>
    <x v="1"/>
    <n v="7309.77"/>
    <n v="13"/>
    <n v="2192.9299999999998"/>
    <n v="0"/>
    <s v="Cust 6322"/>
    <s v="Janet Molinari"/>
    <x v="0"/>
    <s v="New York City"/>
    <s v="New York"/>
    <x v="0"/>
  </r>
  <r>
    <s v="REG100026"/>
    <x v="31"/>
    <s v="Cust 2609"/>
    <x v="1"/>
    <n v="101.73"/>
    <n v="1"/>
    <n v="30.52"/>
    <n v="0"/>
    <s v="Cust 2609"/>
    <s v="Ted Butterfield"/>
    <x v="4"/>
    <s v="Troy"/>
    <s v="New York"/>
    <x v="0"/>
  </r>
  <r>
    <s v="REG100027"/>
    <x v="26"/>
    <s v="Cust 6880"/>
    <x v="1"/>
    <n v="1117.96"/>
    <n v="4"/>
    <n v="335.39"/>
    <n v="0"/>
    <s v="Cust 6880"/>
    <s v="Kunst Miller"/>
    <x v="2"/>
    <s v="Los Angeles"/>
    <s v="California"/>
    <x v="0"/>
  </r>
  <r>
    <s v="REG100028"/>
    <x v="32"/>
    <s v="Cust 1997"/>
    <x v="0"/>
    <n v="151.77000000000001"/>
    <n v="1"/>
    <n v="45.53"/>
    <n v="0.15"/>
    <s v="Cust 1997"/>
    <s v="Paul Stevenson"/>
    <x v="1"/>
    <s v="Chicago"/>
    <s v="Illinois"/>
    <x v="0"/>
  </r>
  <r>
    <s v="REG100029"/>
    <x v="33"/>
    <s v="Cust 7072"/>
    <x v="6"/>
    <n v="424.86"/>
    <n v="1"/>
    <n v="127.46"/>
    <n v="0.1"/>
    <s v="Cust 7072"/>
    <s v="Brendan Sweed"/>
    <x v="3"/>
    <s v="Gilbert"/>
    <s v="Arizona"/>
    <x v="2"/>
  </r>
  <r>
    <s v="REG100030"/>
    <x v="34"/>
    <s v="Cust 7201"/>
    <x v="6"/>
    <n v="3675.48"/>
    <n v="12"/>
    <n v="1102.6400000000001"/>
    <n v="0"/>
    <s v="Cust 7201"/>
    <s v="Karen Daniels"/>
    <x v="2"/>
    <s v="Springfield"/>
    <s v="Virginia"/>
    <x v="1"/>
  </r>
  <r>
    <s v="REG100031"/>
    <x v="35"/>
    <s v="Cust 9923"/>
    <x v="1"/>
    <n v="2586.88"/>
    <n v="7"/>
    <n v="776.06"/>
    <n v="0.15"/>
    <s v="Cust 9923"/>
    <s v="Henry MacAllister"/>
    <x v="2"/>
    <s v="New York City"/>
    <s v="New York"/>
    <x v="1"/>
  </r>
  <r>
    <s v="REG100032"/>
    <x v="36"/>
    <s v="Cust 2205"/>
    <x v="2"/>
    <n v="389.88"/>
    <n v="6"/>
    <n v="116.96"/>
    <n v="0"/>
    <s v="Cust 2205"/>
    <s v="Tracy Blumstein"/>
    <x v="1"/>
    <s v="Jackson"/>
    <s v="Michigan"/>
    <x v="2"/>
  </r>
  <r>
    <s v="REG100033"/>
    <x v="37"/>
    <s v="Cust 6403"/>
    <x v="2"/>
    <n v="8100.33"/>
    <n v="17"/>
    <n v="2430.1"/>
    <n v="0"/>
    <s v="Cust 6403"/>
    <s v="Joel Eaton"/>
    <x v="3"/>
    <s v="Memphis"/>
    <s v="Tennessee"/>
    <x v="2"/>
  </r>
  <r>
    <s v="REG100034"/>
    <x v="38"/>
    <s v="Cust 3953"/>
    <x v="5"/>
    <n v="1903.05"/>
    <n v="4"/>
    <n v="570.91"/>
    <n v="0.15"/>
    <s v="Cust 3953"/>
    <s v="Ken Brennan"/>
    <x v="2"/>
    <s v="Houston"/>
    <s v="Texas"/>
    <x v="2"/>
  </r>
  <r>
    <s v="REG100035"/>
    <x v="39"/>
    <s v="Cust 7902"/>
    <x v="6"/>
    <n v="1149.96"/>
    <n v="14"/>
    <n v="344.99"/>
    <n v="0"/>
    <s v="Cust 7902"/>
    <s v="Joel Eaton"/>
    <x v="2"/>
    <s v="Houston"/>
    <s v="Texas"/>
    <x v="2"/>
  </r>
  <r>
    <s v="REG100036"/>
    <x v="40"/>
    <s v="Cust 9968"/>
    <x v="3"/>
    <n v="2934.45"/>
    <n v="9"/>
    <n v="880.33"/>
    <n v="0.05"/>
    <s v="Cust 9968"/>
    <s v="Stewart Carmichael"/>
    <x v="3"/>
    <s v="Decatur"/>
    <s v="Alabama"/>
    <x v="1"/>
  </r>
  <r>
    <s v="REG100037"/>
    <x v="41"/>
    <s v="Cust 3787"/>
    <x v="3"/>
    <n v="1791.01"/>
    <n v="7"/>
    <n v="537.29999999999995"/>
    <n v="0.15"/>
    <s v="Cust 3787"/>
    <s v="Duane Noonan"/>
    <x v="1"/>
    <s v="San Francisco"/>
    <s v="California"/>
    <x v="1"/>
  </r>
  <r>
    <s v="REG100038"/>
    <x v="42"/>
    <s v="Cust 2469"/>
    <x v="4"/>
    <n v="5394.44"/>
    <n v="14"/>
    <n v="1618.33"/>
    <n v="0.1"/>
    <s v="Cust 2469"/>
    <s v="Julie Creighton"/>
    <x v="3"/>
    <s v="Durham"/>
    <s v="North Carolina"/>
    <x v="1"/>
  </r>
  <r>
    <s v="REG100270"/>
    <x v="43"/>
    <s v="Cust 6468"/>
    <x v="4"/>
    <n v="1061.1099999999999"/>
    <n v="4"/>
    <n v="318.33"/>
    <n v="0.15"/>
    <s v="Cust 6468"/>
    <s v="Christopher Schild"/>
    <x v="3"/>
    <s v="Chicago"/>
    <s v="Illinois"/>
    <x v="1"/>
  </r>
  <r>
    <s v="REG100039"/>
    <x v="44"/>
    <s v="Cust 6468"/>
    <x v="0"/>
    <n v="855.58"/>
    <n v="2"/>
    <n v="256.67"/>
    <n v="0.15"/>
    <s v="Cust 6468"/>
    <s v="Christopher Schild"/>
    <x v="3"/>
    <s v="Chicago"/>
    <s v="Illinois"/>
    <x v="1"/>
  </r>
  <r>
    <s v="REG101259"/>
    <x v="45"/>
    <s v="Cust 5312"/>
    <x v="4"/>
    <n v="606.41999999999996"/>
    <n v="10"/>
    <n v="181.93"/>
    <n v="0.1"/>
    <s v="Cust 5312"/>
    <s v="Patrick O'Donnell"/>
    <x v="1"/>
    <s v="Columbia"/>
    <s v="South Carolina"/>
    <x v="0"/>
  </r>
  <r>
    <s v="REG100040"/>
    <x v="46"/>
    <s v="Cust 5312"/>
    <x v="4"/>
    <n v="2116.44"/>
    <n v="5"/>
    <n v="634.92999999999995"/>
    <n v="0.1"/>
    <s v="Cust 5312"/>
    <s v="Patrick O'Donnell"/>
    <x v="1"/>
    <s v="Columbia"/>
    <s v="South Carolina"/>
    <x v="0"/>
  </r>
  <r>
    <s v="REG100041"/>
    <x v="47"/>
    <s v="Cust 1482"/>
    <x v="4"/>
    <n v="1238.23"/>
    <n v="20"/>
    <n v="371.47"/>
    <n v="0.05"/>
    <s v="Cust 1482"/>
    <s v="Paul Gonzalez"/>
    <x v="3"/>
    <s v="Rochester"/>
    <s v="Minnesota"/>
    <x v="0"/>
  </r>
  <r>
    <s v="REG100042"/>
    <x v="48"/>
    <s v="Cust 7903"/>
    <x v="0"/>
    <n v="434.04"/>
    <n v="12"/>
    <n v="130.21"/>
    <n v="0"/>
    <s v="Cust 7903"/>
    <s v="Gary Mitchum"/>
    <x v="1"/>
    <s v="Houston"/>
    <s v="Texas"/>
    <x v="0"/>
  </r>
  <r>
    <s v="REG100043"/>
    <x v="49"/>
    <s v="Cust 9605"/>
    <x v="4"/>
    <n v="1561.65"/>
    <n v="4"/>
    <n v="468.5"/>
    <n v="0.15"/>
    <s v="Cust 9605"/>
    <s v="Jim Sink"/>
    <x v="3"/>
    <s v="Los Angeles"/>
    <s v="California"/>
    <x v="0"/>
  </r>
  <r>
    <s v="REG100044"/>
    <x v="50"/>
    <s v="Cust 3298"/>
    <x v="0"/>
    <n v="790.51"/>
    <n v="2"/>
    <n v="237.15"/>
    <n v="0.05"/>
    <s v="Cust 3298"/>
    <s v="Karl Braun"/>
    <x v="1"/>
    <s v="Minneapolis"/>
    <s v="Minnesota"/>
    <x v="0"/>
  </r>
  <r>
    <s v="REG100045"/>
    <x v="51"/>
    <s v="Cust 5533"/>
    <x v="6"/>
    <n v="4841.28"/>
    <n v="16"/>
    <n v="1452.38"/>
    <n v="0"/>
    <s v="Cust 5533"/>
    <s v="Roger Barcio"/>
    <x v="1"/>
    <s v="Portland"/>
    <s v="Oregon"/>
    <x v="0"/>
  </r>
  <r>
    <s v="REG100356"/>
    <x v="52"/>
    <s v="Cust 6362"/>
    <x v="4"/>
    <n v="5722.74"/>
    <n v="16"/>
    <n v="1716.82"/>
    <n v="0.15"/>
    <s v="Cust 6362"/>
    <s v="Parhena Norris"/>
    <x v="4"/>
    <s v="New York City"/>
    <s v="New York"/>
    <x v="1"/>
  </r>
  <r>
    <s v="REG100046"/>
    <x v="53"/>
    <s v="Cust 6362"/>
    <x v="3"/>
    <n v="309.77"/>
    <n v="11"/>
    <n v="92.93"/>
    <n v="0.15"/>
    <s v="Cust 6362"/>
    <s v="Parhena Norris"/>
    <x v="4"/>
    <s v="New York City"/>
    <s v="New York"/>
    <x v="1"/>
  </r>
  <r>
    <s v="REG101239"/>
    <x v="54"/>
    <s v="Cust 4826"/>
    <x v="5"/>
    <n v="95.36"/>
    <n v="7"/>
    <n v="28.61"/>
    <n v="0.05"/>
    <s v="Cust 4826"/>
    <s v="Katherine Ducich"/>
    <x v="0"/>
    <s v="San Francisco"/>
    <s v="California"/>
    <x v="0"/>
  </r>
  <r>
    <s v="REG100047"/>
    <x v="55"/>
    <s v="Cust 4826"/>
    <x v="6"/>
    <n v="3961.14"/>
    <n v="8"/>
    <n v="1188.3399999999999"/>
    <n v="0.15"/>
    <s v="Cust 4826"/>
    <s v="Katherine Ducich"/>
    <x v="0"/>
    <s v="San Francisco"/>
    <s v="California"/>
    <x v="0"/>
  </r>
  <r>
    <s v="REG100048"/>
    <x v="56"/>
    <s v="Cust 2171"/>
    <x v="2"/>
    <n v="743.18"/>
    <n v="5"/>
    <n v="222.95"/>
    <n v="0.1"/>
    <s v="Cust 2171"/>
    <s v="Elpida Rittenbach"/>
    <x v="2"/>
    <s v="Saint Paul"/>
    <s v="Minnesota"/>
    <x v="0"/>
  </r>
  <r>
    <s v="REG100049"/>
    <x v="57"/>
    <s v="Cust 4005"/>
    <x v="5"/>
    <n v="2889.56"/>
    <n v="14"/>
    <n v="866.87"/>
    <n v="0.15"/>
    <s v="Cust 4005"/>
    <s v="Rick Bensley"/>
    <x v="4"/>
    <s v="Chicago"/>
    <s v="Illinois"/>
    <x v="0"/>
  </r>
  <r>
    <s v="REG100050"/>
    <x v="58"/>
    <s v="Cust 7032"/>
    <x v="5"/>
    <n v="772.08"/>
    <n v="13"/>
    <n v="231.62"/>
    <n v="0.1"/>
    <s v="Cust 7032"/>
    <s v="Gary Zandusky"/>
    <x v="0"/>
    <s v="Rochester"/>
    <s v="Minnesota"/>
    <x v="0"/>
  </r>
  <r>
    <s v="REG100051"/>
    <x v="59"/>
    <s v="Cust 7167"/>
    <x v="3"/>
    <n v="503.38"/>
    <n v="2"/>
    <n v="151.01"/>
    <n v="0"/>
    <s v="Cust 7167"/>
    <s v="Lena Cacioppo"/>
    <x v="4"/>
    <s v="Aurora"/>
    <s v="Colorado"/>
    <x v="0"/>
  </r>
  <r>
    <s v="REG100052"/>
    <x v="60"/>
    <s v="Cust 5702"/>
    <x v="0"/>
    <n v="242.47"/>
    <n v="1"/>
    <n v="72.739999999999995"/>
    <n v="0.1"/>
    <s v="Cust 5702"/>
    <s v="Janet Martin"/>
    <x v="1"/>
    <s v="Charlotte"/>
    <s v="North Carolina"/>
    <x v="0"/>
  </r>
  <r>
    <s v="REG100247"/>
    <x v="61"/>
    <s v="Cust 4944"/>
    <x v="0"/>
    <n v="3570.66"/>
    <n v="6"/>
    <n v="1071.2"/>
    <n v="0"/>
    <s v="Cust 4944"/>
    <s v="Pete Armstrong"/>
    <x v="1"/>
    <s v="Orland Park"/>
    <s v="Illinois"/>
    <x v="0"/>
  </r>
  <r>
    <s v="REG100053"/>
    <x v="62"/>
    <s v="Cust 4944"/>
    <x v="5"/>
    <n v="705.47"/>
    <n v="2"/>
    <n v="211.64"/>
    <n v="0.05"/>
    <s v="Cust 4944"/>
    <s v="Pete Armstrong"/>
    <x v="1"/>
    <s v="Orland Park"/>
    <s v="Illinois"/>
    <x v="0"/>
  </r>
  <r>
    <s v="REG100054"/>
    <x v="63"/>
    <s v="Cust 8149"/>
    <x v="6"/>
    <n v="2695.04"/>
    <n v="11"/>
    <n v="808.51"/>
    <n v="0.15"/>
    <s v="Cust 8149"/>
    <s v="Cynthia Voltz"/>
    <x v="4"/>
    <s v="New York City"/>
    <s v="New York"/>
    <x v="0"/>
  </r>
  <r>
    <s v="REG100055"/>
    <x v="64"/>
    <s v="Cust 3638"/>
    <x v="6"/>
    <n v="2432.2399999999998"/>
    <n v="11"/>
    <n v="729.67"/>
    <n v="0.05"/>
    <s v="Cust 3638"/>
    <s v="Clay Ludtke"/>
    <x v="3"/>
    <s v="Urbandale"/>
    <s v="Iowa"/>
    <x v="0"/>
  </r>
  <r>
    <s v="REG100056"/>
    <x v="65"/>
    <s v="Cust 9973"/>
    <x v="1"/>
    <n v="2113.75"/>
    <n v="17"/>
    <n v="634.12"/>
    <n v="0.15"/>
    <s v="Cust 9973"/>
    <s v="Ryan Crowe"/>
    <x v="0"/>
    <s v="Columbus"/>
    <s v="Ohio"/>
    <x v="2"/>
  </r>
  <r>
    <s v="REG100208"/>
    <x v="66"/>
    <s v="Cust 4214"/>
    <x v="0"/>
    <n v="7055.14"/>
    <n v="16"/>
    <n v="2116.54"/>
    <n v="0.1"/>
    <s v="Cust 4214"/>
    <s v="Dave Kipp"/>
    <x v="0"/>
    <s v="Seattle"/>
    <s v="Washington"/>
    <x v="1"/>
  </r>
  <r>
    <s v="REG100057"/>
    <x v="67"/>
    <s v="Cust 4214"/>
    <x v="3"/>
    <n v="451.71"/>
    <n v="5"/>
    <n v="135.51"/>
    <n v="0.1"/>
    <s v="Cust 4214"/>
    <s v="Dave Kipp"/>
    <x v="0"/>
    <s v="Seattle"/>
    <s v="Washington"/>
    <x v="1"/>
  </r>
  <r>
    <s v="REG100058"/>
    <x v="68"/>
    <s v="Cust 2647"/>
    <x v="1"/>
    <n v="3923.77"/>
    <n v="11"/>
    <n v="1177.1300000000001"/>
    <n v="0.05"/>
    <s v="Cust 2647"/>
    <s v="Greg Guthrie"/>
    <x v="1"/>
    <s v="Bristol"/>
    <s v="Tennessee"/>
    <x v="0"/>
  </r>
  <r>
    <s v="REG100059"/>
    <x v="69"/>
    <s v="Cust 3552"/>
    <x v="0"/>
    <n v="5418.82"/>
    <n v="18"/>
    <n v="1625.65"/>
    <n v="0.05"/>
    <s v="Cust 3552"/>
    <s v="Steven Cartwright"/>
    <x v="1"/>
    <s v="Wilmington"/>
    <s v="Delaware"/>
    <x v="0"/>
  </r>
  <r>
    <s v="REG100060"/>
    <x v="70"/>
    <s v="Cust 3354"/>
    <x v="0"/>
    <n v="5016.0200000000004"/>
    <n v="20"/>
    <n v="1504.81"/>
    <n v="0.15"/>
    <s v="Cust 3354"/>
    <s v="Alan Dominguez"/>
    <x v="4"/>
    <s v="Houston"/>
    <s v="Texas"/>
    <x v="0"/>
  </r>
  <r>
    <s v="REG100061"/>
    <x v="71"/>
    <s v="Cust 3903"/>
    <x v="1"/>
    <n v="2413.44"/>
    <n v="8"/>
    <n v="724.03"/>
    <n v="0"/>
    <s v="Cust 3903"/>
    <s v="Philip Fox"/>
    <x v="3"/>
    <s v="Bloomington"/>
    <s v="Illinois"/>
    <x v="0"/>
  </r>
  <r>
    <s v="REG100062"/>
    <x v="72"/>
    <s v="Cust 5358"/>
    <x v="3"/>
    <n v="1283.55"/>
    <n v="3"/>
    <n v="385.07"/>
    <n v="0.1"/>
    <s v="Cust 5358"/>
    <s v="Troy Staebel"/>
    <x v="3"/>
    <s v="Phoenix"/>
    <s v="Arizona"/>
    <x v="0"/>
  </r>
  <r>
    <s v="REG100063"/>
    <x v="73"/>
    <s v="Cust 8144"/>
    <x v="2"/>
    <n v="642.6"/>
    <n v="16"/>
    <n v="192.78"/>
    <n v="0.15"/>
    <s v="Cust 8144"/>
    <s v="Lindsay Shagiari"/>
    <x v="3"/>
    <s v="Los Angeles"/>
    <s v="California"/>
    <x v="0"/>
  </r>
  <r>
    <s v="REG100064"/>
    <x v="74"/>
    <s v="Cust 6747"/>
    <x v="3"/>
    <n v="7667.55"/>
    <n v="15"/>
    <n v="2300.27"/>
    <n v="0"/>
    <s v="Cust 6747"/>
    <s v="Dorothy Wardle"/>
    <x v="1"/>
    <s v="Columbus"/>
    <s v="Ohio"/>
    <x v="1"/>
  </r>
  <r>
    <s v="REG100065"/>
    <x v="75"/>
    <s v="Cust 8330"/>
    <x v="5"/>
    <n v="179.77"/>
    <n v="3"/>
    <n v="53.93"/>
    <n v="0.1"/>
    <s v="Cust 8330"/>
    <s v="Lena Creighton"/>
    <x v="3"/>
    <s v="Roseville"/>
    <s v="California"/>
    <x v="1"/>
  </r>
  <r>
    <s v="REG100066"/>
    <x v="76"/>
    <s v="Cust 7186"/>
    <x v="6"/>
    <n v="2329.9699999999998"/>
    <n v="5"/>
    <n v="698.99"/>
    <n v="0.05"/>
    <s v="Cust 7186"/>
    <s v="Jonathan Doherty"/>
    <x v="4"/>
    <s v="Philadelphia"/>
    <s v="Pennsylvania"/>
    <x v="1"/>
  </r>
  <r>
    <s v="REG100067"/>
    <x v="77"/>
    <s v="Cust 8287"/>
    <x v="3"/>
    <n v="3085.3"/>
    <n v="8"/>
    <n v="925.59"/>
    <n v="0.05"/>
    <s v="Cust 8287"/>
    <s v="Sally Hughsby"/>
    <x v="1"/>
    <s v="San Francisco"/>
    <s v="California"/>
    <x v="0"/>
  </r>
  <r>
    <s v="REG100068"/>
    <x v="78"/>
    <s v="Cust 3986"/>
    <x v="1"/>
    <n v="143.47"/>
    <n v="1"/>
    <n v="43.04"/>
    <n v="0.1"/>
    <s v="Cust 3986"/>
    <s v="Sandra Glassco"/>
    <x v="2"/>
    <s v="Independence"/>
    <s v="Missouri"/>
    <x v="1"/>
  </r>
  <r>
    <s v="REG100069"/>
    <x v="79"/>
    <s v="Cust 3213"/>
    <x v="5"/>
    <n v="523.46"/>
    <n v="16"/>
    <n v="157.04"/>
    <n v="0.15"/>
    <s v="Cust 3213"/>
    <s v="Helen Andreada"/>
    <x v="4"/>
    <s v="Pasadena"/>
    <s v="California"/>
    <x v="1"/>
  </r>
  <r>
    <s v="REG100070"/>
    <x v="80"/>
    <s v="Cust 1907"/>
    <x v="6"/>
    <n v="4186.59"/>
    <n v="15"/>
    <n v="1255.98"/>
    <n v="0.15"/>
    <s v="Cust 1907"/>
    <s v="Maureen Gastineau"/>
    <x v="0"/>
    <s v="Newark"/>
    <s v="Ohio"/>
    <x v="0"/>
  </r>
  <r>
    <s v="REG100071"/>
    <x v="81"/>
    <s v="Cust 4639"/>
    <x v="6"/>
    <n v="9864.18"/>
    <n v="20"/>
    <n v="2959.25"/>
    <n v="0.1"/>
    <s v="Cust 4639"/>
    <s v="Justin Ellison"/>
    <x v="3"/>
    <s v="Franklin"/>
    <s v="Wisconsin"/>
    <x v="0"/>
  </r>
  <r>
    <s v="REG100072"/>
    <x v="82"/>
    <s v="Cust 4153"/>
    <x v="2"/>
    <n v="5982.96"/>
    <n v="13"/>
    <n v="1794.89"/>
    <n v="0.05"/>
    <s v="Cust 4153"/>
    <s v="Tamara Willingham"/>
    <x v="1"/>
    <s v="Scottsdale"/>
    <s v="Arizona"/>
    <x v="1"/>
  </r>
  <r>
    <s v="REG100073"/>
    <x v="83"/>
    <s v="Cust 7096"/>
    <x v="5"/>
    <n v="2418.62"/>
    <n v="13"/>
    <n v="725.59"/>
    <n v="0.05"/>
    <s v="Cust 7096"/>
    <s v="Stephanie Phelps"/>
    <x v="1"/>
    <s v="San Jose"/>
    <s v="California"/>
    <x v="2"/>
  </r>
  <r>
    <s v="REG100074"/>
    <x v="84"/>
    <s v="Cust 3806"/>
    <x v="6"/>
    <n v="483.53"/>
    <n v="19"/>
    <n v="145.06"/>
    <n v="0.15"/>
    <s v="Cust 3806"/>
    <s v="Neil Knudson"/>
    <x v="3"/>
    <s v="Seattle"/>
    <s v="Washington"/>
    <x v="0"/>
  </r>
  <r>
    <s v="REG101079"/>
    <x v="85"/>
    <s v="Cust 9345"/>
    <x v="5"/>
    <n v="4989.2299999999996"/>
    <n v="12"/>
    <n v="1496.77"/>
    <n v="0.15"/>
    <s v="Cust 9345"/>
    <s v="Dave Brooks"/>
    <x v="3"/>
    <s v="Seattle"/>
    <s v="Washington"/>
    <x v="0"/>
  </r>
  <r>
    <s v="REG100075"/>
    <x v="86"/>
    <s v="Cust 9345"/>
    <x v="2"/>
    <n v="4985.1899999999996"/>
    <n v="10"/>
    <n v="1495.56"/>
    <n v="0.1"/>
    <s v="Cust 9345"/>
    <s v="Dave Brooks"/>
    <x v="3"/>
    <s v="Seattle"/>
    <s v="Washington"/>
    <x v="0"/>
  </r>
  <r>
    <s v="REG100507"/>
    <x v="87"/>
    <s v="Cust 4456"/>
    <x v="0"/>
    <n v="5371.47"/>
    <n v="9"/>
    <n v="1611.44"/>
    <n v="0"/>
    <s v="Cust 4456"/>
    <s v="Nora Paige"/>
    <x v="1"/>
    <s v="Edmond"/>
    <s v="Oklahoma"/>
    <x v="2"/>
  </r>
  <r>
    <s v="REG100076"/>
    <x v="88"/>
    <s v="Cust 4456"/>
    <x v="1"/>
    <n v="5613.55"/>
    <n v="14"/>
    <n v="1684.07"/>
    <n v="0.1"/>
    <s v="Cust 4456"/>
    <s v="Nora Paige"/>
    <x v="1"/>
    <s v="Edmond"/>
    <s v="Oklahoma"/>
    <x v="1"/>
  </r>
  <r>
    <s v="REG100077"/>
    <x v="89"/>
    <s v="Cust 1089"/>
    <x v="3"/>
    <n v="2344.2199999999998"/>
    <n v="5"/>
    <n v="703.26"/>
    <n v="0.15"/>
    <s v="Cust 1089"/>
    <s v="Ted Trevino"/>
    <x v="1"/>
    <s v="Los Angeles"/>
    <s v="California"/>
    <x v="1"/>
  </r>
  <r>
    <s v="REG100078"/>
    <x v="90"/>
    <s v="Cust 7230"/>
    <x v="1"/>
    <n v="3138.2"/>
    <n v="13"/>
    <n v="941.46"/>
    <n v="0"/>
    <s v="Cust 7230"/>
    <s v="Eric Murdock"/>
    <x v="0"/>
    <s v="Philadelphia"/>
    <s v="Pennsylvania"/>
    <x v="1"/>
  </r>
  <r>
    <s v="REG100079"/>
    <x v="91"/>
    <s v="Cust 6597"/>
    <x v="4"/>
    <n v="6686.67"/>
    <n v="19"/>
    <n v="2006"/>
    <n v="0"/>
    <s v="Cust 6597"/>
    <s v="Ruben Dartt"/>
    <x v="3"/>
    <s v="Carlsbad"/>
    <s v="New Mexico"/>
    <x v="0"/>
  </r>
  <r>
    <s v="REG100080"/>
    <x v="92"/>
    <s v="Cust 4108"/>
    <x v="1"/>
    <n v="318.25"/>
    <n v="4"/>
    <n v="95.48"/>
    <n v="0.05"/>
    <s v="Cust 4108"/>
    <s v="Max Jones"/>
    <x v="2"/>
    <s v="Seattle"/>
    <s v="Washington"/>
    <x v="0"/>
  </r>
  <r>
    <s v="REG100081"/>
    <x v="93"/>
    <s v="Cust 2883"/>
    <x v="5"/>
    <n v="1772.04"/>
    <n v="5"/>
    <n v="531.61"/>
    <n v="0.15"/>
    <s v="Cust 2883"/>
    <s v="Becky Martin"/>
    <x v="0"/>
    <s v="San Antonio"/>
    <s v="Texas"/>
    <x v="0"/>
  </r>
  <r>
    <s v="REG100082"/>
    <x v="94"/>
    <s v="Cust 5018"/>
    <x v="5"/>
    <n v="2435.5500000000002"/>
    <n v="18"/>
    <n v="730.67"/>
    <n v="0.05"/>
    <s v="Cust 5018"/>
    <s v="Chad Sievert"/>
    <x v="4"/>
    <s v="Los Angeles"/>
    <s v="California"/>
    <x v="2"/>
  </r>
  <r>
    <s v="REG100083"/>
    <x v="95"/>
    <s v="Cust 1231"/>
    <x v="2"/>
    <n v="6990.24"/>
    <n v="12"/>
    <n v="2097.0700000000002"/>
    <n v="0"/>
    <s v="Cust 1231"/>
    <s v="Jennifer Braxton"/>
    <x v="0"/>
    <s v="Chicago"/>
    <s v="Illinois"/>
    <x v="2"/>
  </r>
  <r>
    <s v="REG100084"/>
    <x v="96"/>
    <s v="Cust 2209"/>
    <x v="3"/>
    <n v="2202.52"/>
    <n v="20"/>
    <n v="660.76"/>
    <n v="0.15"/>
    <s v="Cust 2209"/>
    <s v="Shirley Jackson"/>
    <x v="0"/>
    <s v="Houston"/>
    <s v="Texas"/>
    <x v="0"/>
  </r>
  <r>
    <s v="REG100085"/>
    <x v="16"/>
    <s v="Cust 6684"/>
    <x v="6"/>
    <n v="7340.94"/>
    <n v="17"/>
    <n v="2202.2800000000002"/>
    <n v="0"/>
    <s v="Cust 6684"/>
    <s v="Joel Eaton"/>
    <x v="3"/>
    <s v="Newark"/>
    <s v="Ohio"/>
    <x v="1"/>
  </r>
  <r>
    <s v="REG100086"/>
    <x v="97"/>
    <s v="Cust 5289"/>
    <x v="0"/>
    <n v="237.75"/>
    <n v="15"/>
    <n v="71.33"/>
    <n v="0"/>
    <s v="Cust 5289"/>
    <s v="Jim Kriz"/>
    <x v="0"/>
    <s v="New York City"/>
    <s v="New York"/>
    <x v="2"/>
  </r>
  <r>
    <s v="REG101189"/>
    <x v="98"/>
    <s v="Cust 9159"/>
    <x v="6"/>
    <n v="7443.48"/>
    <n v="17"/>
    <n v="2233.0500000000002"/>
    <n v="0.15"/>
    <s v="Cust 9159"/>
    <s v="David Kendrick"/>
    <x v="1"/>
    <s v="Decatur"/>
    <s v="Illinois"/>
    <x v="2"/>
  </r>
  <r>
    <s v="REG100087"/>
    <x v="99"/>
    <s v="Cust 9159"/>
    <x v="6"/>
    <n v="9870.1200000000008"/>
    <n v="20"/>
    <n v="2961.04"/>
    <n v="0.1"/>
    <s v="Cust 9159"/>
    <s v="David Kendrick"/>
    <x v="1"/>
    <s v="Decatur"/>
    <s v="Illinois"/>
    <x v="2"/>
  </r>
  <r>
    <s v="REG100088"/>
    <x v="100"/>
    <s v="Cust 4844"/>
    <x v="0"/>
    <n v="7992.62"/>
    <n v="16"/>
    <n v="2397.7800000000002"/>
    <n v="0.05"/>
    <s v="Cust 4844"/>
    <s v="Robert Marley"/>
    <x v="2"/>
    <s v="Monroe"/>
    <s v="Louisiana"/>
    <x v="0"/>
  </r>
  <r>
    <s v="REG100089"/>
    <x v="101"/>
    <s v="Cust 3273"/>
    <x v="0"/>
    <n v="5862.17"/>
    <n v="15"/>
    <n v="1758.65"/>
    <n v="0.05"/>
    <s v="Cust 3273"/>
    <s v="Sally Knutson"/>
    <x v="3"/>
    <s v="Fairfield"/>
    <s v="Connecticut"/>
    <x v="0"/>
  </r>
  <r>
    <s v="REG100090"/>
    <x v="102"/>
    <s v="Cust 8160"/>
    <x v="5"/>
    <n v="9575.15"/>
    <n v="19"/>
    <n v="2872.54"/>
    <n v="0.1"/>
    <s v="Cust 8160"/>
    <s v="Frank Merwin"/>
    <x v="2"/>
    <s v="Los Angeles"/>
    <s v="California"/>
    <x v="0"/>
  </r>
  <r>
    <s v="REG100091"/>
    <x v="103"/>
    <s v="Cust 4439"/>
    <x v="2"/>
    <n v="1367.24"/>
    <n v="8"/>
    <n v="410.17"/>
    <n v="0.05"/>
    <s v="Cust 4439"/>
    <s v="Alice McCarthy"/>
    <x v="2"/>
    <s v="Grand Prairie"/>
    <s v="Texas"/>
    <x v="0"/>
  </r>
  <r>
    <s v="REG100092"/>
    <x v="104"/>
    <s v="Cust 1127"/>
    <x v="3"/>
    <n v="5040.33"/>
    <n v="12"/>
    <n v="1512.1"/>
    <n v="0.15"/>
    <s v="Cust 1127"/>
    <s v="Mark Packer"/>
    <x v="2"/>
    <s v="New York City"/>
    <s v="New York"/>
    <x v="0"/>
  </r>
  <r>
    <s v="REG100093"/>
    <x v="105"/>
    <s v="Cust 4696"/>
    <x v="2"/>
    <n v="4629.8999999999996"/>
    <n v="10"/>
    <n v="1388.97"/>
    <n v="0"/>
    <s v="Cust 4696"/>
    <s v="Mary Zewe"/>
    <x v="0"/>
    <s v="Redlands"/>
    <s v="California"/>
    <x v="0"/>
  </r>
  <r>
    <s v="REG100094"/>
    <x v="106"/>
    <s v="Cust 3014"/>
    <x v="0"/>
    <n v="3060.6"/>
    <n v="7"/>
    <n v="918.18"/>
    <n v="0.05"/>
    <s v="Cust 3014"/>
    <s v="Cassandra Brandow"/>
    <x v="3"/>
    <s v="Hamilton"/>
    <s v="Ohio"/>
    <x v="0"/>
  </r>
  <r>
    <s v="REG100095"/>
    <x v="107"/>
    <s v="Cust 2539"/>
    <x v="4"/>
    <n v="4998.75"/>
    <n v="17"/>
    <n v="1499.62"/>
    <n v="0.05"/>
    <s v="Cust 2539"/>
    <s v="Valerie Mitchum"/>
    <x v="4"/>
    <s v="Westfield"/>
    <s v="New Jersey"/>
    <x v="2"/>
  </r>
  <r>
    <s v="REG100096"/>
    <x v="108"/>
    <s v="Cust 3916"/>
    <x v="5"/>
    <n v="307.64"/>
    <n v="1"/>
    <n v="92.29"/>
    <n v="0.05"/>
    <s v="Cust 3916"/>
    <s v="Fred Hopkins"/>
    <x v="3"/>
    <s v="Philadelphia"/>
    <s v="Pennsylvania"/>
    <x v="1"/>
  </r>
  <r>
    <s v="REG100097"/>
    <x v="109"/>
    <s v="Cust 6329"/>
    <x v="3"/>
    <n v="5030.7"/>
    <n v="10"/>
    <n v="1509.21"/>
    <n v="0"/>
    <s v="Cust 6329"/>
    <s v="Maria Bertelson"/>
    <x v="3"/>
    <s v="Akron"/>
    <s v="Ohio"/>
    <x v="0"/>
  </r>
  <r>
    <s v="REG100098"/>
    <x v="110"/>
    <s v="Cust 4384"/>
    <x v="0"/>
    <n v="8358.56"/>
    <n v="20"/>
    <n v="2507.5700000000002"/>
    <n v="0.15"/>
    <s v="Cust 4384"/>
    <s v="Bruce Stewart"/>
    <x v="4"/>
    <s v="Denver"/>
    <s v="Colorado"/>
    <x v="0"/>
  </r>
  <r>
    <s v="REG100099"/>
    <x v="111"/>
    <s v="Cust 7756"/>
    <x v="1"/>
    <n v="7565.47"/>
    <n v="17"/>
    <n v="2269.64"/>
    <n v="0.05"/>
    <s v="Cust 7756"/>
    <s v="Logan Currie"/>
    <x v="2"/>
    <s v="Dallas"/>
    <s v="Texas"/>
    <x v="0"/>
  </r>
  <r>
    <s v="REG100373"/>
    <x v="112"/>
    <s v="Cust 6086"/>
    <x v="0"/>
    <n v="3409.8"/>
    <n v="20"/>
    <n v="1022.94"/>
    <n v="0"/>
    <s v="Cust 6086"/>
    <s v="Heather Kirkland"/>
    <x v="2"/>
    <s v="Franklin"/>
    <s v="Tennessee"/>
    <x v="0"/>
  </r>
  <r>
    <s v="REG100100"/>
    <x v="69"/>
    <s v="Cust 6086"/>
    <x v="0"/>
    <n v="3756.46"/>
    <n v="11"/>
    <n v="1126.94"/>
    <n v="0.15"/>
    <s v="Cust 6086"/>
    <s v="Heather Kirkland"/>
    <x v="2"/>
    <s v="Franklin"/>
    <s v="Tennessee"/>
    <x v="0"/>
  </r>
  <r>
    <s v="REG100623"/>
    <x v="113"/>
    <s v="Cust 3845"/>
    <x v="2"/>
    <n v="3106.98"/>
    <n v="9"/>
    <n v="932.1"/>
    <n v="0.05"/>
    <s v="Cust 3845"/>
    <s v="Laurel Elliston"/>
    <x v="4"/>
    <s v="Whittier"/>
    <s v="California"/>
    <x v="0"/>
  </r>
  <r>
    <s v="REG100101"/>
    <x v="37"/>
    <s v="Cust 3845"/>
    <x v="4"/>
    <n v="663"/>
    <n v="3"/>
    <n v="198.9"/>
    <n v="0"/>
    <s v="Cust 3845"/>
    <s v="Laurel Elliston"/>
    <x v="4"/>
    <s v="Whittier"/>
    <s v="California"/>
    <x v="0"/>
  </r>
  <r>
    <s v="REG100102"/>
    <x v="114"/>
    <s v="Cust 9996"/>
    <x v="5"/>
    <n v="1074.17"/>
    <n v="6"/>
    <n v="322.25"/>
    <n v="0.05"/>
    <s v="Cust 9996"/>
    <s v="Joseph Holt"/>
    <x v="0"/>
    <s v="Saginaw"/>
    <s v="Michigan"/>
    <x v="1"/>
  </r>
  <r>
    <s v="REG100103"/>
    <x v="115"/>
    <s v="Cust 1711"/>
    <x v="2"/>
    <n v="1698.6"/>
    <n v="3"/>
    <n v="509.58"/>
    <n v="0"/>
    <s v="Cust 1711"/>
    <s v="Michael Stewart"/>
    <x v="2"/>
    <s v="Dallas"/>
    <s v="Texas"/>
    <x v="0"/>
  </r>
  <r>
    <s v="REG100797"/>
    <x v="116"/>
    <s v="Cust 4522"/>
    <x v="6"/>
    <n v="584.63"/>
    <n v="5"/>
    <n v="175.39"/>
    <n v="0.15"/>
    <s v="Cust 4522"/>
    <s v="Victoria Wilson"/>
    <x v="0"/>
    <s v="Medina"/>
    <s v="Ohio"/>
    <x v="0"/>
  </r>
  <r>
    <s v="REG100104"/>
    <x v="117"/>
    <s v="Cust 4522"/>
    <x v="5"/>
    <n v="2222.3000000000002"/>
    <n v="14"/>
    <n v="666.69"/>
    <n v="0.05"/>
    <s v="Cust 4522"/>
    <s v="Victoria Wilson"/>
    <x v="0"/>
    <s v="Medina"/>
    <s v="Ohio"/>
    <x v="0"/>
  </r>
  <r>
    <s v="REG100105"/>
    <x v="118"/>
    <s v="Cust 4233"/>
    <x v="5"/>
    <n v="520.70000000000005"/>
    <n v="16"/>
    <n v="156.21"/>
    <n v="0.1"/>
    <s v="Cust 4233"/>
    <s v="Jonathan Howell"/>
    <x v="4"/>
    <s v="Los Angeles"/>
    <s v="California"/>
    <x v="0"/>
  </r>
  <r>
    <s v="REG100106"/>
    <x v="119"/>
    <s v="Cust 4121"/>
    <x v="4"/>
    <n v="140.49"/>
    <n v="2"/>
    <n v="42.15"/>
    <n v="0.05"/>
    <s v="Cust 4121"/>
    <s v="Joni Blumstein"/>
    <x v="3"/>
    <s v="Dublin"/>
    <s v="Ohio"/>
    <x v="0"/>
  </r>
  <r>
    <s v="REG101194"/>
    <x v="120"/>
    <s v="Cust 9092"/>
    <x v="2"/>
    <n v="422.42"/>
    <n v="7"/>
    <n v="126.72"/>
    <n v="0.1"/>
    <s v="Cust 9092"/>
    <s v="David Smith"/>
    <x v="0"/>
    <s v="Detroit"/>
    <s v="Michigan"/>
    <x v="2"/>
  </r>
  <r>
    <s v="REG100107"/>
    <x v="121"/>
    <s v="Cust 9092"/>
    <x v="4"/>
    <n v="6616.66"/>
    <n v="16"/>
    <n v="1985"/>
    <n v="0.1"/>
    <s v="Cust 9092"/>
    <s v="David Smith"/>
    <x v="0"/>
    <s v="Detroit"/>
    <s v="Michigan"/>
    <x v="0"/>
  </r>
  <r>
    <s v="REG100108"/>
    <x v="122"/>
    <s v="Cust 9090"/>
    <x v="3"/>
    <n v="504.15"/>
    <n v="3"/>
    <n v="151.25"/>
    <n v="0"/>
    <s v="Cust 9090"/>
    <s v="Valerie Dominguez"/>
    <x v="0"/>
    <s v="Columbia"/>
    <s v="Tennessee"/>
    <x v="0"/>
  </r>
  <r>
    <s v="REG100997"/>
    <x v="123"/>
    <s v="Cust 1983"/>
    <x v="3"/>
    <n v="1433.55"/>
    <n v="20"/>
    <n v="430.07"/>
    <n v="0.05"/>
    <s v="Cust 1983"/>
    <s v="Erin Ashbrook"/>
    <x v="2"/>
    <s v="Charlotte"/>
    <s v="North Carolina"/>
    <x v="0"/>
  </r>
  <r>
    <s v="REG100109"/>
    <x v="124"/>
    <s v="Cust 1983"/>
    <x v="4"/>
    <n v="446.73"/>
    <n v="14"/>
    <n v="134.02000000000001"/>
    <n v="0.15"/>
    <s v="Cust 1983"/>
    <s v="Erin Ashbrook"/>
    <x v="2"/>
    <s v="Charlotte"/>
    <s v="North Carolina"/>
    <x v="2"/>
  </r>
  <r>
    <s v="REG100110"/>
    <x v="125"/>
    <s v="Cust 8834"/>
    <x v="6"/>
    <n v="604.64"/>
    <n v="4"/>
    <n v="181.39"/>
    <n v="0"/>
    <s v="Cust 8834"/>
    <s v="Christopher Schild"/>
    <x v="1"/>
    <s v="Tampa"/>
    <s v="Florida"/>
    <x v="2"/>
  </r>
  <r>
    <s v="REG100111"/>
    <x v="126"/>
    <s v="Cust 9780"/>
    <x v="6"/>
    <n v="1202.27"/>
    <n v="17"/>
    <n v="360.68"/>
    <n v="0.1"/>
    <s v="Cust 9780"/>
    <s v="David Bremer"/>
    <x v="1"/>
    <s v="Santa Clara"/>
    <s v="California"/>
    <x v="1"/>
  </r>
  <r>
    <s v="REG100112"/>
    <x v="127"/>
    <s v="Cust 1293"/>
    <x v="3"/>
    <n v="531.95000000000005"/>
    <n v="15"/>
    <n v="159.59"/>
    <n v="0.05"/>
    <s v="Cust 1293"/>
    <s v="Ken Lonsdale"/>
    <x v="3"/>
    <s v="Chicago"/>
    <s v="Illinois"/>
    <x v="1"/>
  </r>
  <r>
    <s v="REG100113"/>
    <x v="42"/>
    <s v="Cust 3173"/>
    <x v="6"/>
    <n v="8216.41"/>
    <n v="18"/>
    <n v="2464.92"/>
    <n v="0.15"/>
    <s v="Cust 3173"/>
    <s v="Dianna Wilson"/>
    <x v="4"/>
    <s v="Lakeville"/>
    <s v="Minnesota"/>
    <x v="1"/>
  </r>
  <r>
    <s v="REG100114"/>
    <x v="128"/>
    <s v="Cust 8641"/>
    <x v="2"/>
    <n v="1078"/>
    <n v="5"/>
    <n v="323.39999999999998"/>
    <n v="0"/>
    <s v="Cust 8641"/>
    <s v="Logan Haushalter"/>
    <x v="0"/>
    <s v="San Francisco"/>
    <s v="California"/>
    <x v="0"/>
  </r>
  <r>
    <s v="REG100115"/>
    <x v="129"/>
    <s v="Cust 7656"/>
    <x v="0"/>
    <n v="3771"/>
    <n v="18"/>
    <n v="1131.3"/>
    <n v="0"/>
    <s v="Cust 7656"/>
    <s v="Kelly Collister"/>
    <x v="3"/>
    <s v="San Diego"/>
    <s v="California"/>
    <x v="0"/>
  </r>
  <r>
    <s v="REG100116"/>
    <x v="129"/>
    <s v="Cust 5523"/>
    <x v="3"/>
    <n v="2512.66"/>
    <n v="8"/>
    <n v="753.8"/>
    <n v="0.1"/>
    <s v="Cust 5523"/>
    <s v="Delfina Latchford"/>
    <x v="3"/>
    <s v="New York City"/>
    <s v="New York"/>
    <x v="0"/>
  </r>
  <r>
    <s v="REG100117"/>
    <x v="130"/>
    <s v="Cust 2015"/>
    <x v="4"/>
    <n v="549.37"/>
    <n v="2"/>
    <n v="164.81"/>
    <n v="0.05"/>
    <s v="Cust 2015"/>
    <s v="Dan Reichenbach"/>
    <x v="4"/>
    <s v="Chicago"/>
    <s v="Illinois"/>
    <x v="0"/>
  </r>
  <r>
    <s v="REG101130"/>
    <x v="131"/>
    <s v="Cust 6895"/>
    <x v="4"/>
    <n v="10328.6"/>
    <n v="20"/>
    <n v="3098.58"/>
    <n v="0"/>
    <s v="Cust 6895"/>
    <s v="Craig Carreira"/>
    <x v="1"/>
    <s v="New York City"/>
    <s v="New York"/>
    <x v="0"/>
  </r>
  <r>
    <s v="REG100118"/>
    <x v="132"/>
    <s v="Cust 6895"/>
    <x v="2"/>
    <n v="1984.65"/>
    <n v="5"/>
    <n v="595.4"/>
    <n v="0"/>
    <s v="Cust 6895"/>
    <s v="Craig Carreira"/>
    <x v="1"/>
    <s v="New York City"/>
    <s v="New York"/>
    <x v="0"/>
  </r>
  <r>
    <s v="REG100119"/>
    <x v="28"/>
    <s v="Cust 1797"/>
    <x v="0"/>
    <n v="4831.42"/>
    <n v="10"/>
    <n v="1449.42"/>
    <n v="0.05"/>
    <s v="Cust 1797"/>
    <s v="Dorris liebe"/>
    <x v="3"/>
    <s v="Pasadena"/>
    <s v="Texas"/>
    <x v="0"/>
  </r>
  <r>
    <s v="REG100120"/>
    <x v="133"/>
    <s v="Cust 9969"/>
    <x v="0"/>
    <n v="2570.14"/>
    <n v="11"/>
    <n v="771.04"/>
    <n v="0.1"/>
    <s v="Cust 9969"/>
    <s v="Sean Braxton"/>
    <x v="3"/>
    <s v="Houston"/>
    <s v="Texas"/>
    <x v="1"/>
  </r>
  <r>
    <s v="REG100121"/>
    <x v="134"/>
    <s v="Cust 1815"/>
    <x v="3"/>
    <n v="2819.61"/>
    <n v="9"/>
    <n v="845.88"/>
    <n v="0"/>
    <s v="Cust 1815"/>
    <s v="Roy Collins"/>
    <x v="3"/>
    <s v="Chicago"/>
    <s v="Illinois"/>
    <x v="1"/>
  </r>
  <r>
    <s v="REG101047"/>
    <x v="135"/>
    <s v="Cust 7773"/>
    <x v="2"/>
    <n v="2766.96"/>
    <n v="8"/>
    <n v="830.09"/>
    <n v="0.1"/>
    <s v="Cust 7773"/>
    <s v="Alan Hwang"/>
    <x v="1"/>
    <s v="Brentwood"/>
    <s v="California"/>
    <x v="1"/>
  </r>
  <r>
    <s v="REG100122"/>
    <x v="136"/>
    <s v="Cust 7773"/>
    <x v="6"/>
    <n v="479.57"/>
    <n v="5"/>
    <n v="143.87"/>
    <n v="0.1"/>
    <s v="Cust 7773"/>
    <s v="Alan Hwang"/>
    <x v="1"/>
    <s v="Brentwood"/>
    <s v="California"/>
    <x v="1"/>
  </r>
  <r>
    <s v="REG100123"/>
    <x v="0"/>
    <s v="Cust 1499"/>
    <x v="4"/>
    <n v="92.65"/>
    <n v="1"/>
    <n v="27.8"/>
    <n v="0.15"/>
    <s v="Cust 1499"/>
    <s v="Claudia Bergmann"/>
    <x v="0"/>
    <s v="Chapel Hill"/>
    <s v="North Carolina"/>
    <x v="0"/>
  </r>
  <r>
    <s v="REG100958"/>
    <x v="137"/>
    <s v="Cust 3809"/>
    <x v="2"/>
    <n v="838.44"/>
    <n v="5"/>
    <n v="251.53"/>
    <n v="0.1"/>
    <s v="Cust 3809"/>
    <s v="Paul Gonzalez"/>
    <x v="2"/>
    <s v="Morristown"/>
    <s v="New Jersey"/>
    <x v="0"/>
  </r>
  <r>
    <s v="REG100124"/>
    <x v="138"/>
    <s v="Cust 3809"/>
    <x v="6"/>
    <n v="2590.4"/>
    <n v="8"/>
    <n v="777.12"/>
    <n v="0"/>
    <s v="Cust 3809"/>
    <s v="Paul Gonzalez"/>
    <x v="2"/>
    <s v="Morristown"/>
    <s v="New Jersey"/>
    <x v="2"/>
  </r>
  <r>
    <s v="REG100125"/>
    <x v="106"/>
    <s v="Cust 7824"/>
    <x v="0"/>
    <n v="5841.66"/>
    <n v="16"/>
    <n v="1752.5"/>
    <n v="0.05"/>
    <s v="Cust 7824"/>
    <s v="Christine Abelman"/>
    <x v="2"/>
    <s v="Cincinnati"/>
    <s v="Ohio"/>
    <x v="1"/>
  </r>
  <r>
    <s v="REG100126"/>
    <x v="139"/>
    <s v="Cust 7258"/>
    <x v="4"/>
    <n v="2228.5"/>
    <n v="16"/>
    <n v="668.55"/>
    <n v="0.15"/>
    <s v="Cust 7258"/>
    <s v="Kristen Hastings"/>
    <x v="3"/>
    <s v="San Francisco"/>
    <s v="California"/>
    <x v="1"/>
  </r>
  <r>
    <s v="REG100127"/>
    <x v="140"/>
    <s v="Cust 1151"/>
    <x v="6"/>
    <n v="117.05"/>
    <n v="5"/>
    <n v="35.119999999999997"/>
    <n v="0"/>
    <s v="Cust 1151"/>
    <s v="Helen Andreada"/>
    <x v="0"/>
    <s v="San Francisco"/>
    <s v="California"/>
    <x v="1"/>
  </r>
  <r>
    <s v="REG100128"/>
    <x v="114"/>
    <s v="Cust 6486"/>
    <x v="4"/>
    <n v="8311.2999999999993"/>
    <n v="20"/>
    <n v="2493.39"/>
    <n v="0.15"/>
    <s v="Cust 6486"/>
    <s v="Barry Blumstein"/>
    <x v="0"/>
    <s v="Inglewood"/>
    <s v="California"/>
    <x v="1"/>
  </r>
  <r>
    <s v="REG100129"/>
    <x v="141"/>
    <s v="Cust 4034"/>
    <x v="6"/>
    <n v="3009.52"/>
    <n v="7"/>
    <n v="902.86"/>
    <n v="0.05"/>
    <s v="Cust 4034"/>
    <s v="Andrew Gjertsen"/>
    <x v="4"/>
    <s v="Philadelphia"/>
    <s v="Pennsylvania"/>
    <x v="2"/>
  </r>
  <r>
    <s v="REG100130"/>
    <x v="142"/>
    <s v="Cust 9794"/>
    <x v="2"/>
    <n v="5117.6400000000003"/>
    <n v="11"/>
    <n v="1535.29"/>
    <n v="0"/>
    <s v="Cust 9794"/>
    <s v="Steven Cartwright"/>
    <x v="2"/>
    <s v="Houston"/>
    <s v="Texas"/>
    <x v="2"/>
  </r>
  <r>
    <s v="REG100530"/>
    <x v="54"/>
    <s v="Cust 2414"/>
    <x v="0"/>
    <n v="477.36"/>
    <n v="1"/>
    <n v="143.21"/>
    <n v="0.15"/>
    <s v="Cust 2414"/>
    <s v="Jas O'Carroll"/>
    <x v="0"/>
    <s v="Los Angeles"/>
    <s v="California"/>
    <x v="1"/>
  </r>
  <r>
    <s v="REG100131"/>
    <x v="140"/>
    <s v="Cust 2414"/>
    <x v="1"/>
    <n v="6197.1"/>
    <n v="14"/>
    <n v="1859.13"/>
    <n v="0"/>
    <s v="Cust 2414"/>
    <s v="Jas O'Carroll"/>
    <x v="0"/>
    <s v="Los Angeles"/>
    <s v="California"/>
    <x v="1"/>
  </r>
  <r>
    <s v="REG100132"/>
    <x v="143"/>
    <s v="Cust 9024"/>
    <x v="0"/>
    <n v="5633.28"/>
    <n v="12"/>
    <n v="1689.98"/>
    <n v="0"/>
    <s v="Cust 9024"/>
    <s v="Tracy Blumstein"/>
    <x v="4"/>
    <s v="Portland"/>
    <s v="Oregon"/>
    <x v="1"/>
  </r>
  <r>
    <s v="REG100133"/>
    <x v="144"/>
    <s v="Cust 2663"/>
    <x v="5"/>
    <n v="3308.64"/>
    <n v="14"/>
    <n v="992.59"/>
    <n v="0.05"/>
    <s v="Cust 2663"/>
    <s v="Alan Haines"/>
    <x v="0"/>
    <s v="Tamarac"/>
    <s v="Florida"/>
    <x v="2"/>
  </r>
  <r>
    <s v="REG100134"/>
    <x v="102"/>
    <s v="Cust 2293"/>
    <x v="3"/>
    <n v="2148.1"/>
    <n v="4"/>
    <n v="644.42999999999995"/>
    <n v="0.05"/>
    <s v="Cust 2293"/>
    <s v="Nick Zandusky"/>
    <x v="1"/>
    <s v="Columbus"/>
    <s v="Ohio"/>
    <x v="0"/>
  </r>
  <r>
    <s v="REG100135"/>
    <x v="145"/>
    <s v="Cust 8963"/>
    <x v="2"/>
    <n v="2790.72"/>
    <n v="12"/>
    <n v="837.22"/>
    <n v="0.05"/>
    <s v="Cust 8963"/>
    <s v="Kelly Lampkin"/>
    <x v="3"/>
    <s v="Colorado Springs"/>
    <s v="Colorado"/>
    <x v="0"/>
  </r>
  <r>
    <s v="REG100136"/>
    <x v="146"/>
    <s v="Cust 9238"/>
    <x v="0"/>
    <n v="3592.99"/>
    <n v="13"/>
    <n v="1077.9000000000001"/>
    <n v="0.05"/>
    <s v="Cust 9238"/>
    <s v="Jonathan Doherty"/>
    <x v="4"/>
    <s v="Belleville"/>
    <s v="New Jersey"/>
    <x v="0"/>
  </r>
  <r>
    <s v="REG100137"/>
    <x v="147"/>
    <s v="Cust 1390"/>
    <x v="0"/>
    <n v="2271.9499999999998"/>
    <n v="11"/>
    <n v="681.59"/>
    <n v="0.1"/>
    <s v="Cust 1390"/>
    <s v="Jonathan Howell"/>
    <x v="3"/>
    <s v="Chicago"/>
    <s v="Illinois"/>
    <x v="0"/>
  </r>
  <r>
    <s v="REG100138"/>
    <x v="148"/>
    <s v="Cust 8548"/>
    <x v="5"/>
    <n v="811.98"/>
    <n v="2"/>
    <n v="243.6"/>
    <n v="0.05"/>
    <s v="Cust 8548"/>
    <s v="Alan Schoenberger"/>
    <x v="3"/>
    <s v="New York City"/>
    <s v="New York"/>
    <x v="0"/>
  </r>
  <r>
    <s v="REG100139"/>
    <x v="149"/>
    <s v="Cust 2919"/>
    <x v="1"/>
    <n v="842.67"/>
    <n v="2"/>
    <n v="252.8"/>
    <n v="0.05"/>
    <s v="Cust 2919"/>
    <s v="Ken Brennan"/>
    <x v="2"/>
    <s v="Taylor"/>
    <s v="Michigan"/>
    <x v="0"/>
  </r>
  <r>
    <s v="REG100140"/>
    <x v="150"/>
    <s v="Cust 5847"/>
    <x v="2"/>
    <n v="3100.96"/>
    <n v="13"/>
    <n v="930.29"/>
    <n v="0.15"/>
    <s v="Cust 5847"/>
    <s v="Corey Roper"/>
    <x v="3"/>
    <s v="Lakewood"/>
    <s v="New Jersey"/>
    <x v="0"/>
  </r>
  <r>
    <s v="REG100141"/>
    <x v="151"/>
    <s v="Cust 5711"/>
    <x v="3"/>
    <n v="4604.09"/>
    <n v="13"/>
    <n v="1381.23"/>
    <n v="0.15"/>
    <s v="Cust 5711"/>
    <s v="Shahid Hopkins"/>
    <x v="2"/>
    <s v="Arlington"/>
    <s v="Virginia"/>
    <x v="0"/>
  </r>
  <r>
    <s v="REG100142"/>
    <x v="152"/>
    <s v="Cust 5461"/>
    <x v="3"/>
    <n v="6484.28"/>
    <n v="11"/>
    <n v="1945.28"/>
    <n v="0"/>
    <s v="Cust 5461"/>
    <s v="Ben Peterman"/>
    <x v="0"/>
    <s v="Arvada"/>
    <s v="Colorado"/>
    <x v="0"/>
  </r>
  <r>
    <s v="REG100143"/>
    <x v="64"/>
    <s v="Cust 8905"/>
    <x v="1"/>
    <n v="2338.4499999999998"/>
    <n v="18"/>
    <n v="701.54"/>
    <n v="0.15"/>
    <s v="Cust 8905"/>
    <s v="Thomas Seio"/>
    <x v="2"/>
    <s v="Hackensack"/>
    <s v="New Jersey"/>
    <x v="0"/>
  </r>
  <r>
    <s v="REG100248"/>
    <x v="153"/>
    <s v="Cust 9618"/>
    <x v="0"/>
    <n v="2944.96"/>
    <n v="6"/>
    <n v="883.49"/>
    <n v="0.05"/>
    <s v="Cust 9618"/>
    <s v="Andy Gerbode"/>
    <x v="3"/>
    <s v="Saint Petersburg"/>
    <s v="Florida"/>
    <x v="0"/>
  </r>
  <r>
    <s v="REG100144"/>
    <x v="154"/>
    <s v="Cust 9618"/>
    <x v="6"/>
    <n v="654.64"/>
    <n v="4"/>
    <n v="196.39"/>
    <n v="0"/>
    <s v="Cust 9618"/>
    <s v="Andy Gerbode"/>
    <x v="3"/>
    <s v="Saint Petersburg"/>
    <s v="Florida"/>
    <x v="0"/>
  </r>
  <r>
    <s v="REG100145"/>
    <x v="155"/>
    <s v="Cust 5203"/>
    <x v="0"/>
    <n v="7820.64"/>
    <n v="19"/>
    <n v="2346.19"/>
    <n v="0.15"/>
    <s v="Cust 5203"/>
    <s v="Sung Pak"/>
    <x v="4"/>
    <s v="Philadelphia"/>
    <s v="Pennsylvania"/>
    <x v="0"/>
  </r>
  <r>
    <s v="REG100146"/>
    <x v="156"/>
    <s v="Cust 1732"/>
    <x v="3"/>
    <n v="3081.24"/>
    <n v="9"/>
    <n v="924.37"/>
    <n v="0.1"/>
    <s v="Cust 1732"/>
    <s v="Nathan Mautz"/>
    <x v="2"/>
    <s v="New York City"/>
    <s v="New York"/>
    <x v="0"/>
  </r>
  <r>
    <s v="REG100147"/>
    <x v="157"/>
    <s v="Cust 4734"/>
    <x v="3"/>
    <n v="5085.41"/>
    <n v="17"/>
    <n v="1525.62"/>
    <n v="0.1"/>
    <s v="Cust 4734"/>
    <s v="Frank Atkinson"/>
    <x v="4"/>
    <s v="Long Beach"/>
    <s v="California"/>
    <x v="0"/>
  </r>
  <r>
    <s v="REG100411"/>
    <x v="158"/>
    <s v="Cust 5895"/>
    <x v="5"/>
    <n v="5221.9799999999996"/>
    <n v="11"/>
    <n v="1566.59"/>
    <n v="0.15"/>
    <s v="Cust 5895"/>
    <s v="Grace Kelly"/>
    <x v="3"/>
    <s v="Hesperia"/>
    <s v="California"/>
    <x v="0"/>
  </r>
  <r>
    <s v="REG100148"/>
    <x v="19"/>
    <s v="Cust 5895"/>
    <x v="3"/>
    <n v="3005.9"/>
    <n v="15"/>
    <n v="901.77"/>
    <n v="0.05"/>
    <s v="Cust 5895"/>
    <s v="Grace Kelly"/>
    <x v="3"/>
    <s v="Hesperia"/>
    <s v="California"/>
    <x v="0"/>
  </r>
  <r>
    <s v="REG100149"/>
    <x v="80"/>
    <s v="Cust 9691"/>
    <x v="1"/>
    <n v="3445.2"/>
    <n v="9"/>
    <n v="1033.56"/>
    <n v="0"/>
    <s v="Cust 9691"/>
    <s v="Don Jones"/>
    <x v="1"/>
    <s v="Murfreesboro"/>
    <s v="Tennessee"/>
    <x v="1"/>
  </r>
  <r>
    <s v="REG100150"/>
    <x v="159"/>
    <s v="Cust 5406"/>
    <x v="5"/>
    <n v="985.04"/>
    <n v="3"/>
    <n v="295.51"/>
    <n v="0.15"/>
    <s v="Cust 5406"/>
    <s v="Patrick O'Brill"/>
    <x v="2"/>
    <s v="Philadelphia"/>
    <s v="Pennsylvania"/>
    <x v="1"/>
  </r>
  <r>
    <s v="REG100478"/>
    <x v="160"/>
    <s v="Cust 5750"/>
    <x v="5"/>
    <n v="4332.3599999999997"/>
    <n v="11"/>
    <n v="1299.71"/>
    <n v="0.05"/>
    <s v="Cust 5750"/>
    <s v="John Lucas"/>
    <x v="2"/>
    <s v="Philadelphia"/>
    <s v="Pennsylvania"/>
    <x v="0"/>
  </r>
  <r>
    <s v="REG100151"/>
    <x v="72"/>
    <s v="Cust 5750"/>
    <x v="6"/>
    <n v="1129.95"/>
    <n v="5"/>
    <n v="338.99"/>
    <n v="0"/>
    <s v="Cust 5750"/>
    <s v="John Lucas"/>
    <x v="2"/>
    <s v="Philadelphia"/>
    <s v="Pennsylvania"/>
    <x v="0"/>
  </r>
  <r>
    <s v="REG100152"/>
    <x v="4"/>
    <s v="Cust 6506"/>
    <x v="4"/>
    <n v="5313.52"/>
    <n v="20"/>
    <n v="1594.06"/>
    <n v="0.15"/>
    <s v="Cust 6506"/>
    <s v="Doug Bickford"/>
    <x v="1"/>
    <s v="Los Angeles"/>
    <s v="California"/>
    <x v="0"/>
  </r>
  <r>
    <s v="REG100004"/>
    <x v="5"/>
    <s v="Cust 6506"/>
    <x v="2"/>
    <n v="4279.68"/>
    <n v="18"/>
    <n v="1283.9000000000001"/>
    <n v="0"/>
    <s v="Cust 6506"/>
    <s v="Doug Bickford"/>
    <x v="1"/>
    <s v="Los Angeles"/>
    <s v="California"/>
    <x v="2"/>
  </r>
  <r>
    <s v="REG101165"/>
    <x v="8"/>
    <s v="Cust 8280"/>
    <x v="4"/>
    <n v="505.98"/>
    <n v="5"/>
    <n v="151.79"/>
    <n v="0.1"/>
    <s v="Cust 8280"/>
    <s v="Alyssa Crouse"/>
    <x v="2"/>
    <s v="San Francisco"/>
    <s v="California"/>
    <x v="1"/>
  </r>
  <r>
    <s v="REG100153"/>
    <x v="152"/>
    <s v="Cust 8280"/>
    <x v="1"/>
    <n v="5357.06"/>
    <n v="13"/>
    <n v="1607.12"/>
    <n v="0.05"/>
    <s v="Cust 8280"/>
    <s v="Alyssa Crouse"/>
    <x v="2"/>
    <s v="San Francisco"/>
    <s v="California"/>
    <x v="1"/>
  </r>
  <r>
    <s v="REG100154"/>
    <x v="161"/>
    <s v="Cust 4358"/>
    <x v="6"/>
    <n v="3186.6"/>
    <n v="20"/>
    <n v="955.98"/>
    <n v="0"/>
    <s v="Cust 4358"/>
    <s v="Ken Lonsdale"/>
    <x v="1"/>
    <s v="Layton"/>
    <s v="Utah"/>
    <x v="2"/>
  </r>
  <r>
    <s v="REG100155"/>
    <x v="162"/>
    <s v="Cust 3588"/>
    <x v="1"/>
    <n v="551.13"/>
    <n v="18"/>
    <n v="165.34"/>
    <n v="0.05"/>
    <s v="Cust 3588"/>
    <s v="Chad Sievert"/>
    <x v="1"/>
    <s v="Austin"/>
    <s v="Texas"/>
    <x v="2"/>
  </r>
  <r>
    <s v="REG100156"/>
    <x v="163"/>
    <s v="Cust 4539"/>
    <x v="5"/>
    <n v="1424.98"/>
    <n v="3"/>
    <n v="427.49"/>
    <n v="0.1"/>
    <s v="Cust 4539"/>
    <s v="Clay Cheatham"/>
    <x v="1"/>
    <s v="San Francisco"/>
    <s v="California"/>
    <x v="2"/>
  </r>
  <r>
    <s v="REG100157"/>
    <x v="23"/>
    <s v="Cust 7067"/>
    <x v="3"/>
    <n v="4075.26"/>
    <n v="14"/>
    <n v="1222.58"/>
    <n v="0"/>
    <s v="Cust 7067"/>
    <s v="Tamara Dahlen"/>
    <x v="1"/>
    <s v="Lowell"/>
    <s v="Massachusetts"/>
    <x v="0"/>
  </r>
  <r>
    <s v="REG100158"/>
    <x v="73"/>
    <s v="Cust 7720"/>
    <x v="1"/>
    <n v="2800.96"/>
    <n v="8"/>
    <n v="840.29"/>
    <n v="0"/>
    <s v="Cust 7720"/>
    <s v="Adam Bellavance"/>
    <x v="1"/>
    <s v="New York City"/>
    <s v="New York"/>
    <x v="2"/>
  </r>
  <r>
    <s v="REG100159"/>
    <x v="13"/>
    <s v="Cust 5668"/>
    <x v="1"/>
    <n v="1854.97"/>
    <n v="10"/>
    <n v="556.49"/>
    <n v="0.05"/>
    <s v="Cust 5668"/>
    <s v="Jeremy Lonsdale"/>
    <x v="2"/>
    <s v="New York City"/>
    <s v="New York"/>
    <x v="1"/>
  </r>
  <r>
    <s v="REG101332"/>
    <x v="164"/>
    <s v="Cust 8367"/>
    <x v="1"/>
    <n v="5173.17"/>
    <n v="13"/>
    <n v="1551.95"/>
    <n v="0.15"/>
    <s v="Cust 8367"/>
    <s v="Heather Kirkland"/>
    <x v="1"/>
    <s v="Charlotte"/>
    <s v="North Carolina"/>
    <x v="1"/>
  </r>
  <r>
    <s v="REG100160"/>
    <x v="165"/>
    <s v="Cust 8367"/>
    <x v="5"/>
    <n v="3784.3"/>
    <n v="13"/>
    <n v="1135.29"/>
    <n v="0"/>
    <s v="Cust 8367"/>
    <s v="Heather Kirkland"/>
    <x v="1"/>
    <s v="Charlotte"/>
    <s v="North Carolina"/>
    <x v="2"/>
  </r>
  <r>
    <s v="REG100161"/>
    <x v="166"/>
    <s v="Cust 4438"/>
    <x v="5"/>
    <n v="478.99"/>
    <n v="6"/>
    <n v="143.69999999999999"/>
    <n v="0.15"/>
    <s v="Cust 4438"/>
    <s v="Victoria Brennan"/>
    <x v="1"/>
    <s v="Columbus"/>
    <s v="Georgia"/>
    <x v="2"/>
  </r>
  <r>
    <s v="REG100162"/>
    <x v="167"/>
    <s v="Cust 3481"/>
    <x v="4"/>
    <n v="79.599999999999994"/>
    <n v="5"/>
    <n v="23.88"/>
    <n v="0"/>
    <s v="Cust 3481"/>
    <s v="Katrina Willman"/>
    <x v="3"/>
    <s v="New York City"/>
    <s v="New York"/>
    <x v="2"/>
  </r>
  <r>
    <s v="REG100163"/>
    <x v="168"/>
    <s v="Cust 1489"/>
    <x v="5"/>
    <n v="1634.99"/>
    <n v="16"/>
    <n v="490.5"/>
    <n v="0.15"/>
    <s v="Cust 1489"/>
    <s v="Julia Dunbar"/>
    <x v="1"/>
    <s v="San Francisco"/>
    <s v="California"/>
    <x v="2"/>
  </r>
  <r>
    <s v="REG100164"/>
    <x v="169"/>
    <s v="Cust 6649"/>
    <x v="5"/>
    <n v="1241.46"/>
    <n v="11"/>
    <n v="372.44"/>
    <n v="0.05"/>
    <s v="Cust 6649"/>
    <s v="Michael Kennedy"/>
    <x v="2"/>
    <s v="Manchester"/>
    <s v="Connecticut"/>
    <x v="2"/>
  </r>
  <r>
    <s v="REG100165"/>
    <x v="170"/>
    <s v="Cust 6114"/>
    <x v="6"/>
    <n v="832.05"/>
    <n v="10"/>
    <n v="249.62"/>
    <n v="0.1"/>
    <s v="Cust 6114"/>
    <s v="Guy Thornton"/>
    <x v="0"/>
    <s v="Harlingen"/>
    <s v="Texas"/>
    <x v="1"/>
  </r>
  <r>
    <s v="REG100166"/>
    <x v="95"/>
    <s v="Cust 9589"/>
    <x v="0"/>
    <n v="8806.69"/>
    <n v="19"/>
    <n v="2642.01"/>
    <n v="0"/>
    <s v="Cust 9589"/>
    <s v="Arthur Gainer"/>
    <x v="2"/>
    <s v="Tucson"/>
    <s v="Arizona"/>
    <x v="0"/>
  </r>
  <r>
    <s v="REG100167"/>
    <x v="171"/>
    <s v="Cust 8184"/>
    <x v="2"/>
    <n v="1893.26"/>
    <n v="7"/>
    <n v="567.98"/>
    <n v="0.05"/>
    <s v="Cust 8184"/>
    <s v="Muhammed MacIntyre"/>
    <x v="2"/>
    <s v="Quincy"/>
    <s v="Illinois"/>
    <x v="0"/>
  </r>
  <r>
    <s v="REG100168"/>
    <x v="172"/>
    <s v="Cust 2490"/>
    <x v="0"/>
    <n v="6521.75"/>
    <n v="20"/>
    <n v="1956.53"/>
    <n v="0.05"/>
    <s v="Cust 2490"/>
    <s v="Allen Rosenblatt"/>
    <x v="4"/>
    <s v="Franklin"/>
    <s v="Massachusetts"/>
    <x v="2"/>
  </r>
  <r>
    <s v="REG100169"/>
    <x v="173"/>
    <s v="Cust 1647"/>
    <x v="3"/>
    <n v="485.72"/>
    <n v="6"/>
    <n v="145.72"/>
    <n v="0.15"/>
    <s v="Cust 1647"/>
    <s v="Russell Applegate"/>
    <x v="3"/>
    <s v="Houston"/>
    <s v="Texas"/>
    <x v="1"/>
  </r>
  <r>
    <s v="REG100170"/>
    <x v="174"/>
    <s v="Cust 2017"/>
    <x v="2"/>
    <n v="1294.28"/>
    <n v="13"/>
    <n v="388.28"/>
    <n v="0.05"/>
    <s v="Cust 2017"/>
    <s v="Alejandro Savely"/>
    <x v="4"/>
    <s v="San Francisco"/>
    <s v="California"/>
    <x v="1"/>
  </r>
  <r>
    <s v="REG100171"/>
    <x v="175"/>
    <s v="Cust 3446"/>
    <x v="6"/>
    <n v="1774.55"/>
    <n v="12"/>
    <n v="532.36"/>
    <n v="0.1"/>
    <s v="Cust 3446"/>
    <s v="Laura Armstrong"/>
    <x v="4"/>
    <s v="Taylor"/>
    <s v="Michigan"/>
    <x v="0"/>
  </r>
  <r>
    <s v="REG100172"/>
    <x v="176"/>
    <s v="Cust 4877"/>
    <x v="6"/>
    <n v="2926.62"/>
    <n v="10"/>
    <n v="877.99"/>
    <n v="0.1"/>
    <s v="Cust 4877"/>
    <s v="Denny Ordway"/>
    <x v="1"/>
    <s v="Pembroke Pines"/>
    <s v="Florida"/>
    <x v="0"/>
  </r>
  <r>
    <s v="REG100173"/>
    <x v="177"/>
    <s v="Cust 9112"/>
    <x v="5"/>
    <n v="9227.94"/>
    <n v="17"/>
    <n v="2768.38"/>
    <n v="0"/>
    <s v="Cust 9112"/>
    <s v="Dean Katz"/>
    <x v="0"/>
    <s v="Philadelphia"/>
    <s v="Pennsylvania"/>
    <x v="0"/>
  </r>
  <r>
    <s v="REG100174"/>
    <x v="67"/>
    <s v="Cust 8172"/>
    <x v="6"/>
    <n v="2759.48"/>
    <n v="14"/>
    <n v="827.85"/>
    <n v="0.05"/>
    <s v="Cust 8172"/>
    <s v="Nathan Gelder"/>
    <x v="2"/>
    <s v="Cincinnati"/>
    <s v="Ohio"/>
    <x v="0"/>
  </r>
  <r>
    <s v="REG100175"/>
    <x v="178"/>
    <s v="Cust 4597"/>
    <x v="4"/>
    <n v="8525.26"/>
    <n v="17"/>
    <n v="2557.58"/>
    <n v="0.05"/>
    <s v="Cust 4597"/>
    <s v="Mike Vittorini"/>
    <x v="2"/>
    <s v="New York City"/>
    <s v="New York"/>
    <x v="1"/>
  </r>
  <r>
    <s v="REG100176"/>
    <x v="179"/>
    <s v="Cust 3690"/>
    <x v="3"/>
    <n v="744.14"/>
    <n v="11"/>
    <n v="223.24"/>
    <n v="0.05"/>
    <s v="Cust 3690"/>
    <s v="Jack Garza"/>
    <x v="2"/>
    <s v="Des Moines"/>
    <s v="Washington"/>
    <x v="0"/>
  </r>
  <r>
    <s v="REG100177"/>
    <x v="180"/>
    <s v="Cust 2893"/>
    <x v="4"/>
    <n v="3888.56"/>
    <n v="8"/>
    <n v="1166.57"/>
    <n v="0"/>
    <s v="Cust 2893"/>
    <s v="Bart Pistole"/>
    <x v="3"/>
    <s v="Peoria"/>
    <s v="Illinois"/>
    <x v="0"/>
  </r>
  <r>
    <s v="REG100178"/>
    <x v="181"/>
    <s v="Cust 5602"/>
    <x v="0"/>
    <n v="2997.16"/>
    <n v="6"/>
    <n v="899.15"/>
    <n v="0.1"/>
    <s v="Cust 5602"/>
    <s v="Victor Preis"/>
    <x v="0"/>
    <s v="Las Vegas"/>
    <s v="Nevada"/>
    <x v="0"/>
  </r>
  <r>
    <s v="REG100179"/>
    <x v="182"/>
    <s v="Cust 5616"/>
    <x v="2"/>
    <n v="5474.04"/>
    <n v="13"/>
    <n v="1642.21"/>
    <n v="0"/>
    <s v="Cust 5616"/>
    <s v="Saphhira Shifley"/>
    <x v="0"/>
    <s v="Warwick"/>
    <s v="Rhode Island"/>
    <x v="0"/>
  </r>
  <r>
    <s v="REG100180"/>
    <x v="173"/>
    <s v="Cust 1312"/>
    <x v="0"/>
    <n v="1096.8499999999999"/>
    <n v="16"/>
    <n v="329.05"/>
    <n v="0.1"/>
    <s v="Cust 1312"/>
    <s v="Harold Pawlan"/>
    <x v="2"/>
    <s v="Jackson"/>
    <s v="Michigan"/>
    <x v="0"/>
  </r>
  <r>
    <s v="REG100181"/>
    <x v="183"/>
    <s v="Cust 6315"/>
    <x v="4"/>
    <n v="1359.59"/>
    <n v="3"/>
    <n v="407.88"/>
    <n v="0.1"/>
    <s v="Cust 6315"/>
    <s v="Anna Gayman"/>
    <x v="1"/>
    <s v="Houston"/>
    <s v="Texas"/>
    <x v="0"/>
  </r>
  <r>
    <s v="REG100182"/>
    <x v="184"/>
    <s v="Cust 1224"/>
    <x v="6"/>
    <n v="157.80000000000001"/>
    <n v="5"/>
    <n v="47.34"/>
    <n v="0"/>
    <s v="Cust 1224"/>
    <s v="Luke Foster"/>
    <x v="0"/>
    <s v="Miami"/>
    <s v="Florida"/>
    <x v="1"/>
  </r>
  <r>
    <s v="REG100183"/>
    <x v="185"/>
    <s v="Cust 7182"/>
    <x v="0"/>
    <n v="1108.3800000000001"/>
    <n v="16"/>
    <n v="332.52"/>
    <n v="0.05"/>
    <s v="Cust 7182"/>
    <s v="Stephanie Phelps"/>
    <x v="4"/>
    <s v="Wilmington"/>
    <s v="North Carolina"/>
    <x v="1"/>
  </r>
  <r>
    <s v="REG100184"/>
    <x v="74"/>
    <s v="Cust 7901"/>
    <x v="4"/>
    <n v="7215"/>
    <n v="18"/>
    <n v="2164.5"/>
    <n v="0.05"/>
    <s v="Cust 7901"/>
    <s v="Roy FranzÃƒÂ¶sisch"/>
    <x v="4"/>
    <s v="New York City"/>
    <s v="New York"/>
    <x v="1"/>
  </r>
  <r>
    <s v="REG100854"/>
    <x v="186"/>
    <s v="Cust 1736"/>
    <x v="1"/>
    <n v="29.85"/>
    <n v="1"/>
    <n v="8.9499999999999993"/>
    <n v="0.05"/>
    <s v="Cust 1736"/>
    <s v="Keith Herrera"/>
    <x v="2"/>
    <s v="San Francisco"/>
    <s v="California"/>
    <x v="1"/>
  </r>
  <r>
    <s v="REG100185"/>
    <x v="187"/>
    <s v="Cust 1736"/>
    <x v="2"/>
    <n v="6458.54"/>
    <n v="15"/>
    <n v="1937.56"/>
    <n v="0.1"/>
    <s v="Cust 1736"/>
    <s v="Keith Herrera"/>
    <x v="2"/>
    <s v="San Francisco"/>
    <s v="California"/>
    <x v="1"/>
  </r>
  <r>
    <s v="REG100186"/>
    <x v="145"/>
    <s v="Cust 7795"/>
    <x v="3"/>
    <n v="4515.66"/>
    <n v="9"/>
    <n v="1354.7"/>
    <n v="0"/>
    <s v="Cust 7795"/>
    <s v="Kimberly Carter"/>
    <x v="1"/>
    <s v="Seattle"/>
    <s v="Washington"/>
    <x v="1"/>
  </r>
  <r>
    <s v="REG100187"/>
    <x v="188"/>
    <s v="Cust 2471"/>
    <x v="6"/>
    <n v="1472.8"/>
    <n v="7"/>
    <n v="441.84"/>
    <n v="0.15"/>
    <s v="Cust 2471"/>
    <s v="Caroline Jumper"/>
    <x v="1"/>
    <s v="Huntington Beach"/>
    <s v="California"/>
    <x v="0"/>
  </r>
  <r>
    <s v="REG100188"/>
    <x v="189"/>
    <s v="Cust 3068"/>
    <x v="6"/>
    <n v="900.2"/>
    <n v="6"/>
    <n v="270.06"/>
    <n v="0.15"/>
    <s v="Cust 3068"/>
    <s v="Philip Brown"/>
    <x v="4"/>
    <s v="Los Angeles"/>
    <s v="California"/>
    <x v="0"/>
  </r>
  <r>
    <s v="REG100189"/>
    <x v="190"/>
    <s v="Cust 3848"/>
    <x v="0"/>
    <n v="286.86"/>
    <n v="2"/>
    <n v="86.06"/>
    <n v="0"/>
    <s v="Cust 3848"/>
    <s v="Victoria Brennan"/>
    <x v="4"/>
    <s v="Richmond"/>
    <s v="Kentucky"/>
    <x v="0"/>
  </r>
  <r>
    <s v="REG100190"/>
    <x v="191"/>
    <s v="Cust 7777"/>
    <x v="5"/>
    <n v="6138.9"/>
    <n v="12"/>
    <n v="1841.67"/>
    <n v="0.05"/>
    <s v="Cust 7777"/>
    <s v="Sung Pak"/>
    <x v="0"/>
    <s v="Los Angeles"/>
    <s v="California"/>
    <x v="0"/>
  </r>
  <r>
    <s v="REG100191"/>
    <x v="192"/>
    <s v="Cust 6613"/>
    <x v="4"/>
    <n v="435.85"/>
    <n v="5"/>
    <n v="130.76"/>
    <n v="0"/>
    <s v="Cust 6613"/>
    <s v="Joel Eaton"/>
    <x v="0"/>
    <s v="Louisville"/>
    <s v="Colorado"/>
    <x v="0"/>
  </r>
  <r>
    <s v="REG100192"/>
    <x v="28"/>
    <s v="Cust 2326"/>
    <x v="5"/>
    <n v="3139.42"/>
    <n v="7"/>
    <n v="941.82"/>
    <n v="0.1"/>
    <s v="Cust 2326"/>
    <s v="Michael Paige"/>
    <x v="1"/>
    <s v="Lawrence"/>
    <s v="Massachusetts"/>
    <x v="0"/>
  </r>
  <r>
    <s v="REG100193"/>
    <x v="193"/>
    <s v="Cust 8304"/>
    <x v="4"/>
    <n v="728.54"/>
    <n v="15"/>
    <n v="218.56"/>
    <n v="0.15"/>
    <s v="Cust 8304"/>
    <s v="Natalie Fritzler"/>
    <x v="1"/>
    <s v="Jackson"/>
    <s v="Mississippi"/>
    <x v="0"/>
  </r>
  <r>
    <s v="REG100194"/>
    <x v="59"/>
    <s v="Cust 3630"/>
    <x v="6"/>
    <n v="1899.95"/>
    <n v="18"/>
    <n v="569.99"/>
    <n v="0.15"/>
    <s v="Cust 3630"/>
    <s v="Janet Molinari"/>
    <x v="3"/>
    <s v="Canton"/>
    <s v="Michigan"/>
    <x v="0"/>
  </r>
  <r>
    <s v="REG100195"/>
    <x v="194"/>
    <s v="Cust 8617"/>
    <x v="2"/>
    <n v="1160.46"/>
    <n v="12"/>
    <n v="348.14"/>
    <n v="0.1"/>
    <s v="Cust 8617"/>
    <s v="Shirley Daniels"/>
    <x v="4"/>
    <s v="New Rochelle"/>
    <s v="New York"/>
    <x v="1"/>
  </r>
  <r>
    <s v="REG100196"/>
    <x v="195"/>
    <s v="Cust 3530"/>
    <x v="3"/>
    <n v="2961.07"/>
    <n v="8"/>
    <n v="888.32"/>
    <n v="0.1"/>
    <s v="Cust 3530"/>
    <s v="Ken Heidel"/>
    <x v="0"/>
    <s v="San Antonio"/>
    <s v="Texas"/>
    <x v="1"/>
  </r>
  <r>
    <s v="REG100197"/>
    <x v="196"/>
    <s v="Cust 3884"/>
    <x v="4"/>
    <n v="1736.7"/>
    <n v="7"/>
    <n v="521.01"/>
    <n v="0"/>
    <s v="Cust 3884"/>
    <s v="Ross Baird"/>
    <x v="3"/>
    <s v="Gastonia"/>
    <s v="North Carolina"/>
    <x v="1"/>
  </r>
  <r>
    <s v="REG100198"/>
    <x v="197"/>
    <s v="Cust 5739"/>
    <x v="4"/>
    <n v="1313.6"/>
    <n v="3"/>
    <n v="394.08"/>
    <n v="0.1"/>
    <s v="Cust 5739"/>
    <s v="Dave Brooks"/>
    <x v="4"/>
    <s v="Lowell"/>
    <s v="Massachusetts"/>
    <x v="0"/>
  </r>
  <r>
    <s v="REG100199"/>
    <x v="137"/>
    <s v="Cust 9707"/>
    <x v="5"/>
    <n v="6723.65"/>
    <n v="18"/>
    <n v="2017.09"/>
    <n v="0.1"/>
    <s v="Cust 9707"/>
    <s v="Mike Kennedy"/>
    <x v="2"/>
    <s v="Jacksonville"/>
    <s v="Florida"/>
    <x v="0"/>
  </r>
  <r>
    <s v="REG100200"/>
    <x v="188"/>
    <s v="Cust 9288"/>
    <x v="4"/>
    <n v="2670.89"/>
    <n v="19"/>
    <n v="801.27"/>
    <n v="0.15"/>
    <s v="Cust 9288"/>
    <s v="Philisse Overcash"/>
    <x v="3"/>
    <s v="Chicago"/>
    <s v="Illinois"/>
    <x v="1"/>
  </r>
  <r>
    <s v="REG100201"/>
    <x v="198"/>
    <s v="Cust 1216"/>
    <x v="2"/>
    <n v="234.94"/>
    <n v="2"/>
    <n v="70.48"/>
    <n v="0"/>
    <s v="Cust 1216"/>
    <s v="Brenda Bowman"/>
    <x v="4"/>
    <s v="Houston"/>
    <s v="Texas"/>
    <x v="2"/>
  </r>
  <r>
    <s v="REG100202"/>
    <x v="199"/>
    <s v="Cust 2489"/>
    <x v="4"/>
    <n v="3532.69"/>
    <n v="9"/>
    <n v="1059.81"/>
    <n v="0.15"/>
    <s v="Cust 2489"/>
    <s v="Cynthia Voltz"/>
    <x v="3"/>
    <s v="New York City"/>
    <s v="New York"/>
    <x v="2"/>
  </r>
  <r>
    <s v="REG100203"/>
    <x v="200"/>
    <s v="Cust 7171"/>
    <x v="6"/>
    <n v="3767.4"/>
    <n v="19"/>
    <n v="1130.22"/>
    <n v="0.05"/>
    <s v="Cust 7171"/>
    <s v="Pete Kriz"/>
    <x v="4"/>
    <s v="Detroit"/>
    <s v="Michigan"/>
    <x v="2"/>
  </r>
  <r>
    <s v="REG100204"/>
    <x v="201"/>
    <s v="Cust 9125"/>
    <x v="5"/>
    <n v="3782.57"/>
    <n v="16"/>
    <n v="1134.77"/>
    <n v="0.15"/>
    <s v="Cust 9125"/>
    <s v="Troy Blackwell"/>
    <x v="3"/>
    <s v="Columbus"/>
    <s v="Indiana"/>
    <x v="2"/>
  </r>
  <r>
    <s v="REG100410"/>
    <x v="202"/>
    <s v="Cust 9697"/>
    <x v="4"/>
    <n v="1752.02"/>
    <n v="5"/>
    <n v="525.61"/>
    <n v="0.15"/>
    <s v="Cust 9697"/>
    <s v="Raymond Buch"/>
    <x v="4"/>
    <s v="Auburn"/>
    <s v="New York"/>
    <x v="2"/>
  </r>
  <r>
    <s v="REG100205"/>
    <x v="203"/>
    <s v="Cust 9697"/>
    <x v="0"/>
    <n v="1102.3599999999999"/>
    <n v="2"/>
    <n v="330.71"/>
    <n v="0.05"/>
    <s v="Cust 9697"/>
    <s v="Raymond Buch"/>
    <x v="4"/>
    <s v="Auburn"/>
    <s v="New York"/>
    <x v="1"/>
  </r>
  <r>
    <s v="REG100206"/>
    <x v="204"/>
    <s v="Cust 8171"/>
    <x v="6"/>
    <n v="4291.4399999999996"/>
    <n v="8"/>
    <n v="1287.43"/>
    <n v="0"/>
    <s v="Cust 8171"/>
    <s v="Ed Braxton"/>
    <x v="3"/>
    <s v="Akron"/>
    <s v="Ohio"/>
    <x v="0"/>
  </r>
  <r>
    <s v="REG100207"/>
    <x v="205"/>
    <s v="Cust 2004"/>
    <x v="1"/>
    <n v="94.33"/>
    <n v="1"/>
    <n v="28.3"/>
    <n v="0"/>
    <s v="Cust 2004"/>
    <s v="Ken Heidel"/>
    <x v="0"/>
    <s v="Norman"/>
    <s v="Oklahoma"/>
    <x v="0"/>
  </r>
  <r>
    <s v="REG100208"/>
    <x v="66"/>
    <s v="Cust 4214"/>
    <x v="0"/>
    <n v="7055.14"/>
    <n v="16"/>
    <n v="2116.54"/>
    <n v="0.1"/>
    <s v="Cust 4214"/>
    <s v="Sanjit Chand"/>
    <x v="4"/>
    <s v="Concord"/>
    <s v="California"/>
    <x v="0"/>
  </r>
  <r>
    <s v="REG100057"/>
    <x v="67"/>
    <s v="Cust 4214"/>
    <x v="3"/>
    <n v="451.71"/>
    <n v="5"/>
    <n v="135.51"/>
    <n v="0.1"/>
    <s v="Cust 4214"/>
    <s v="Sanjit Chand"/>
    <x v="4"/>
    <s v="Concord"/>
    <s v="California"/>
    <x v="0"/>
  </r>
  <r>
    <s v="REG100209"/>
    <x v="206"/>
    <s v="Cust 9837"/>
    <x v="2"/>
    <n v="2096.5"/>
    <n v="4"/>
    <n v="628.95000000000005"/>
    <n v="0.05"/>
    <s v="Cust 9837"/>
    <s v="Natalie Fritzler"/>
    <x v="1"/>
    <s v="Decatur"/>
    <s v="Illinois"/>
    <x v="0"/>
  </r>
  <r>
    <s v="REG100210"/>
    <x v="207"/>
    <s v="Cust 2082"/>
    <x v="4"/>
    <n v="8605.99"/>
    <n v="17"/>
    <n v="2581.8000000000002"/>
    <n v="0.15"/>
    <s v="Cust 2082"/>
    <s v="Joseph Holt"/>
    <x v="4"/>
    <s v="Seattle"/>
    <s v="Washington"/>
    <x v="0"/>
  </r>
  <r>
    <s v="REG101196"/>
    <x v="208"/>
    <s v="Cust 3001"/>
    <x v="4"/>
    <n v="1556.79"/>
    <n v="16"/>
    <n v="467.04"/>
    <n v="0.15"/>
    <s v="Cust 3001"/>
    <s v="Tanja Norvell"/>
    <x v="0"/>
    <s v="Phoenix"/>
    <s v="Arizona"/>
    <x v="0"/>
  </r>
  <r>
    <s v="REG100211"/>
    <x v="209"/>
    <s v="Cust 3001"/>
    <x v="4"/>
    <n v="162.11000000000001"/>
    <n v="1"/>
    <n v="48.63"/>
    <n v="0.1"/>
    <s v="Cust 3001"/>
    <s v="Tanja Norvell"/>
    <x v="0"/>
    <s v="Phoenix"/>
    <s v="Arizona"/>
    <x v="2"/>
  </r>
  <r>
    <s v="REG100212"/>
    <x v="210"/>
    <s v="Cust 6161"/>
    <x v="2"/>
    <n v="3075.3"/>
    <n v="12"/>
    <n v="922.59"/>
    <n v="0.15"/>
    <s v="Cust 6161"/>
    <s v="Joni Sundaresam"/>
    <x v="0"/>
    <s v="Park Ridge"/>
    <s v="Illinois"/>
    <x v="2"/>
  </r>
  <r>
    <s v="REG100213"/>
    <x v="211"/>
    <s v="Cust 5220"/>
    <x v="1"/>
    <n v="4650.3500000000004"/>
    <n v="20"/>
    <n v="1395.11"/>
    <n v="0.15"/>
    <s v="Cust 5220"/>
    <s v="David Smith"/>
    <x v="1"/>
    <s v="Amarillo"/>
    <s v="Texas"/>
    <x v="2"/>
  </r>
  <r>
    <s v="REG100214"/>
    <x v="212"/>
    <s v="Cust 3386"/>
    <x v="6"/>
    <n v="1010.12"/>
    <n v="6"/>
    <n v="303.04000000000002"/>
    <n v="0.1"/>
    <s v="Cust 3386"/>
    <s v="Craig Carreira"/>
    <x v="4"/>
    <s v="Chicago"/>
    <s v="Illinois"/>
    <x v="2"/>
  </r>
  <r>
    <s v="REG100215"/>
    <x v="213"/>
    <s v="Cust 1591"/>
    <x v="3"/>
    <n v="9000.32"/>
    <n v="16"/>
    <n v="2700.1"/>
    <n v="0"/>
    <s v="Cust 1591"/>
    <s v="Maya Herman"/>
    <x v="2"/>
    <s v="Lindenhurst"/>
    <s v="New York"/>
    <x v="2"/>
  </r>
  <r>
    <s v="REG100216"/>
    <x v="214"/>
    <s v="Cust 3434"/>
    <x v="6"/>
    <n v="306.58"/>
    <n v="4"/>
    <n v="91.97"/>
    <n v="0.1"/>
    <s v="Cust 3434"/>
    <s v="Jeremy Pistek"/>
    <x v="0"/>
    <s v="San Francisco"/>
    <s v="California"/>
    <x v="0"/>
  </r>
  <r>
    <s v="REG100217"/>
    <x v="195"/>
    <s v="Cust 1501"/>
    <x v="6"/>
    <n v="4605.3999999999996"/>
    <n v="12"/>
    <n v="1381.62"/>
    <n v="0.15"/>
    <s v="Cust 1501"/>
    <s v="Kristen Hastings"/>
    <x v="2"/>
    <s v="Los Angeles"/>
    <s v="California"/>
    <x v="0"/>
  </r>
  <r>
    <s v="REG100218"/>
    <x v="215"/>
    <s v="Cust 9683"/>
    <x v="6"/>
    <n v="220.89"/>
    <n v="1"/>
    <n v="66.27"/>
    <n v="0.15"/>
    <s v="Cust 9683"/>
    <s v="Jeremy Ellison"/>
    <x v="3"/>
    <s v="Troy"/>
    <s v="New York"/>
    <x v="0"/>
  </r>
  <r>
    <s v="REG100219"/>
    <x v="216"/>
    <s v="Cust 5416"/>
    <x v="6"/>
    <n v="5096.75"/>
    <n v="20"/>
    <n v="1529.03"/>
    <n v="0.05"/>
    <s v="Cust 5416"/>
    <s v="John Grady"/>
    <x v="3"/>
    <s v="New York City"/>
    <s v="New York"/>
    <x v="0"/>
  </r>
  <r>
    <s v="REG101366"/>
    <x v="217"/>
    <s v="Cust 2153"/>
    <x v="3"/>
    <n v="5159.88"/>
    <n v="20"/>
    <n v="1547.96"/>
    <n v="0.1"/>
    <s v="Cust 2153"/>
    <s v="Xylona Preis"/>
    <x v="4"/>
    <s v="San Diego"/>
    <s v="California"/>
    <x v="0"/>
  </r>
  <r>
    <s v="REG100220"/>
    <x v="218"/>
    <s v="Cust 2153"/>
    <x v="1"/>
    <n v="2661.3"/>
    <n v="10"/>
    <n v="798.39"/>
    <n v="0"/>
    <s v="Cust 2153"/>
    <s v="Xylona Preis"/>
    <x v="4"/>
    <s v="San Diego"/>
    <s v="California"/>
    <x v="1"/>
  </r>
  <r>
    <s v="REG100221"/>
    <x v="219"/>
    <s v="Cust 3572"/>
    <x v="0"/>
    <n v="8431.33"/>
    <n v="18"/>
    <n v="2529.4"/>
    <n v="0.05"/>
    <s v="Cust 3572"/>
    <s v="Erin Mull"/>
    <x v="4"/>
    <s v="New York City"/>
    <s v="New York"/>
    <x v="1"/>
  </r>
  <r>
    <s v="REG100222"/>
    <x v="220"/>
    <s v="Cust 6372"/>
    <x v="5"/>
    <n v="139.91999999999999"/>
    <n v="4"/>
    <n v="41.97"/>
    <n v="0.05"/>
    <s v="Cust 6372"/>
    <s v="Michelle Tran"/>
    <x v="4"/>
    <s v="Los Angeles"/>
    <s v="California"/>
    <x v="1"/>
  </r>
  <r>
    <s v="REG100223"/>
    <x v="203"/>
    <s v="Cust 6109"/>
    <x v="4"/>
    <n v="4217.1899999999996"/>
    <n v="12"/>
    <n v="1265.1600000000001"/>
    <n v="0.15"/>
    <s v="Cust 6109"/>
    <s v="Sue Ann Reed"/>
    <x v="2"/>
    <s v="Chicago"/>
    <s v="Illinois"/>
    <x v="1"/>
  </r>
  <r>
    <s v="REG100281"/>
    <x v="221"/>
    <s v="Cust 5234"/>
    <x v="4"/>
    <n v="1962.4"/>
    <n v="10"/>
    <n v="588.72"/>
    <n v="0.15"/>
    <s v="Cust 5234"/>
    <s v="Carl Weiss"/>
    <x v="2"/>
    <s v="Huntsville"/>
    <s v="Texas"/>
    <x v="0"/>
  </r>
  <r>
    <s v="REG100224"/>
    <x v="121"/>
    <s v="Cust 5234"/>
    <x v="3"/>
    <n v="7630.88"/>
    <n v="19"/>
    <n v="2289.2600000000002"/>
    <n v="0.1"/>
    <s v="Cust 5234"/>
    <s v="Carl Weiss"/>
    <x v="2"/>
    <s v="Huntsville"/>
    <s v="Texas"/>
    <x v="0"/>
  </r>
  <r>
    <s v="REG100499"/>
    <x v="222"/>
    <s v="Cust 5530"/>
    <x v="0"/>
    <n v="517.37"/>
    <n v="2"/>
    <n v="155.21"/>
    <n v="0.1"/>
    <s v="Cust 5530"/>
    <s v="Astrea Jones"/>
    <x v="0"/>
    <s v="Rochester"/>
    <s v="New York"/>
    <x v="0"/>
  </r>
  <r>
    <s v="REG100225"/>
    <x v="223"/>
    <s v="Cust 5530"/>
    <x v="0"/>
    <n v="492.48"/>
    <n v="7"/>
    <n v="147.74"/>
    <n v="0.15"/>
    <s v="Cust 5530"/>
    <s v="Astrea Jones"/>
    <x v="0"/>
    <s v="Rochester"/>
    <s v="New York"/>
    <x v="1"/>
  </r>
  <r>
    <s v="REG100226"/>
    <x v="224"/>
    <s v="Cust 5398"/>
    <x v="2"/>
    <n v="5777.96"/>
    <n v="17"/>
    <n v="1733.39"/>
    <n v="0"/>
    <s v="Cust 5398"/>
    <s v="Sonia Sunley"/>
    <x v="1"/>
    <s v="Seattle"/>
    <s v="Washington"/>
    <x v="1"/>
  </r>
  <r>
    <s v="REG100450"/>
    <x v="30"/>
    <s v="Cust 3247"/>
    <x v="6"/>
    <n v="1588.26"/>
    <n v="5"/>
    <n v="476.48"/>
    <n v="0.05"/>
    <s v="Cust 3247"/>
    <s v="Rose O'Brian"/>
    <x v="1"/>
    <s v="Memphis"/>
    <s v="Tennessee"/>
    <x v="1"/>
  </r>
  <r>
    <s v="REG100227"/>
    <x v="225"/>
    <s v="Cust 3247"/>
    <x v="4"/>
    <n v="5883.77"/>
    <n v="19"/>
    <n v="1765.13"/>
    <n v="0.15"/>
    <s v="Cust 3247"/>
    <s v="Rose O'Brian"/>
    <x v="1"/>
    <s v="Memphis"/>
    <s v="Tennessee"/>
    <x v="0"/>
  </r>
  <r>
    <s v="REG100228"/>
    <x v="226"/>
    <s v="Cust 7137"/>
    <x v="6"/>
    <n v="215.73"/>
    <n v="3"/>
    <n v="64.72"/>
    <n v="0"/>
    <s v="Cust 7137"/>
    <s v="Maribeth Dona"/>
    <x v="0"/>
    <s v="Fayetteville"/>
    <s v="Arkansas"/>
    <x v="0"/>
  </r>
  <r>
    <s v="REG100229"/>
    <x v="227"/>
    <s v="Cust 4627"/>
    <x v="6"/>
    <n v="10949.7"/>
    <n v="20"/>
    <n v="3284.91"/>
    <n v="0.05"/>
    <s v="Cust 4627"/>
    <s v="Sanjit Chand"/>
    <x v="0"/>
    <s v="Costa Mesa"/>
    <s v="California"/>
    <x v="1"/>
  </r>
  <r>
    <s v="REG100230"/>
    <x v="228"/>
    <s v="Cust 4878"/>
    <x v="0"/>
    <n v="844.2"/>
    <n v="7"/>
    <n v="253.26"/>
    <n v="0"/>
    <s v="Cust 4878"/>
    <s v="Maribeth Yedwab"/>
    <x v="4"/>
    <s v="Parker"/>
    <s v="Colorado"/>
    <x v="0"/>
  </r>
  <r>
    <s v="REG100231"/>
    <x v="184"/>
    <s v="Cust 2779"/>
    <x v="4"/>
    <n v="731.04"/>
    <n v="8"/>
    <n v="219.31"/>
    <n v="0.05"/>
    <s v="Cust 2779"/>
    <s v="Ed Braxton"/>
    <x v="4"/>
    <s v="New York City"/>
    <s v="New York"/>
    <x v="1"/>
  </r>
  <r>
    <s v="REG100232"/>
    <x v="229"/>
    <s v="Cust 8606"/>
    <x v="4"/>
    <n v="6266.56"/>
    <n v="14"/>
    <n v="1879.97"/>
    <n v="0.05"/>
    <s v="Cust 8606"/>
    <s v="Christopher Martinez"/>
    <x v="4"/>
    <s v="Atlanta"/>
    <s v="Georgia"/>
    <x v="1"/>
  </r>
  <r>
    <s v="REG100233"/>
    <x v="230"/>
    <s v="Cust 9599"/>
    <x v="1"/>
    <n v="257.94"/>
    <n v="20"/>
    <n v="77.38"/>
    <n v="0.1"/>
    <s v="Cust 9599"/>
    <s v="Lynn Smith"/>
    <x v="1"/>
    <s v="Gladstone"/>
    <s v="Missouri"/>
    <x v="1"/>
  </r>
  <r>
    <s v="REG100234"/>
    <x v="231"/>
    <s v="Cust 4500"/>
    <x v="6"/>
    <n v="7644.03"/>
    <n v="18"/>
    <n v="2293.21"/>
    <n v="0.15"/>
    <s v="Cust 4500"/>
    <s v="Luke Foster"/>
    <x v="3"/>
    <s v="Newark"/>
    <s v="Ohio"/>
    <x v="0"/>
  </r>
  <r>
    <s v="REG100235"/>
    <x v="232"/>
    <s v="Cust 4173"/>
    <x v="5"/>
    <n v="205.76"/>
    <n v="14"/>
    <n v="61.73"/>
    <n v="0.1"/>
    <s v="Cust 4173"/>
    <s v="Bradley Nguyen"/>
    <x v="4"/>
    <s v="Los Angeles"/>
    <s v="California"/>
    <x v="0"/>
  </r>
  <r>
    <s v="REG100236"/>
    <x v="233"/>
    <s v="Cust 7607"/>
    <x v="2"/>
    <n v="6944.96"/>
    <n v="17"/>
    <n v="2083.4899999999998"/>
    <n v="0.15"/>
    <s v="Cust 7607"/>
    <s v="Alan Dominguez"/>
    <x v="3"/>
    <s v="Great Falls"/>
    <s v="Montana"/>
    <x v="0"/>
  </r>
  <r>
    <s v="REG100237"/>
    <x v="234"/>
    <s v="Cust 4768"/>
    <x v="3"/>
    <n v="2640.24"/>
    <n v="5"/>
    <n v="792.07"/>
    <n v="0.05"/>
    <s v="Cust 4768"/>
    <s v="Dean Braden"/>
    <x v="1"/>
    <s v="Houston"/>
    <s v="Texas"/>
    <x v="1"/>
  </r>
  <r>
    <s v="REG100238"/>
    <x v="235"/>
    <s v="Cust 5746"/>
    <x v="3"/>
    <n v="2819.29"/>
    <n v="18"/>
    <n v="845.79"/>
    <n v="0.1"/>
    <s v="Cust 5746"/>
    <s v="Matt Connell"/>
    <x v="2"/>
    <s v="Detroit"/>
    <s v="Michigan"/>
    <x v="1"/>
  </r>
  <r>
    <s v="REG100239"/>
    <x v="236"/>
    <s v="Cust 3002"/>
    <x v="2"/>
    <n v="2831.9"/>
    <n v="11"/>
    <n v="849.57"/>
    <n v="0.1"/>
    <s v="Cust 3002"/>
    <s v="Logan Haushalter"/>
    <x v="3"/>
    <s v="Los Angeles"/>
    <s v="California"/>
    <x v="1"/>
  </r>
  <r>
    <s v="REG100240"/>
    <x v="237"/>
    <s v="Cust 3237"/>
    <x v="2"/>
    <n v="651.67999999999995"/>
    <n v="16"/>
    <n v="195.5"/>
    <n v="0"/>
    <s v="Cust 3237"/>
    <s v="Brian Dahlen"/>
    <x v="2"/>
    <s v="Lawrence"/>
    <s v="Massachusetts"/>
    <x v="1"/>
  </r>
  <r>
    <s v="REG100241"/>
    <x v="238"/>
    <s v="Cust 6437"/>
    <x v="3"/>
    <n v="5150.42"/>
    <n v="11"/>
    <n v="1545.13"/>
    <n v="0"/>
    <s v="Cust 6437"/>
    <s v="Patricia Hirasaki"/>
    <x v="3"/>
    <s v="Lakeland"/>
    <s v="Florida"/>
    <x v="1"/>
  </r>
  <r>
    <s v="REG100242"/>
    <x v="17"/>
    <s v="Cust 8806"/>
    <x v="6"/>
    <n v="370.39"/>
    <n v="1"/>
    <n v="111.12"/>
    <n v="0.1"/>
    <s v="Cust 8806"/>
    <s v="Mike Gockenbach"/>
    <x v="2"/>
    <s v="Philadelphia"/>
    <s v="Pennsylvania"/>
    <x v="1"/>
  </r>
  <r>
    <s v="REG100243"/>
    <x v="239"/>
    <s v="Cust 8678"/>
    <x v="4"/>
    <n v="1657.37"/>
    <n v="13"/>
    <n v="497.21"/>
    <n v="0.05"/>
    <s v="Cust 8678"/>
    <s v="Karen Bern"/>
    <x v="3"/>
    <s v="Los Angeles"/>
    <s v="California"/>
    <x v="0"/>
  </r>
  <r>
    <s v="REG100244"/>
    <x v="240"/>
    <s v="Cust 9649"/>
    <x v="4"/>
    <n v="2985.46"/>
    <n v="10"/>
    <n v="895.64"/>
    <n v="0.15"/>
    <s v="Cust 9649"/>
    <s v="Jasper Cacioppo"/>
    <x v="4"/>
    <s v="Los Angeles"/>
    <s v="California"/>
    <x v="0"/>
  </r>
  <r>
    <s v="REG100245"/>
    <x v="241"/>
    <s v="Cust 1960"/>
    <x v="5"/>
    <n v="6944.36"/>
    <n v="14"/>
    <n v="2083.31"/>
    <n v="0.1"/>
    <s v="Cust 1960"/>
    <s v="Rob Lucas"/>
    <x v="1"/>
    <s v="Montgomery"/>
    <s v="Alabama"/>
    <x v="0"/>
  </r>
  <r>
    <s v="REG100246"/>
    <x v="52"/>
    <s v="Cust 3910"/>
    <x v="3"/>
    <n v="236.03"/>
    <n v="2"/>
    <n v="70.81"/>
    <n v="0.1"/>
    <s v="Cust 3910"/>
    <s v="Allen Armold"/>
    <x v="4"/>
    <s v="Mesa"/>
    <s v="Arizona"/>
    <x v="0"/>
  </r>
  <r>
    <s v="REG100247"/>
    <x v="61"/>
    <s v="Cust 4944"/>
    <x v="0"/>
    <n v="3570.66"/>
    <n v="6"/>
    <n v="1071.2"/>
    <n v="0"/>
    <s v="Cust 4944"/>
    <s v="Emily Phan"/>
    <x v="0"/>
    <s v="Chicago"/>
    <s v="Illinois"/>
    <x v="0"/>
  </r>
  <r>
    <s v="REG100053"/>
    <x v="62"/>
    <s v="Cust 4944"/>
    <x v="5"/>
    <n v="705.47"/>
    <n v="2"/>
    <n v="211.64"/>
    <n v="0.05"/>
    <s v="Cust 4944"/>
    <s v="Emily Phan"/>
    <x v="0"/>
    <s v="Chicago"/>
    <s v="Illinois"/>
    <x v="0"/>
  </r>
  <r>
    <s v="REG100248"/>
    <x v="153"/>
    <s v="Cust 9618"/>
    <x v="0"/>
    <n v="2944.96"/>
    <n v="6"/>
    <n v="883.49"/>
    <n v="0.05"/>
    <s v="Cust 9618"/>
    <s v="Mark Packer"/>
    <x v="0"/>
    <s v="New York City"/>
    <s v="New York"/>
    <x v="1"/>
  </r>
  <r>
    <s v="REG100144"/>
    <x v="154"/>
    <s v="Cust 9618"/>
    <x v="6"/>
    <n v="654.64"/>
    <n v="4"/>
    <n v="196.39"/>
    <n v="0"/>
    <s v="Cust 9618"/>
    <s v="Mark Packer"/>
    <x v="0"/>
    <s v="New York City"/>
    <s v="New York"/>
    <x v="1"/>
  </r>
  <r>
    <s v="REG100249"/>
    <x v="7"/>
    <s v="Cust 2279"/>
    <x v="2"/>
    <n v="1154.6500000000001"/>
    <n v="6"/>
    <n v="346.39"/>
    <n v="0.05"/>
    <s v="Cust 2279"/>
    <s v="Darren Koutras"/>
    <x v="2"/>
    <s v="Henderson"/>
    <s v="Kentucky"/>
    <x v="1"/>
  </r>
  <r>
    <s v="REG100250"/>
    <x v="242"/>
    <s v="Cust 4689"/>
    <x v="0"/>
    <n v="3383.07"/>
    <n v="13"/>
    <n v="1014.92"/>
    <n v="0.15"/>
    <s v="Cust 4689"/>
    <s v="Bradley Drucker"/>
    <x v="1"/>
    <s v="Green Bay"/>
    <s v="Wisconsin"/>
    <x v="2"/>
  </r>
  <r>
    <s v="REG100251"/>
    <x v="243"/>
    <s v="Cust 7381"/>
    <x v="2"/>
    <n v="4420.12"/>
    <n v="11"/>
    <n v="1326.04"/>
    <n v="0.15"/>
    <s v="Cust 7381"/>
    <s v="Erin Smith"/>
    <x v="0"/>
    <s v="Tucson"/>
    <s v="Arizona"/>
    <x v="2"/>
  </r>
  <r>
    <s v="REG100252"/>
    <x v="244"/>
    <s v="Cust 2724"/>
    <x v="1"/>
    <n v="6072.66"/>
    <n v="20"/>
    <n v="1821.8"/>
    <n v="0.1"/>
    <s v="Cust 2724"/>
    <s v="Liz MacKendrick"/>
    <x v="0"/>
    <s v="Springfield"/>
    <s v="Ohio"/>
    <x v="2"/>
  </r>
  <r>
    <s v="REG100253"/>
    <x v="245"/>
    <s v="Cust 2823"/>
    <x v="1"/>
    <n v="369.79"/>
    <n v="12"/>
    <n v="110.94"/>
    <n v="0.1"/>
    <s v="Cust 2823"/>
    <s v="Paul Gonzalez"/>
    <x v="1"/>
    <s v="Fort Worth"/>
    <s v="Texas"/>
    <x v="2"/>
  </r>
  <r>
    <s v="REG101287"/>
    <x v="246"/>
    <s v="Cust 9402"/>
    <x v="3"/>
    <n v="8069.76"/>
    <n v="16"/>
    <n v="2420.9299999999998"/>
    <n v="0"/>
    <s v="Cust 9402"/>
    <s v="Adrian Shami"/>
    <x v="0"/>
    <s v="New York City"/>
    <s v="New York"/>
    <x v="1"/>
  </r>
  <r>
    <s v="REG100254"/>
    <x v="247"/>
    <s v="Cust 9402"/>
    <x v="6"/>
    <n v="1908.2"/>
    <n v="4"/>
    <n v="572.46"/>
    <n v="0"/>
    <s v="Cust 9402"/>
    <s v="Adrian Shami"/>
    <x v="0"/>
    <s v="New York City"/>
    <s v="New York"/>
    <x v="1"/>
  </r>
  <r>
    <s v="REG100255"/>
    <x v="248"/>
    <s v="Cust 6561"/>
    <x v="0"/>
    <n v="3377.58"/>
    <n v="6"/>
    <n v="1013.27"/>
    <n v="0"/>
    <s v="Cust 6561"/>
    <s v="Dean Katz"/>
    <x v="0"/>
    <s v="Chicago"/>
    <s v="Illinois"/>
    <x v="1"/>
  </r>
  <r>
    <s v="REG100256"/>
    <x v="249"/>
    <s v="Cust 3116"/>
    <x v="3"/>
    <n v="365.8"/>
    <n v="20"/>
    <n v="109.74"/>
    <n v="0"/>
    <s v="Cust 3116"/>
    <s v="Bill Donatelli"/>
    <x v="0"/>
    <s v="San Francisco"/>
    <s v="California"/>
    <x v="1"/>
  </r>
  <r>
    <s v="REG100257"/>
    <x v="250"/>
    <s v="Cust 1015"/>
    <x v="5"/>
    <n v="1462.02"/>
    <n v="7"/>
    <n v="438.61"/>
    <n v="0"/>
    <s v="Cust 1015"/>
    <s v="Ryan Crowe"/>
    <x v="1"/>
    <s v="Jacksonville"/>
    <s v="Florida"/>
    <x v="1"/>
  </r>
  <r>
    <s v="REG100258"/>
    <x v="251"/>
    <s v="Cust 1207"/>
    <x v="4"/>
    <n v="3766.1"/>
    <n v="12"/>
    <n v="1129.83"/>
    <n v="0.05"/>
    <s v="Cust 1207"/>
    <s v="Greg Tran"/>
    <x v="1"/>
    <s v="Houston"/>
    <s v="Texas"/>
    <x v="1"/>
  </r>
  <r>
    <s v="REG100259"/>
    <x v="252"/>
    <s v="Cust 2501"/>
    <x v="6"/>
    <n v="299.05"/>
    <n v="7"/>
    <n v="89.71"/>
    <n v="0.15"/>
    <s v="Cust 2501"/>
    <s v="Dean Katz"/>
    <x v="1"/>
    <s v="Anaheim"/>
    <s v="California"/>
    <x v="1"/>
  </r>
  <r>
    <s v="REG100260"/>
    <x v="253"/>
    <s v="Cust 2330"/>
    <x v="0"/>
    <n v="636.79999999999995"/>
    <n v="2"/>
    <n v="191.04"/>
    <n v="0.15"/>
    <s v="Cust 2330"/>
    <s v="Ashley Jarboe"/>
    <x v="1"/>
    <s v="Wilmington"/>
    <s v="North Carolina"/>
    <x v="1"/>
  </r>
  <r>
    <s v="REG100261"/>
    <x v="254"/>
    <s v="Cust 7436"/>
    <x v="4"/>
    <n v="2945.88"/>
    <n v="7"/>
    <n v="883.76"/>
    <n v="0.1"/>
    <s v="Cust 7436"/>
    <s v="Olvera Toch"/>
    <x v="2"/>
    <s v="Los Angeles"/>
    <s v="California"/>
    <x v="1"/>
  </r>
  <r>
    <s v="REG100262"/>
    <x v="255"/>
    <s v="Cust 2762"/>
    <x v="3"/>
    <n v="1072.28"/>
    <n v="3"/>
    <n v="321.69"/>
    <n v="0.05"/>
    <s v="Cust 2762"/>
    <s v="Liz Pelletier"/>
    <x v="0"/>
    <s v="San Francisco"/>
    <s v="California"/>
    <x v="1"/>
  </r>
  <r>
    <s v="REG100263"/>
    <x v="256"/>
    <s v="Cust 3599"/>
    <x v="1"/>
    <n v="1826.37"/>
    <n v="13"/>
    <n v="547.91"/>
    <n v="0"/>
    <s v="Cust 3599"/>
    <s v="Cynthia Arntzen"/>
    <x v="4"/>
    <s v="Tampa"/>
    <s v="Florida"/>
    <x v="0"/>
  </r>
  <r>
    <s v="REG100264"/>
    <x v="257"/>
    <s v="Cust 4127"/>
    <x v="5"/>
    <n v="1291.1400000000001"/>
    <n v="3"/>
    <n v="387.34"/>
    <n v="0.15"/>
    <s v="Cust 4127"/>
    <s v="Jeremy Farry"/>
    <x v="2"/>
    <s v="Seattle"/>
    <s v="Washington"/>
    <x v="1"/>
  </r>
  <r>
    <s v="REG101090"/>
    <x v="258"/>
    <s v="Cust 6855"/>
    <x v="4"/>
    <n v="4430.17"/>
    <n v="12"/>
    <n v="1329.05"/>
    <n v="0.15"/>
    <s v="Cust 6855"/>
    <s v="Frank Preis"/>
    <x v="1"/>
    <s v="Los Angeles"/>
    <s v="California"/>
    <x v="1"/>
  </r>
  <r>
    <s v="REG100340"/>
    <x v="259"/>
    <s v="Cust 6855"/>
    <x v="4"/>
    <n v="1677.28"/>
    <n v="16"/>
    <n v="503.18"/>
    <n v="0"/>
    <s v="Cust 6855"/>
    <s v="Frank Preis"/>
    <x v="1"/>
    <s v="Los Angeles"/>
    <s v="California"/>
    <x v="2"/>
  </r>
  <r>
    <s v="REG100265"/>
    <x v="260"/>
    <s v="Cust 6855"/>
    <x v="5"/>
    <n v="1054.3499999999999"/>
    <n v="8"/>
    <n v="316.3"/>
    <n v="0.05"/>
    <s v="Cust 6855"/>
    <s v="Frank Preis"/>
    <x v="1"/>
    <s v="Los Angeles"/>
    <s v="California"/>
    <x v="2"/>
  </r>
  <r>
    <s v="REG100266"/>
    <x v="261"/>
    <s v="Cust 7017"/>
    <x v="2"/>
    <n v="686.1"/>
    <n v="6"/>
    <n v="205.83"/>
    <n v="0.15"/>
    <s v="Cust 7017"/>
    <s v="Ellis Ballard"/>
    <x v="4"/>
    <s v="Seattle"/>
    <s v="Washington"/>
    <x v="0"/>
  </r>
  <r>
    <s v="REG100267"/>
    <x v="11"/>
    <s v="Cust 6957"/>
    <x v="6"/>
    <n v="6428.92"/>
    <n v="18"/>
    <n v="1928.67"/>
    <n v="0.05"/>
    <s v="Cust 6957"/>
    <s v="Jennifer Ferguson"/>
    <x v="1"/>
    <s v="New York City"/>
    <s v="New York"/>
    <x v="1"/>
  </r>
  <r>
    <s v="REG100268"/>
    <x v="262"/>
    <s v="Cust 9822"/>
    <x v="4"/>
    <n v="4846.2299999999996"/>
    <n v="10"/>
    <n v="1453.87"/>
    <n v="0.1"/>
    <s v="Cust 9822"/>
    <s v="Sarah Foster"/>
    <x v="2"/>
    <s v="Marysville"/>
    <s v="Washington"/>
    <x v="1"/>
  </r>
  <r>
    <s v="REG100269"/>
    <x v="67"/>
    <s v="Cust 7425"/>
    <x v="6"/>
    <n v="6823.44"/>
    <n v="15"/>
    <n v="2047.03"/>
    <n v="0.1"/>
    <s v="Cust 7425"/>
    <s v="Trudy Glocke"/>
    <x v="2"/>
    <s v="Long Beach"/>
    <s v="California"/>
    <x v="1"/>
  </r>
  <r>
    <s v="REG100270"/>
    <x v="43"/>
    <s v="Cust 6468"/>
    <x v="4"/>
    <n v="1061.1099999999999"/>
    <n v="4"/>
    <n v="318.33"/>
    <n v="0.15"/>
    <s v="Cust 6468"/>
    <s v="Carlos Soltero"/>
    <x v="1"/>
    <s v="Chicago"/>
    <s v="Illinois"/>
    <x v="1"/>
  </r>
  <r>
    <s v="REG100039"/>
    <x v="44"/>
    <s v="Cust 6468"/>
    <x v="0"/>
    <n v="855.58"/>
    <n v="2"/>
    <n v="256.67"/>
    <n v="0.15"/>
    <s v="Cust 6468"/>
    <s v="Carlos Soltero"/>
    <x v="1"/>
    <s v="Chicago"/>
    <s v="Illinois"/>
    <x v="1"/>
  </r>
  <r>
    <s v="REG100271"/>
    <x v="170"/>
    <s v="Cust 8897"/>
    <x v="2"/>
    <n v="7389.65"/>
    <n v="15"/>
    <n v="2216.89"/>
    <n v="0.15"/>
    <s v="Cust 8897"/>
    <s v="Charles Crestani"/>
    <x v="4"/>
    <s v="Los Angeles"/>
    <s v="California"/>
    <x v="1"/>
  </r>
  <r>
    <s v="REG100272"/>
    <x v="263"/>
    <s v="Cust 9816"/>
    <x v="3"/>
    <n v="1848.16"/>
    <n v="10"/>
    <n v="554.45000000000005"/>
    <n v="0.15"/>
    <s v="Cust 9816"/>
    <s v="Dianna Vittorini"/>
    <x v="2"/>
    <s v="Denver"/>
    <s v="Colorado"/>
    <x v="1"/>
  </r>
  <r>
    <s v="REG100273"/>
    <x v="264"/>
    <s v="Cust 8227"/>
    <x v="1"/>
    <n v="6785.14"/>
    <n v="15"/>
    <n v="2035.54"/>
    <n v="0.05"/>
    <s v="Cust 8227"/>
    <s v="Bruce Degenhardt"/>
    <x v="4"/>
    <s v="Richmond"/>
    <s v="Kentucky"/>
    <x v="1"/>
  </r>
  <r>
    <s v="REG101019"/>
    <x v="263"/>
    <s v="Cust 4990"/>
    <x v="1"/>
    <n v="2347.87"/>
    <n v="7"/>
    <n v="704.36"/>
    <n v="0"/>
    <s v="Cust 4990"/>
    <s v="Zuschuss Carroll"/>
    <x v="0"/>
    <s v="Salem"/>
    <s v="Oregon"/>
    <x v="2"/>
  </r>
  <r>
    <s v="REG100274"/>
    <x v="65"/>
    <s v="Cust 4990"/>
    <x v="3"/>
    <n v="400.64"/>
    <n v="5"/>
    <n v="120.19"/>
    <n v="0.1"/>
    <s v="Cust 4990"/>
    <s v="Zuschuss Carroll"/>
    <x v="0"/>
    <s v="Salem"/>
    <s v="Oregon"/>
    <x v="2"/>
  </r>
  <r>
    <s v="REG100275"/>
    <x v="265"/>
    <s v="Cust 5834"/>
    <x v="1"/>
    <n v="105.26"/>
    <n v="17"/>
    <n v="31.58"/>
    <n v="0.1"/>
    <s v="Cust 5834"/>
    <s v="Melanie Seite"/>
    <x v="3"/>
    <s v="Laredo"/>
    <s v="Texas"/>
    <x v="2"/>
  </r>
  <r>
    <s v="REG100276"/>
    <x v="266"/>
    <s v="Cust 7330"/>
    <x v="4"/>
    <n v="1918.4"/>
    <n v="6"/>
    <n v="575.52"/>
    <n v="0.1"/>
    <s v="Cust 7330"/>
    <s v="Lena Radford"/>
    <x v="2"/>
    <s v="San Diego"/>
    <s v="California"/>
    <x v="2"/>
  </r>
  <r>
    <s v="REG100277"/>
    <x v="13"/>
    <s v="Cust 5273"/>
    <x v="6"/>
    <n v="2122.27"/>
    <n v="8"/>
    <n v="636.67999999999995"/>
    <n v="0.1"/>
    <s v="Cust 5273"/>
    <s v="Theone Pippenger"/>
    <x v="4"/>
    <s v="Philadelphia"/>
    <s v="Pennsylvania"/>
    <x v="2"/>
  </r>
  <r>
    <s v="REG100882"/>
    <x v="267"/>
    <s v="Cust 6138"/>
    <x v="5"/>
    <n v="4938.66"/>
    <n v="20"/>
    <n v="1481.6"/>
    <n v="0.1"/>
    <s v="Cust 6138"/>
    <s v="Chloris Kastensmidt"/>
    <x v="2"/>
    <s v="Philadelphia"/>
    <s v="Pennsylvania"/>
    <x v="1"/>
  </r>
  <r>
    <s v="REG100278"/>
    <x v="268"/>
    <s v="Cust 6138"/>
    <x v="2"/>
    <n v="971.04"/>
    <n v="16"/>
    <n v="291.31"/>
    <n v="0"/>
    <s v="Cust 6138"/>
    <s v="Chloris Kastensmidt"/>
    <x v="2"/>
    <s v="Philadelphia"/>
    <s v="Pennsylvania"/>
    <x v="1"/>
  </r>
  <r>
    <s v="REG100279"/>
    <x v="269"/>
    <s v="Cust 2084"/>
    <x v="0"/>
    <n v="1007.33"/>
    <n v="2"/>
    <n v="302.2"/>
    <n v="0.1"/>
    <s v="Cust 2084"/>
    <s v="Alan Shonely"/>
    <x v="4"/>
    <s v="Tampa"/>
    <s v="Florida"/>
    <x v="1"/>
  </r>
  <r>
    <s v="REG100280"/>
    <x v="270"/>
    <s v="Cust 2799"/>
    <x v="1"/>
    <n v="837.58"/>
    <n v="4"/>
    <n v="251.27"/>
    <n v="0.1"/>
    <s v="Cust 2799"/>
    <s v="Andrew Roberts"/>
    <x v="0"/>
    <s v="Philadelphia"/>
    <s v="Pennsylvania"/>
    <x v="1"/>
  </r>
  <r>
    <s v="REG100281"/>
    <x v="221"/>
    <s v="Cust 5234"/>
    <x v="4"/>
    <n v="1962.4"/>
    <n v="10"/>
    <n v="588.72"/>
    <n v="0.15"/>
    <s v="Cust 5234"/>
    <s v="Nona Balk"/>
    <x v="2"/>
    <s v="Dallas"/>
    <s v="Texas"/>
    <x v="0"/>
  </r>
  <r>
    <s v="REG100224"/>
    <x v="121"/>
    <s v="Cust 5234"/>
    <x v="3"/>
    <n v="7630.88"/>
    <n v="19"/>
    <n v="2289.2600000000002"/>
    <n v="0.1"/>
    <s v="Cust 5234"/>
    <s v="Nona Balk"/>
    <x v="2"/>
    <s v="Dallas"/>
    <s v="Texas"/>
    <x v="0"/>
  </r>
  <r>
    <s v="REG100282"/>
    <x v="271"/>
    <s v="Cust 3051"/>
    <x v="6"/>
    <n v="2105.71"/>
    <n v="7"/>
    <n v="631.71"/>
    <n v="0.15"/>
    <s v="Cust 3051"/>
    <s v="Giulietta Dortch"/>
    <x v="4"/>
    <s v="Philadelphia"/>
    <s v="Pennsylvania"/>
    <x v="0"/>
  </r>
  <r>
    <s v="REG100283"/>
    <x v="272"/>
    <s v="Cust 5456"/>
    <x v="6"/>
    <n v="6732.84"/>
    <n v="12"/>
    <n v="2019.85"/>
    <n v="0"/>
    <s v="Cust 5456"/>
    <s v="Clytie Kelty"/>
    <x v="3"/>
    <s v="Grove City"/>
    <s v="Ohio"/>
    <x v="0"/>
  </r>
  <r>
    <s v="REG100284"/>
    <x v="273"/>
    <s v="Cust 6029"/>
    <x v="3"/>
    <n v="3337.34"/>
    <n v="15"/>
    <n v="1001.2"/>
    <n v="0.1"/>
    <s v="Cust 6029"/>
    <s v="Nat Gilpin"/>
    <x v="2"/>
    <s v="New York City"/>
    <s v="New York"/>
    <x v="0"/>
  </r>
  <r>
    <s v="REG100978"/>
    <x v="114"/>
    <s v="Cust 4002"/>
    <x v="5"/>
    <n v="3119.72"/>
    <n v="9"/>
    <n v="935.92"/>
    <n v="0.05"/>
    <s v="Cust 4002"/>
    <s v="Christina Anderson"/>
    <x v="0"/>
    <s v="Chicago"/>
    <s v="Illinois"/>
    <x v="0"/>
  </r>
  <r>
    <s v="REG100285"/>
    <x v="212"/>
    <s v="Cust 4002"/>
    <x v="1"/>
    <n v="4637.8599999999997"/>
    <n v="19"/>
    <n v="1391.36"/>
    <n v="0.1"/>
    <s v="Cust 4002"/>
    <s v="Christina Anderson"/>
    <x v="0"/>
    <s v="Chicago"/>
    <s v="Illinois"/>
    <x v="0"/>
  </r>
  <r>
    <s v="REG100286"/>
    <x v="213"/>
    <s v="Cust 5830"/>
    <x v="0"/>
    <n v="3195.24"/>
    <n v="6"/>
    <n v="958.57"/>
    <n v="0"/>
    <s v="Cust 5830"/>
    <s v="Sylvia Foulston"/>
    <x v="4"/>
    <s v="Dearborn"/>
    <s v="Michigan"/>
    <x v="0"/>
  </r>
  <r>
    <s v="REG100680"/>
    <x v="274"/>
    <s v="Cust 8088"/>
    <x v="6"/>
    <n v="1396.61"/>
    <n v="12"/>
    <n v="418.98"/>
    <n v="0.05"/>
    <s v="Cust 8088"/>
    <s v="Meg O'Connel"/>
    <x v="4"/>
    <s v="New York City"/>
    <s v="New York"/>
    <x v="0"/>
  </r>
  <r>
    <s v="REG100287"/>
    <x v="269"/>
    <s v="Cust 8088"/>
    <x v="4"/>
    <n v="4481.74"/>
    <n v="16"/>
    <n v="1344.52"/>
    <n v="0.15"/>
    <s v="Cust 8088"/>
    <s v="Meg O'Connel"/>
    <x v="4"/>
    <s v="New York City"/>
    <s v="New York"/>
    <x v="0"/>
  </r>
  <r>
    <s v="REG100288"/>
    <x v="275"/>
    <s v="Cust 6455"/>
    <x v="1"/>
    <n v="1020.6"/>
    <n v="6"/>
    <n v="306.18"/>
    <n v="0"/>
    <s v="Cust 6455"/>
    <s v="Annie Thurman"/>
    <x v="1"/>
    <s v="Seattle"/>
    <s v="Washington"/>
    <x v="0"/>
  </r>
  <r>
    <s v="REG100289"/>
    <x v="276"/>
    <s v="Cust 4117"/>
    <x v="0"/>
    <n v="3437.2"/>
    <n v="19"/>
    <n v="1031.1600000000001"/>
    <n v="0.15"/>
    <s v="Cust 4117"/>
    <s v="Logan Currie"/>
    <x v="4"/>
    <s v="San Francisco"/>
    <s v="California"/>
    <x v="1"/>
  </r>
  <r>
    <s v="REG100515"/>
    <x v="78"/>
    <s v="Cust 1385"/>
    <x v="5"/>
    <n v="982.4"/>
    <n v="10"/>
    <n v="294.72000000000003"/>
    <n v="0"/>
    <s v="Cust 1385"/>
    <s v="Fred McMath"/>
    <x v="1"/>
    <s v="Aurora"/>
    <s v="Colorado"/>
    <x v="1"/>
  </r>
  <r>
    <s v="REG100290"/>
    <x v="277"/>
    <s v="Cust 1385"/>
    <x v="0"/>
    <n v="2894.6"/>
    <n v="5"/>
    <n v="868.38"/>
    <n v="0"/>
    <s v="Cust 1385"/>
    <s v="Fred McMath"/>
    <x v="1"/>
    <s v="Aurora"/>
    <s v="Colorado"/>
    <x v="0"/>
  </r>
  <r>
    <s v="REG100291"/>
    <x v="278"/>
    <s v="Cust 5185"/>
    <x v="1"/>
    <n v="1233.68"/>
    <n v="3"/>
    <n v="370.11"/>
    <n v="0.1"/>
    <s v="Cust 5185"/>
    <s v="Brian Dahlen"/>
    <x v="2"/>
    <s v="Miami"/>
    <s v="Florida"/>
    <x v="1"/>
  </r>
  <r>
    <s v="REG100292"/>
    <x v="7"/>
    <s v="Cust 8704"/>
    <x v="6"/>
    <n v="6258.36"/>
    <n v="12"/>
    <n v="1877.51"/>
    <n v="0"/>
    <s v="Cust 8704"/>
    <s v="Denny Joy"/>
    <x v="0"/>
    <s v="Warner Robins"/>
    <s v="Georgia"/>
    <x v="1"/>
  </r>
  <r>
    <s v="REG100293"/>
    <x v="274"/>
    <s v="Cust 3528"/>
    <x v="2"/>
    <n v="7561.27"/>
    <n v="17"/>
    <n v="2268.38"/>
    <n v="0.05"/>
    <s v="Cust 3528"/>
    <s v="Max Engle"/>
    <x v="2"/>
    <s v="Aurora"/>
    <s v="Colorado"/>
    <x v="1"/>
  </r>
  <r>
    <s v="REG100294"/>
    <x v="279"/>
    <s v="Cust 3907"/>
    <x v="5"/>
    <n v="67.400000000000006"/>
    <n v="9"/>
    <n v="20.22"/>
    <n v="0.15"/>
    <s v="Cust 3907"/>
    <s v="Rick Bensley"/>
    <x v="3"/>
    <s v="Vallejo"/>
    <s v="California"/>
    <x v="1"/>
  </r>
  <r>
    <s v="REG100295"/>
    <x v="280"/>
    <s v="Cust 9005"/>
    <x v="3"/>
    <n v="2657.61"/>
    <n v="6"/>
    <n v="797.28"/>
    <n v="0.15"/>
    <s v="Cust 9005"/>
    <s v="Justin Deggeller"/>
    <x v="1"/>
    <s v="Minneapolis"/>
    <s v="Minnesota"/>
    <x v="0"/>
  </r>
  <r>
    <s v="REG100296"/>
    <x v="281"/>
    <s v="Cust 3635"/>
    <x v="5"/>
    <n v="2609.19"/>
    <n v="10"/>
    <n v="782.76"/>
    <n v="0.1"/>
    <s v="Cust 3635"/>
    <s v="John Lee"/>
    <x v="4"/>
    <s v="Mission Viejo"/>
    <s v="California"/>
    <x v="0"/>
  </r>
  <r>
    <s v="REG100297"/>
    <x v="282"/>
    <s v="Cust 2122"/>
    <x v="4"/>
    <n v="405.47"/>
    <n v="3"/>
    <n v="121.64"/>
    <n v="0.05"/>
    <s v="Cust 2122"/>
    <s v="Sean Christensen"/>
    <x v="0"/>
    <s v="Rochester Hills"/>
    <s v="Michigan"/>
    <x v="0"/>
  </r>
  <r>
    <s v="REG100298"/>
    <x v="22"/>
    <s v="Cust 4467"/>
    <x v="4"/>
    <n v="5045.78"/>
    <n v="15"/>
    <n v="1513.73"/>
    <n v="0.05"/>
    <s v="Cust 4467"/>
    <s v="Tamara Willingham"/>
    <x v="3"/>
    <s v="Plainfield"/>
    <s v="New Jersey"/>
    <x v="0"/>
  </r>
  <r>
    <s v="REG100299"/>
    <x v="283"/>
    <s v="Cust 6146"/>
    <x v="6"/>
    <n v="7171.4"/>
    <n v="20"/>
    <n v="2151.42"/>
    <n v="0"/>
    <s v="Cust 6146"/>
    <s v="Chuck Clark"/>
    <x v="1"/>
    <s v="Columbus"/>
    <s v="Indiana"/>
    <x v="0"/>
  </r>
  <r>
    <s v="REG100300"/>
    <x v="284"/>
    <s v="Cust 4001"/>
    <x v="6"/>
    <n v="504.34"/>
    <n v="16"/>
    <n v="151.30000000000001"/>
    <n v="0.05"/>
    <s v="Cust 4001"/>
    <s v="Barry Blumstein"/>
    <x v="4"/>
    <s v="Sierra Vista"/>
    <s v="Arizona"/>
    <x v="2"/>
  </r>
  <r>
    <s v="REG100301"/>
    <x v="82"/>
    <s v="Cust 3365"/>
    <x v="5"/>
    <n v="248.8"/>
    <n v="2"/>
    <n v="74.64"/>
    <n v="0"/>
    <s v="Cust 3365"/>
    <s v="Anthony Rawles"/>
    <x v="4"/>
    <s v="Vancouver"/>
    <s v="Washington"/>
    <x v="2"/>
  </r>
  <r>
    <s v="REG100302"/>
    <x v="285"/>
    <s v="Cust 2194"/>
    <x v="1"/>
    <n v="191.81"/>
    <n v="12"/>
    <n v="57.54"/>
    <n v="0.1"/>
    <s v="Cust 2194"/>
    <s v="Steven Roelle"/>
    <x v="4"/>
    <s v="New York City"/>
    <s v="New York"/>
    <x v="2"/>
  </r>
  <r>
    <s v="REG100702"/>
    <x v="286"/>
    <s v="Cust 7942"/>
    <x v="5"/>
    <n v="5716.75"/>
    <n v="13"/>
    <n v="1715.03"/>
    <n v="0"/>
    <s v="Cust 7942"/>
    <s v="Allen Rosenblatt"/>
    <x v="2"/>
    <s v="New York City"/>
    <s v="New York"/>
    <x v="2"/>
  </r>
  <r>
    <s v="REG100303"/>
    <x v="287"/>
    <s v="Cust 7942"/>
    <x v="3"/>
    <n v="4699.21"/>
    <n v="16"/>
    <n v="1409.76"/>
    <n v="0.15"/>
    <s v="Cust 7942"/>
    <s v="Allen Rosenblatt"/>
    <x v="2"/>
    <s v="New York City"/>
    <s v="New York"/>
    <x v="2"/>
  </r>
  <r>
    <s v="REG100304"/>
    <x v="128"/>
    <s v="Cust 8451"/>
    <x v="0"/>
    <n v="5600.48"/>
    <n v="13"/>
    <n v="1680.14"/>
    <n v="0.05"/>
    <s v="Cust 8451"/>
    <s v="Craig Reiter"/>
    <x v="4"/>
    <s v="Columbus"/>
    <s v="Ohio"/>
    <x v="0"/>
  </r>
  <r>
    <s v="REG100305"/>
    <x v="288"/>
    <s v="Cust 4238"/>
    <x v="0"/>
    <n v="2360.79"/>
    <n v="10"/>
    <n v="708.24"/>
    <n v="0.15"/>
    <s v="Cust 4238"/>
    <s v="Eugene Hildebrand"/>
    <x v="1"/>
    <s v="Aurora"/>
    <s v="Illinois"/>
    <x v="0"/>
  </r>
  <r>
    <s v="REG100306"/>
    <x v="289"/>
    <s v="Cust 2529"/>
    <x v="3"/>
    <n v="1436.16"/>
    <n v="16"/>
    <n v="430.85"/>
    <n v="0"/>
    <s v="Cust 2529"/>
    <s v="Cassandra Brandow"/>
    <x v="3"/>
    <s v="Arlington"/>
    <s v="Texas"/>
    <x v="0"/>
  </r>
  <r>
    <s v="REG100307"/>
    <x v="290"/>
    <s v="Cust 7057"/>
    <x v="3"/>
    <n v="5889.07"/>
    <n v="11"/>
    <n v="1766.72"/>
    <n v="0"/>
    <s v="Cust 7057"/>
    <s v="Sibella Parks"/>
    <x v="3"/>
    <s v="New York City"/>
    <s v="New York"/>
    <x v="0"/>
  </r>
  <r>
    <s v="REG100465"/>
    <x v="15"/>
    <s v="Cust 9069"/>
    <x v="4"/>
    <n v="4610.3999999999996"/>
    <n v="12"/>
    <n v="1383.12"/>
    <n v="0"/>
    <s v="Cust 9069"/>
    <s v="Roy Collins"/>
    <x v="1"/>
    <s v="Louisville"/>
    <s v="Kentucky"/>
    <x v="1"/>
  </r>
  <r>
    <s v="REG100308"/>
    <x v="7"/>
    <s v="Cust 9069"/>
    <x v="6"/>
    <n v="126.2"/>
    <n v="9"/>
    <n v="37.86"/>
    <n v="0.1"/>
    <s v="Cust 9069"/>
    <s v="Roy Collins"/>
    <x v="1"/>
    <s v="Louisville"/>
    <s v="Kentucky"/>
    <x v="1"/>
  </r>
  <r>
    <s v="REG100309"/>
    <x v="24"/>
    <s v="Cust 5858"/>
    <x v="2"/>
    <n v="6065.02"/>
    <n v="13"/>
    <n v="1819.51"/>
    <n v="0"/>
    <s v="Cust 5858"/>
    <s v="Tiffany House"/>
    <x v="2"/>
    <s v="Dallas"/>
    <s v="Texas"/>
    <x v="1"/>
  </r>
  <r>
    <s v="REG100310"/>
    <x v="69"/>
    <s v="Cust 2712"/>
    <x v="5"/>
    <n v="8539.2000000000007"/>
    <n v="16"/>
    <n v="2561.7600000000002"/>
    <n v="0.1"/>
    <s v="Cust 2712"/>
    <s v="Resi PÃƒÂ¶lking"/>
    <x v="2"/>
    <s v="Cleveland"/>
    <s v="Ohio"/>
    <x v="0"/>
  </r>
  <r>
    <s v="REG100311"/>
    <x v="291"/>
    <s v="Cust 7052"/>
    <x v="2"/>
    <n v="3233.95"/>
    <n v="6"/>
    <n v="970.19"/>
    <n v="0.05"/>
    <s v="Cust 7052"/>
    <s v="Meg O'Connel"/>
    <x v="1"/>
    <s v="Chicago"/>
    <s v="Illinois"/>
    <x v="0"/>
  </r>
  <r>
    <s v="REG100821"/>
    <x v="292"/>
    <s v="Cust 9397"/>
    <x v="4"/>
    <n v="5395.89"/>
    <n v="11"/>
    <n v="1618.77"/>
    <n v="0.15"/>
    <s v="Cust 9397"/>
    <s v="Tamara Dahlen"/>
    <x v="1"/>
    <s v="Quincy"/>
    <s v="Illinois"/>
    <x v="0"/>
  </r>
  <r>
    <s v="REG100312"/>
    <x v="293"/>
    <s v="Cust 9397"/>
    <x v="1"/>
    <n v="8447.1"/>
    <n v="17"/>
    <n v="2534.13"/>
    <n v="0.05"/>
    <s v="Cust 9397"/>
    <s v="Tamara Dahlen"/>
    <x v="1"/>
    <s v="Quincy"/>
    <s v="Illinois"/>
    <x v="0"/>
  </r>
  <r>
    <s v="REG100313"/>
    <x v="294"/>
    <s v="Cust 4614"/>
    <x v="0"/>
    <n v="6398.8"/>
    <n v="17"/>
    <n v="1919.64"/>
    <n v="0"/>
    <s v="Cust 4614"/>
    <s v="Rob Beeghly"/>
    <x v="2"/>
    <s v="Columbus"/>
    <s v="Indiana"/>
    <x v="0"/>
  </r>
  <r>
    <s v="REG100314"/>
    <x v="208"/>
    <s v="Cust 1573"/>
    <x v="4"/>
    <n v="404.56"/>
    <n v="5"/>
    <n v="121.37"/>
    <n v="0.15"/>
    <s v="Cust 1573"/>
    <s v="Carol Darley"/>
    <x v="1"/>
    <s v="Tyler"/>
    <s v="Texas"/>
    <x v="1"/>
  </r>
  <r>
    <s v="REG100315"/>
    <x v="295"/>
    <s v="Cust 5660"/>
    <x v="2"/>
    <n v="358.21"/>
    <n v="2"/>
    <n v="107.46"/>
    <n v="0.15"/>
    <s v="Cust 5660"/>
    <s v="Doug Jacobs"/>
    <x v="4"/>
    <s v="New York City"/>
    <s v="New York"/>
    <x v="1"/>
  </r>
  <r>
    <s v="REG100316"/>
    <x v="296"/>
    <s v="Cust 3952"/>
    <x v="4"/>
    <n v="2478.36"/>
    <n v="7"/>
    <n v="743.51"/>
    <n v="0.1"/>
    <s v="Cust 3952"/>
    <s v="Grant Thornton"/>
    <x v="4"/>
    <s v="Burlington"/>
    <s v="North Carolina"/>
    <x v="1"/>
  </r>
  <r>
    <s v="REG100317"/>
    <x v="297"/>
    <s v="Cust 5407"/>
    <x v="1"/>
    <n v="1482.39"/>
    <n v="13"/>
    <n v="444.72"/>
    <n v="0"/>
    <s v="Cust 5407"/>
    <s v="Michael Chen"/>
    <x v="1"/>
    <s v="Jackson"/>
    <s v="Mississippi"/>
    <x v="1"/>
  </r>
  <r>
    <s v="REG100318"/>
    <x v="298"/>
    <s v="Cust 9595"/>
    <x v="6"/>
    <n v="6056.64"/>
    <n v="18"/>
    <n v="1816.99"/>
    <n v="0"/>
    <s v="Cust 9595"/>
    <s v="Ralph Arnett"/>
    <x v="2"/>
    <s v="New York City"/>
    <s v="New York"/>
    <x v="0"/>
  </r>
  <r>
    <s v="REG100319"/>
    <x v="299"/>
    <s v="Cust 3245"/>
    <x v="5"/>
    <n v="186.97"/>
    <n v="9"/>
    <n v="56.09"/>
    <n v="0.15"/>
    <s v="Cust 3245"/>
    <s v="Naresj Patel"/>
    <x v="3"/>
    <s v="Waynesboro"/>
    <s v="Virginia"/>
    <x v="0"/>
  </r>
  <r>
    <s v="REG100320"/>
    <x v="88"/>
    <s v="Cust 7180"/>
    <x v="6"/>
    <n v="4015.08"/>
    <n v="12"/>
    <n v="1204.52"/>
    <n v="0.05"/>
    <s v="Cust 7180"/>
    <s v="Alan Barnes"/>
    <x v="3"/>
    <s v="Los Angeles"/>
    <s v="California"/>
    <x v="0"/>
  </r>
  <r>
    <s v="REG100321"/>
    <x v="35"/>
    <s v="Cust 5973"/>
    <x v="5"/>
    <n v="2354.0300000000002"/>
    <n v="7"/>
    <n v="706.21"/>
    <n v="0.05"/>
    <s v="Cust 5973"/>
    <s v="Jesus Ocampo"/>
    <x v="4"/>
    <s v="Chester"/>
    <s v="Pennsylvania"/>
    <x v="0"/>
  </r>
  <r>
    <s v="REG100322"/>
    <x v="215"/>
    <s v="Cust 4310"/>
    <x v="6"/>
    <n v="153.30000000000001"/>
    <n v="15"/>
    <n v="45.99"/>
    <n v="0"/>
    <s v="Cust 4310"/>
    <s v="Dorris liebe"/>
    <x v="1"/>
    <s v="Cleveland"/>
    <s v="Ohio"/>
    <x v="0"/>
  </r>
  <r>
    <s v="REG100323"/>
    <x v="300"/>
    <s v="Cust 6243"/>
    <x v="4"/>
    <n v="6707.11"/>
    <n v="17"/>
    <n v="2012.13"/>
    <n v="0.15"/>
    <s v="Cust 6243"/>
    <s v="Alejandro Savely"/>
    <x v="1"/>
    <s v="Seattle"/>
    <s v="Washington"/>
    <x v="0"/>
  </r>
  <r>
    <s v="REG100324"/>
    <x v="301"/>
    <s v="Cust 2448"/>
    <x v="0"/>
    <n v="6631.91"/>
    <n v="16"/>
    <n v="1989.57"/>
    <n v="0.05"/>
    <s v="Cust 2448"/>
    <s v="Jay Kimmel"/>
    <x v="3"/>
    <s v="Long Beach"/>
    <s v="California"/>
    <x v="1"/>
  </r>
  <r>
    <s v="REG100325"/>
    <x v="296"/>
    <s v="Cust 9386"/>
    <x v="0"/>
    <n v="1880.4"/>
    <n v="9"/>
    <n v="564.12"/>
    <n v="0.05"/>
    <s v="Cust 9386"/>
    <s v="Brad Norvell"/>
    <x v="1"/>
    <s v="Cary"/>
    <s v="North Carolina"/>
    <x v="1"/>
  </r>
  <r>
    <s v="REG100526"/>
    <x v="302"/>
    <s v="Cust 2227"/>
    <x v="1"/>
    <n v="1836.38"/>
    <n v="13"/>
    <n v="550.91"/>
    <n v="0"/>
    <s v="Cust 2227"/>
    <s v="David Philippe"/>
    <x v="2"/>
    <s v="New York City"/>
    <s v="New York"/>
    <x v="0"/>
  </r>
  <r>
    <s v="REG100326"/>
    <x v="291"/>
    <s v="Cust 2227"/>
    <x v="0"/>
    <n v="1322.69"/>
    <n v="5"/>
    <n v="396.81"/>
    <n v="0.15"/>
    <s v="Cust 2227"/>
    <s v="David Philippe"/>
    <x v="2"/>
    <s v="New York City"/>
    <s v="New York"/>
    <x v="0"/>
  </r>
  <r>
    <s v="REG100327"/>
    <x v="303"/>
    <s v="Cust 3803"/>
    <x v="0"/>
    <n v="1861.7"/>
    <n v="4"/>
    <n v="558.51"/>
    <n v="0.15"/>
    <s v="Cust 3803"/>
    <s v="Tracy Hopkins"/>
    <x v="1"/>
    <s v="New York City"/>
    <s v="New York"/>
    <x v="0"/>
  </r>
  <r>
    <s v="REG100328"/>
    <x v="304"/>
    <s v="Cust 1236"/>
    <x v="0"/>
    <n v="403.08"/>
    <n v="9"/>
    <n v="120.92"/>
    <n v="0.15"/>
    <s v="Cust 1236"/>
    <s v="Arthur Prichep"/>
    <x v="3"/>
    <s v="Palm Coast"/>
    <s v="Florida"/>
    <x v="1"/>
  </r>
  <r>
    <s v="REG100329"/>
    <x v="305"/>
    <s v="Cust 2669"/>
    <x v="6"/>
    <n v="3521.39"/>
    <n v="9"/>
    <n v="1056.42"/>
    <n v="0.1"/>
    <s v="Cust 2669"/>
    <s v="Roland Schwarz"/>
    <x v="1"/>
    <s v="Mount Vernon"/>
    <s v="New York"/>
    <x v="1"/>
  </r>
  <r>
    <s v="REG100330"/>
    <x v="306"/>
    <s v="Cust 3746"/>
    <x v="5"/>
    <n v="1117.53"/>
    <n v="9"/>
    <n v="335.26"/>
    <n v="0"/>
    <s v="Cust 3746"/>
    <s v="Dorris liebe"/>
    <x v="1"/>
    <s v="Seattle"/>
    <s v="Washington"/>
    <x v="1"/>
  </r>
  <r>
    <s v="REG100331"/>
    <x v="307"/>
    <s v="Cust 9694"/>
    <x v="5"/>
    <n v="713.41"/>
    <n v="2"/>
    <n v="214.02"/>
    <n v="0.05"/>
    <s v="Cust 9694"/>
    <s v="Seth Vernon"/>
    <x v="0"/>
    <s v="Dover"/>
    <s v="Delaware"/>
    <x v="0"/>
  </r>
  <r>
    <s v="REG100332"/>
    <x v="172"/>
    <s v="Cust 4993"/>
    <x v="4"/>
    <n v="2469.4"/>
    <n v="13"/>
    <n v="740.82"/>
    <n v="0.1"/>
    <s v="Cust 4993"/>
    <s v="Kelly Collister"/>
    <x v="0"/>
    <s v="Newark"/>
    <s v="Ohio"/>
    <x v="0"/>
  </r>
  <r>
    <s v="REG100333"/>
    <x v="243"/>
    <s v="Cust 1271"/>
    <x v="6"/>
    <n v="622.09"/>
    <n v="7"/>
    <n v="186.63"/>
    <n v="0"/>
    <s v="Cust 1271"/>
    <s v="Christine Kargatis"/>
    <x v="1"/>
    <s v="Orem"/>
    <s v="Utah"/>
    <x v="1"/>
  </r>
  <r>
    <s v="REG100334"/>
    <x v="308"/>
    <s v="Cust 3042"/>
    <x v="1"/>
    <n v="1207.6400000000001"/>
    <n v="5"/>
    <n v="362.29"/>
    <n v="0.05"/>
    <s v="Cust 3042"/>
    <s v="Ross DeVincentis"/>
    <x v="1"/>
    <s v="Los Angeles"/>
    <s v="California"/>
    <x v="1"/>
  </r>
  <r>
    <s v="REG100335"/>
    <x v="278"/>
    <s v="Cust 6424"/>
    <x v="3"/>
    <n v="1945.58"/>
    <n v="5"/>
    <n v="583.66999999999996"/>
    <n v="0.1"/>
    <s v="Cust 6424"/>
    <s v="Michael Paige"/>
    <x v="3"/>
    <s v="Detroit"/>
    <s v="Michigan"/>
    <x v="0"/>
  </r>
  <r>
    <s v="REG100336"/>
    <x v="146"/>
    <s v="Cust 1422"/>
    <x v="0"/>
    <n v="10649.5"/>
    <n v="19"/>
    <n v="3194.85"/>
    <n v="0.05"/>
    <s v="Cust 1422"/>
    <s v="Mathew Reese"/>
    <x v="4"/>
    <s v="Philadelphia"/>
    <s v="Pennsylvania"/>
    <x v="0"/>
  </r>
  <r>
    <s v="REG100640"/>
    <x v="120"/>
    <s v="Cust 5857"/>
    <x v="3"/>
    <n v="1592.78"/>
    <n v="14"/>
    <n v="477.83"/>
    <n v="0"/>
    <s v="Cust 5857"/>
    <s v="Steve Chapman"/>
    <x v="4"/>
    <s v="Hialeah"/>
    <s v="Florida"/>
    <x v="0"/>
  </r>
  <r>
    <s v="REG100337"/>
    <x v="309"/>
    <s v="Cust 5857"/>
    <x v="5"/>
    <n v="1497.38"/>
    <n v="11"/>
    <n v="449.21"/>
    <n v="0.1"/>
    <s v="Cust 5857"/>
    <s v="Steve Chapman"/>
    <x v="4"/>
    <s v="Hialeah"/>
    <s v="Florida"/>
    <x v="0"/>
  </r>
  <r>
    <s v="REG100338"/>
    <x v="310"/>
    <s v="Cust 6953"/>
    <x v="2"/>
    <n v="552.92999999999995"/>
    <n v="3"/>
    <n v="165.88"/>
    <n v="0.1"/>
    <s v="Cust 6953"/>
    <s v="Jay Fein"/>
    <x v="0"/>
    <s v="Austin"/>
    <s v="Texas"/>
    <x v="0"/>
  </r>
  <r>
    <s v="REG100339"/>
    <x v="110"/>
    <s v="Cust 2916"/>
    <x v="0"/>
    <n v="9384.32"/>
    <n v="16"/>
    <n v="2815.3"/>
    <n v="0"/>
    <s v="Cust 2916"/>
    <s v="Emily Grady"/>
    <x v="2"/>
    <s v="Oceanside"/>
    <s v="New York"/>
    <x v="1"/>
  </r>
  <r>
    <s v="REG101090"/>
    <x v="258"/>
    <s v="Cust 6855"/>
    <x v="4"/>
    <n v="4430.17"/>
    <n v="12"/>
    <n v="1329.05"/>
    <n v="0.15"/>
    <s v="Cust 6855"/>
    <s v="Darrin Sayre"/>
    <x v="0"/>
    <s v="Seattle"/>
    <s v="Washington"/>
    <x v="2"/>
  </r>
  <r>
    <s v="REG100340"/>
    <x v="259"/>
    <s v="Cust 6855"/>
    <x v="4"/>
    <n v="1677.28"/>
    <n v="16"/>
    <n v="503.18"/>
    <n v="0"/>
    <s v="Cust 6855"/>
    <s v="Darrin Sayre"/>
    <x v="0"/>
    <s v="Seattle"/>
    <s v="Washington"/>
    <x v="1"/>
  </r>
  <r>
    <s v="REG100265"/>
    <x v="260"/>
    <s v="Cust 6855"/>
    <x v="5"/>
    <n v="1054.3499999999999"/>
    <n v="8"/>
    <n v="316.3"/>
    <n v="0.05"/>
    <s v="Cust 6855"/>
    <s v="Darrin Sayre"/>
    <x v="0"/>
    <s v="Seattle"/>
    <s v="Washington"/>
    <x v="1"/>
  </r>
  <r>
    <s v="REG100341"/>
    <x v="311"/>
    <s v="Cust 8464"/>
    <x v="4"/>
    <n v="8618.11"/>
    <n v="16"/>
    <n v="2585.4299999999998"/>
    <n v="0.1"/>
    <s v="Cust 8464"/>
    <s v="Gary Zandusky"/>
    <x v="3"/>
    <s v="San Francisco"/>
    <s v="California"/>
    <x v="2"/>
  </r>
  <r>
    <s v="REG100342"/>
    <x v="34"/>
    <s v="Cust 9700"/>
    <x v="3"/>
    <n v="2795.96"/>
    <n v="8"/>
    <n v="838.79"/>
    <n v="0.05"/>
    <s v="Cust 9700"/>
    <s v="Phillina Ober"/>
    <x v="1"/>
    <s v="Naperville"/>
    <s v="Illinois"/>
    <x v="0"/>
  </r>
  <r>
    <s v="REG100343"/>
    <x v="312"/>
    <s v="Cust 7765"/>
    <x v="3"/>
    <n v="2833.48"/>
    <n v="10"/>
    <n v="850.04"/>
    <n v="0.15"/>
    <s v="Cust 7765"/>
    <s v="Sung Shariari"/>
    <x v="4"/>
    <s v="Dallas"/>
    <s v="Texas"/>
    <x v="0"/>
  </r>
  <r>
    <s v="REG100344"/>
    <x v="313"/>
    <s v="Cust 8246"/>
    <x v="3"/>
    <n v="2727.94"/>
    <n v="8"/>
    <n v="818.38"/>
    <n v="0.1"/>
    <s v="Cust 8246"/>
    <s v="Maya Herman"/>
    <x v="2"/>
    <s v="San Diego"/>
    <s v="California"/>
    <x v="0"/>
  </r>
  <r>
    <s v="REG100345"/>
    <x v="314"/>
    <s v="Cust 6500"/>
    <x v="5"/>
    <n v="1928.88"/>
    <n v="12"/>
    <n v="578.66"/>
    <n v="0.05"/>
    <s v="Cust 6500"/>
    <s v="Peter BÃƒÂ¼hler"/>
    <x v="3"/>
    <s v="Evanston"/>
    <s v="Illinois"/>
    <x v="0"/>
  </r>
  <r>
    <s v="REG100346"/>
    <x v="160"/>
    <s v="Cust 1150"/>
    <x v="3"/>
    <n v="649.09"/>
    <n v="7"/>
    <n v="194.73"/>
    <n v="0.1"/>
    <s v="Cust 1150"/>
    <s v="Roland Fjeld"/>
    <x v="3"/>
    <s v="Trenton"/>
    <s v="Michigan"/>
    <x v="0"/>
  </r>
  <r>
    <s v="REG100740"/>
    <x v="292"/>
    <s v="Cust 7449"/>
    <x v="6"/>
    <n v="475.91"/>
    <n v="1"/>
    <n v="142.77000000000001"/>
    <n v="0.05"/>
    <s v="Cust 7449"/>
    <s v="Yoseph Carroll"/>
    <x v="0"/>
    <s v="San Francisco"/>
    <s v="California"/>
    <x v="1"/>
  </r>
  <r>
    <s v="REG100347"/>
    <x v="315"/>
    <s v="Cust 7449"/>
    <x v="4"/>
    <n v="965.79"/>
    <n v="3"/>
    <n v="289.74"/>
    <n v="0.15"/>
    <s v="Cust 7449"/>
    <s v="Yoseph Carroll"/>
    <x v="0"/>
    <s v="San Francisco"/>
    <s v="California"/>
    <x v="0"/>
  </r>
  <r>
    <s v="REG100348"/>
    <x v="193"/>
    <s v="Cust 1957"/>
    <x v="1"/>
    <n v="408.15"/>
    <n v="15"/>
    <n v="122.45"/>
    <n v="0"/>
    <s v="Cust 1957"/>
    <s v="Melanie Seite"/>
    <x v="2"/>
    <s v="Los Angeles"/>
    <s v="California"/>
    <x v="0"/>
  </r>
  <r>
    <s v="REG100349"/>
    <x v="316"/>
    <s v="Cust 3467"/>
    <x v="1"/>
    <n v="729.26"/>
    <n v="14"/>
    <n v="218.78"/>
    <n v="0"/>
    <s v="Cust 3467"/>
    <s v="Nona Balk"/>
    <x v="3"/>
    <s v="Jacksonville"/>
    <s v="Florida"/>
    <x v="0"/>
  </r>
  <r>
    <s v="REG100350"/>
    <x v="164"/>
    <s v="Cust 5212"/>
    <x v="5"/>
    <n v="3990.07"/>
    <n v="7"/>
    <n v="1197.02"/>
    <n v="0"/>
    <s v="Cust 5212"/>
    <s v="Debra Catini"/>
    <x v="2"/>
    <s v="Cottage Grove"/>
    <s v="Minnesota"/>
    <x v="0"/>
  </r>
  <r>
    <s v="REG100351"/>
    <x v="317"/>
    <s v="Cust 3509"/>
    <x v="5"/>
    <n v="9998.3700000000008"/>
    <n v="19"/>
    <n v="2999.51"/>
    <n v="0"/>
    <s v="Cust 3509"/>
    <s v="Christine Phan"/>
    <x v="0"/>
    <s v="New York City"/>
    <s v="New York"/>
    <x v="0"/>
  </r>
  <r>
    <s v="REG100352"/>
    <x v="318"/>
    <s v="Cust 5316"/>
    <x v="0"/>
    <n v="2002.67"/>
    <n v="8"/>
    <n v="600.79999999999995"/>
    <n v="0.15"/>
    <s v="Cust 5316"/>
    <s v="Barry FranzÃƒÂ¶sisch"/>
    <x v="2"/>
    <s v="Green Bay"/>
    <s v="Wisconsin"/>
    <x v="0"/>
  </r>
  <r>
    <s v="REG100353"/>
    <x v="319"/>
    <s v="Cust 9919"/>
    <x v="5"/>
    <n v="7665.42"/>
    <n v="18"/>
    <n v="2299.63"/>
    <n v="0.05"/>
    <s v="Cust 9919"/>
    <s v="Andrew Roberts"/>
    <x v="1"/>
    <s v="Los Angeles"/>
    <s v="California"/>
    <x v="0"/>
  </r>
  <r>
    <s v="REG100354"/>
    <x v="88"/>
    <s v="Cust 7129"/>
    <x v="2"/>
    <n v="8933.36"/>
    <n v="17"/>
    <n v="2680.01"/>
    <n v="0.1"/>
    <s v="Cust 7129"/>
    <s v="Julie Creighton"/>
    <x v="4"/>
    <s v="Atlanta"/>
    <s v="Georgia"/>
    <x v="0"/>
  </r>
  <r>
    <s v="REG100355"/>
    <x v="320"/>
    <s v="Cust 9841"/>
    <x v="2"/>
    <n v="175.5"/>
    <n v="2"/>
    <n v="52.65"/>
    <n v="0.1"/>
    <s v="Cust 9841"/>
    <s v="Lisa Hazard"/>
    <x v="2"/>
    <s v="Columbus"/>
    <s v="Ohio"/>
    <x v="0"/>
  </r>
  <r>
    <s v="REG100356"/>
    <x v="52"/>
    <s v="Cust 6362"/>
    <x v="4"/>
    <n v="5722.74"/>
    <n v="16"/>
    <n v="1716.82"/>
    <n v="0.15"/>
    <s v="Cust 6362"/>
    <s v="Chris Selesnick"/>
    <x v="2"/>
    <s v="Bossier City"/>
    <s v="Louisiana"/>
    <x v="0"/>
  </r>
  <r>
    <s v="REG100046"/>
    <x v="53"/>
    <s v="Cust 6362"/>
    <x v="3"/>
    <n v="309.77"/>
    <n v="11"/>
    <n v="92.93"/>
    <n v="0.15"/>
    <s v="Cust 6362"/>
    <s v="Chris Selesnick"/>
    <x v="2"/>
    <s v="Bossier City"/>
    <s v="Louisiana"/>
    <x v="1"/>
  </r>
  <r>
    <s v="REG100357"/>
    <x v="321"/>
    <s v="Cust 4142"/>
    <x v="3"/>
    <n v="6671.34"/>
    <n v="13"/>
    <n v="2001.4"/>
    <n v="0"/>
    <s v="Cust 4142"/>
    <s v="Anthony Johnson"/>
    <x v="4"/>
    <s v="Saint Petersburg"/>
    <s v="Florida"/>
    <x v="1"/>
  </r>
  <r>
    <s v="REG100762"/>
    <x v="322"/>
    <s v="Cust 9584"/>
    <x v="0"/>
    <n v="1347.95"/>
    <n v="11"/>
    <n v="404.38"/>
    <n v="0.05"/>
    <s v="Cust 9584"/>
    <s v="Laurel Elliston"/>
    <x v="2"/>
    <s v="Arlington"/>
    <s v="Virginia"/>
    <x v="0"/>
  </r>
  <r>
    <s v="REG100358"/>
    <x v="323"/>
    <s v="Cust 9584"/>
    <x v="5"/>
    <n v="8133.44"/>
    <n v="19"/>
    <n v="2440.0300000000002"/>
    <n v="0.1"/>
    <s v="Cust 9584"/>
    <s v="Laurel Elliston"/>
    <x v="2"/>
    <s v="Arlington"/>
    <s v="Virginia"/>
    <x v="0"/>
  </r>
  <r>
    <s v="REG101469"/>
    <x v="90"/>
    <s v="Cust 2553"/>
    <x v="3"/>
    <n v="521.37"/>
    <n v="9"/>
    <n v="156.41"/>
    <n v="0"/>
    <s v="Cust 2553"/>
    <s v="Benjamin Venier"/>
    <x v="2"/>
    <s v="Des Moines"/>
    <s v="Iowa"/>
    <x v="1"/>
  </r>
  <r>
    <s v="REG100359"/>
    <x v="324"/>
    <s v="Cust 2553"/>
    <x v="6"/>
    <n v="2788.58"/>
    <n v="13"/>
    <n v="836.57"/>
    <n v="0.1"/>
    <s v="Cust 2553"/>
    <s v="Benjamin Venier"/>
    <x v="2"/>
    <s v="Des Moines"/>
    <s v="Iowa"/>
    <x v="1"/>
  </r>
  <r>
    <s v="REG100360"/>
    <x v="202"/>
    <s v="Cust 1347"/>
    <x v="0"/>
    <n v="3591.38"/>
    <n v="14"/>
    <n v="1077.4100000000001"/>
    <n v="0.1"/>
    <s v="Cust 1347"/>
    <s v="Dan Lawera"/>
    <x v="3"/>
    <s v="Cincinnati"/>
    <s v="Ohio"/>
    <x v="1"/>
  </r>
  <r>
    <s v="REG100657"/>
    <x v="325"/>
    <s v="Cust 8305"/>
    <x v="5"/>
    <n v="514.80999999999995"/>
    <n v="1"/>
    <n v="154.44"/>
    <n v="0.05"/>
    <s v="Cust 8305"/>
    <s v="Nick Zandusky"/>
    <x v="3"/>
    <s v="San Francisco"/>
    <s v="California"/>
    <x v="0"/>
  </r>
  <r>
    <s v="REG100361"/>
    <x v="326"/>
    <s v="Cust 8305"/>
    <x v="2"/>
    <n v="26.22"/>
    <n v="5"/>
    <n v="7.87"/>
    <n v="0.05"/>
    <s v="Cust 8305"/>
    <s v="Nick Zandusky"/>
    <x v="3"/>
    <s v="San Francisco"/>
    <s v="California"/>
    <x v="1"/>
  </r>
  <r>
    <s v="REG100362"/>
    <x v="327"/>
    <s v="Cust 7015"/>
    <x v="5"/>
    <n v="6419.25"/>
    <n v="18"/>
    <n v="1925.78"/>
    <n v="0.1"/>
    <s v="Cust 7015"/>
    <s v="Bryan Mills"/>
    <x v="2"/>
    <s v="Columbus"/>
    <s v="Ohio"/>
    <x v="1"/>
  </r>
  <r>
    <s v="REG100363"/>
    <x v="328"/>
    <s v="Cust 4394"/>
    <x v="0"/>
    <n v="2417.94"/>
    <n v="9"/>
    <n v="725.38"/>
    <n v="0.05"/>
    <s v="Cust 4394"/>
    <s v="Erin Ashbrook"/>
    <x v="1"/>
    <s v="Columbia"/>
    <s v="South Carolina"/>
    <x v="0"/>
  </r>
  <r>
    <s v="REG100364"/>
    <x v="11"/>
    <s v="Cust 3323"/>
    <x v="1"/>
    <n v="2994.95"/>
    <n v="6"/>
    <n v="898.49"/>
    <n v="0.05"/>
    <s v="Cust 3323"/>
    <s v="Clay Ludtke"/>
    <x v="1"/>
    <s v="Lancaster"/>
    <s v="California"/>
    <x v="1"/>
  </r>
  <r>
    <s v="REG100365"/>
    <x v="329"/>
    <s v="Cust 4029"/>
    <x v="6"/>
    <n v="1723.55"/>
    <n v="15"/>
    <n v="517.05999999999995"/>
    <n v="0.1"/>
    <s v="Cust 4029"/>
    <s v="Liz Thompson"/>
    <x v="4"/>
    <s v="Lancaster"/>
    <s v="California"/>
    <x v="1"/>
  </r>
  <r>
    <s v="REG100366"/>
    <x v="330"/>
    <s v="Cust 1400"/>
    <x v="0"/>
    <n v="8265.57"/>
    <n v="17"/>
    <n v="2479.67"/>
    <n v="0.05"/>
    <s v="Cust 1400"/>
    <s v="Sue Ann Reed"/>
    <x v="3"/>
    <s v="Richmond"/>
    <s v="Virginia"/>
    <x v="2"/>
  </r>
  <r>
    <s v="REG101423"/>
    <x v="19"/>
    <s v="Cust 6361"/>
    <x v="3"/>
    <n v="4395.0200000000004"/>
    <n v="16"/>
    <n v="1318.51"/>
    <n v="0.1"/>
    <s v="Cust 6361"/>
    <s v="Joe Kamberova"/>
    <x v="4"/>
    <s v="Asheville"/>
    <s v="North Carolina"/>
    <x v="1"/>
  </r>
  <r>
    <s v="REG100367"/>
    <x v="28"/>
    <s v="Cust 6361"/>
    <x v="6"/>
    <n v="2112.27"/>
    <n v="4"/>
    <n v="633.67999999999995"/>
    <n v="0.05"/>
    <s v="Cust 6361"/>
    <s v="Joe Kamberova"/>
    <x v="4"/>
    <s v="Asheville"/>
    <s v="North Carolina"/>
    <x v="2"/>
  </r>
  <r>
    <s v="REG100368"/>
    <x v="331"/>
    <s v="Cust 5267"/>
    <x v="5"/>
    <n v="2888.76"/>
    <n v="15"/>
    <n v="866.63"/>
    <n v="0.05"/>
    <s v="Cust 5267"/>
    <s v="Erica Smith"/>
    <x v="3"/>
    <s v="San Francisco"/>
    <s v="California"/>
    <x v="2"/>
  </r>
  <r>
    <s v="REG100369"/>
    <x v="332"/>
    <s v="Cust 9354"/>
    <x v="3"/>
    <n v="1414.8"/>
    <n v="4"/>
    <n v="424.44"/>
    <n v="0"/>
    <s v="Cust 9354"/>
    <s v="Rick Hansen"/>
    <x v="3"/>
    <s v="Rochester"/>
    <s v="Minnesota"/>
    <x v="2"/>
  </r>
  <r>
    <s v="REG100370"/>
    <x v="333"/>
    <s v="Cust 9443"/>
    <x v="3"/>
    <n v="447.75"/>
    <n v="3"/>
    <n v="134.33000000000001"/>
    <n v="0"/>
    <s v="Cust 9443"/>
    <s v="David Bremer"/>
    <x v="3"/>
    <s v="Rochester"/>
    <s v="New York"/>
    <x v="2"/>
  </r>
  <r>
    <s v="REG100371"/>
    <x v="334"/>
    <s v="Cust 2252"/>
    <x v="5"/>
    <n v="2675.12"/>
    <n v="19"/>
    <n v="802.54"/>
    <n v="0.1"/>
    <s v="Cust 2252"/>
    <s v="Carlos Daly"/>
    <x v="2"/>
    <s v="Lake Elsinore"/>
    <s v="California"/>
    <x v="0"/>
  </r>
  <r>
    <s v="REG100372"/>
    <x v="335"/>
    <s v="Cust 1031"/>
    <x v="1"/>
    <n v="1692.32"/>
    <n v="7"/>
    <n v="507.7"/>
    <n v="0"/>
    <s v="Cust 1031"/>
    <s v="Helen Wasserman"/>
    <x v="3"/>
    <s v="San Diego"/>
    <s v="California"/>
    <x v="0"/>
  </r>
  <r>
    <s v="REG100373"/>
    <x v="112"/>
    <s v="Cust 6086"/>
    <x v="0"/>
    <n v="3409.8"/>
    <n v="20"/>
    <n v="1022.94"/>
    <n v="0"/>
    <s v="Cust 6086"/>
    <s v="Helen Wasserman"/>
    <x v="2"/>
    <s v="New York City"/>
    <s v="New York"/>
    <x v="0"/>
  </r>
  <r>
    <s v="REG100100"/>
    <x v="69"/>
    <s v="Cust 6086"/>
    <x v="0"/>
    <n v="3756.46"/>
    <n v="11"/>
    <n v="1126.94"/>
    <n v="0.15"/>
    <s v="Cust 6086"/>
    <s v="Helen Wasserman"/>
    <x v="2"/>
    <s v="New York City"/>
    <s v="New York"/>
    <x v="2"/>
  </r>
  <r>
    <s v="REG100374"/>
    <x v="288"/>
    <s v="Cust 1672"/>
    <x v="5"/>
    <n v="1481.73"/>
    <n v="11"/>
    <n v="444.52"/>
    <n v="0.1"/>
    <s v="Cust 1672"/>
    <s v="Mike Caudle"/>
    <x v="3"/>
    <s v="Monroe"/>
    <s v="Louisiana"/>
    <x v="2"/>
  </r>
  <r>
    <s v="REG100375"/>
    <x v="317"/>
    <s v="Cust 9313"/>
    <x v="6"/>
    <n v="156.19999999999999"/>
    <n v="1"/>
    <n v="46.86"/>
    <n v="0.1"/>
    <s v="Cust 9313"/>
    <s v="Gary McGarr"/>
    <x v="0"/>
    <s v="San Francisco"/>
    <s v="California"/>
    <x v="1"/>
  </r>
  <r>
    <s v="REG100376"/>
    <x v="336"/>
    <s v="Cust 4405"/>
    <x v="5"/>
    <n v="2324.5100000000002"/>
    <n v="7"/>
    <n v="697.35"/>
    <n v="0.05"/>
    <s v="Cust 4405"/>
    <s v="Russell Applegate"/>
    <x v="1"/>
    <s v="Denver"/>
    <s v="Colorado"/>
    <x v="1"/>
  </r>
  <r>
    <s v="REG101150"/>
    <x v="337"/>
    <s v="Cust 6453"/>
    <x v="0"/>
    <n v="362.33"/>
    <n v="3"/>
    <n v="108.7"/>
    <n v="0.15"/>
    <s v="Cust 6453"/>
    <s v="Allen Armold"/>
    <x v="3"/>
    <s v="Omaha"/>
    <s v="Nebraska"/>
    <x v="0"/>
  </r>
  <r>
    <s v="REG100377"/>
    <x v="314"/>
    <s v="Cust 6453"/>
    <x v="6"/>
    <n v="2206.2600000000002"/>
    <n v="9"/>
    <n v="661.88"/>
    <n v="0"/>
    <s v="Cust 6453"/>
    <s v="Allen Armold"/>
    <x v="3"/>
    <s v="Omaha"/>
    <s v="Nebraska"/>
    <x v="0"/>
  </r>
  <r>
    <s v="REG100378"/>
    <x v="338"/>
    <s v="Cust 4772"/>
    <x v="2"/>
    <n v="401.93"/>
    <n v="1"/>
    <n v="120.58"/>
    <n v="0.05"/>
    <s v="Cust 4772"/>
    <s v="Zuschuss Carroll"/>
    <x v="1"/>
    <s v="Edmonds"/>
    <s v="Washington"/>
    <x v="0"/>
  </r>
  <r>
    <s v="REG101081"/>
    <x v="339"/>
    <s v="Cust 1762"/>
    <x v="4"/>
    <n v="1695.92"/>
    <n v="17"/>
    <n v="508.78"/>
    <n v="0"/>
    <s v="Cust 1762"/>
    <s v="Pauline Johnson"/>
    <x v="0"/>
    <s v="Santa Ana"/>
    <s v="California"/>
    <x v="0"/>
  </r>
  <r>
    <s v="REG100379"/>
    <x v="340"/>
    <s v="Cust 1762"/>
    <x v="1"/>
    <n v="5455.79"/>
    <n v="19"/>
    <n v="1636.74"/>
    <n v="0.15"/>
    <s v="Cust 1762"/>
    <s v="Pauline Johnson"/>
    <x v="0"/>
    <s v="Santa Ana"/>
    <s v="California"/>
    <x v="0"/>
  </r>
  <r>
    <s v="REG100380"/>
    <x v="140"/>
    <s v="Cust 1865"/>
    <x v="3"/>
    <n v="2147.36"/>
    <n v="10"/>
    <n v="644.21"/>
    <n v="0.15"/>
    <s v="Cust 1865"/>
    <s v="Bart Watters"/>
    <x v="1"/>
    <s v="Milwaukee"/>
    <s v="Wisconsin"/>
    <x v="0"/>
  </r>
  <r>
    <s v="REG100381"/>
    <x v="125"/>
    <s v="Cust 9552"/>
    <x v="6"/>
    <n v="234.95"/>
    <n v="3"/>
    <n v="70.489999999999995"/>
    <n v="0.1"/>
    <s v="Cust 9552"/>
    <s v="Dean Braden"/>
    <x v="4"/>
    <s v="Philadelphia"/>
    <s v="Pennsylvania"/>
    <x v="0"/>
  </r>
  <r>
    <s v="REG100382"/>
    <x v="300"/>
    <s v="Cust 4273"/>
    <x v="6"/>
    <n v="70.22"/>
    <n v="11"/>
    <n v="21.07"/>
    <n v="0.05"/>
    <s v="Cust 4273"/>
    <s v="Cynthia Arntzen"/>
    <x v="3"/>
    <s v="Philadelphia"/>
    <s v="Pennsylvania"/>
    <x v="0"/>
  </r>
  <r>
    <s v="REG100383"/>
    <x v="341"/>
    <s v="Cust 8712"/>
    <x v="4"/>
    <n v="502.88"/>
    <n v="2"/>
    <n v="150.87"/>
    <n v="0.1"/>
    <s v="Cust 8712"/>
    <s v="Toby Ritter"/>
    <x v="1"/>
    <s v="Belleville"/>
    <s v="New Jersey"/>
    <x v="0"/>
  </r>
  <r>
    <s v="REG100384"/>
    <x v="342"/>
    <s v="Cust 9048"/>
    <x v="1"/>
    <n v="1683.18"/>
    <n v="9"/>
    <n v="504.95"/>
    <n v="0.1"/>
    <s v="Cust 9048"/>
    <s v="Patrick Gardner"/>
    <x v="3"/>
    <s v="San Francisco"/>
    <s v="California"/>
    <x v="0"/>
  </r>
  <r>
    <s v="REG100385"/>
    <x v="343"/>
    <s v="Cust 7714"/>
    <x v="4"/>
    <n v="7294.29"/>
    <n v="15"/>
    <n v="2188.29"/>
    <n v="0.05"/>
    <s v="Cust 7714"/>
    <s v="Greg Tran"/>
    <x v="0"/>
    <s v="Lakeville"/>
    <s v="Minnesota"/>
    <x v="0"/>
  </r>
  <r>
    <s v="REG100386"/>
    <x v="264"/>
    <s v="Cust 4770"/>
    <x v="4"/>
    <n v="3259.7"/>
    <n v="10"/>
    <n v="977.91"/>
    <n v="0"/>
    <s v="Cust 4770"/>
    <s v="Joel Eaton"/>
    <x v="0"/>
    <s v="Florence"/>
    <s v="Kentucky"/>
    <x v="0"/>
  </r>
  <r>
    <s v="REG100387"/>
    <x v="344"/>
    <s v="Cust 2007"/>
    <x v="0"/>
    <n v="7978.44"/>
    <n v="17"/>
    <n v="2393.5300000000002"/>
    <n v="0"/>
    <s v="Cust 2007"/>
    <s v="Jennifer Braxton"/>
    <x v="1"/>
    <s v="Tampa"/>
    <s v="Florida"/>
    <x v="0"/>
  </r>
  <r>
    <s v="REG100388"/>
    <x v="345"/>
    <s v="Cust 8909"/>
    <x v="1"/>
    <n v="2426.9699999999998"/>
    <n v="13"/>
    <n v="728.09"/>
    <n v="0"/>
    <s v="Cust 8909"/>
    <s v="Lisa Hazard"/>
    <x v="3"/>
    <s v="Tyler"/>
    <s v="Texas"/>
    <x v="1"/>
  </r>
  <r>
    <s v="REG100555"/>
    <x v="346"/>
    <s v="Cust 4196"/>
    <x v="6"/>
    <n v="3427.65"/>
    <n v="9"/>
    <n v="1028.3"/>
    <n v="0"/>
    <s v="Cust 4196"/>
    <s v="James Lanier"/>
    <x v="1"/>
    <s v="Columbia"/>
    <s v="Tennessee"/>
    <x v="1"/>
  </r>
  <r>
    <s v="REG100389"/>
    <x v="347"/>
    <s v="Cust 4196"/>
    <x v="1"/>
    <n v="526.83000000000004"/>
    <n v="16"/>
    <n v="158.05000000000001"/>
    <n v="0.05"/>
    <s v="Cust 4196"/>
    <s v="James Lanier"/>
    <x v="1"/>
    <s v="Columbia"/>
    <s v="Tennessee"/>
    <x v="1"/>
  </r>
  <r>
    <s v="REG100943"/>
    <x v="348"/>
    <s v="Cust 4189"/>
    <x v="3"/>
    <n v="389.94"/>
    <n v="2"/>
    <n v="116.98"/>
    <n v="0"/>
    <s v="Cust 4189"/>
    <s v="Ed Braxton"/>
    <x v="2"/>
    <s v="Fort Worth"/>
    <s v="Texas"/>
    <x v="0"/>
  </r>
  <r>
    <s v="REG100390"/>
    <x v="233"/>
    <s v="Cust 4189"/>
    <x v="4"/>
    <n v="2372.11"/>
    <n v="18"/>
    <n v="711.63"/>
    <n v="0.15"/>
    <s v="Cust 4189"/>
    <s v="Ed Braxton"/>
    <x v="2"/>
    <s v="Fort Worth"/>
    <s v="Texas"/>
    <x v="0"/>
  </r>
  <r>
    <s v="REG100391"/>
    <x v="103"/>
    <s v="Cust 7226"/>
    <x v="5"/>
    <n v="264.48"/>
    <n v="4"/>
    <n v="79.34"/>
    <n v="0.05"/>
    <s v="Cust 7226"/>
    <s v="Brian Moss"/>
    <x v="4"/>
    <s v="New York City"/>
    <s v="New York"/>
    <x v="0"/>
  </r>
  <r>
    <s v="REG100392"/>
    <x v="349"/>
    <s v="Cust 5015"/>
    <x v="5"/>
    <n v="608.74"/>
    <n v="13"/>
    <n v="182.62"/>
    <n v="0.15"/>
    <s v="Cust 5015"/>
    <s v="Eudokia Martin"/>
    <x v="3"/>
    <s v="Los Angeles"/>
    <s v="California"/>
    <x v="0"/>
  </r>
  <r>
    <s v="REG100393"/>
    <x v="350"/>
    <s v="Cust 9904"/>
    <x v="0"/>
    <n v="2277.52"/>
    <n v="13"/>
    <n v="683.25"/>
    <n v="0.15"/>
    <s v="Cust 9904"/>
    <s v="Art Foster"/>
    <x v="3"/>
    <s v="Louisville"/>
    <s v="Kentucky"/>
    <x v="0"/>
  </r>
  <r>
    <s v="REG100394"/>
    <x v="351"/>
    <s v="Cust 7687"/>
    <x v="6"/>
    <n v="6442.25"/>
    <n v="14"/>
    <n v="1932.68"/>
    <n v="0.05"/>
    <s v="Cust 7687"/>
    <s v="Guy Armstrong"/>
    <x v="4"/>
    <s v="Lorain"/>
    <s v="Ohio"/>
    <x v="0"/>
  </r>
  <r>
    <s v="REG100395"/>
    <x v="352"/>
    <s v="Cust 6511"/>
    <x v="5"/>
    <n v="2697.42"/>
    <n v="6"/>
    <n v="809.23"/>
    <n v="0"/>
    <s v="Cust 6511"/>
    <s v="Cyma Kinney"/>
    <x v="2"/>
    <s v="Linden"/>
    <s v="New Jersey"/>
    <x v="2"/>
  </r>
  <r>
    <s v="REG100396"/>
    <x v="353"/>
    <s v="Cust 2412"/>
    <x v="0"/>
    <n v="2007.09"/>
    <n v="9"/>
    <n v="602.13"/>
    <n v="0"/>
    <s v="Cust 2412"/>
    <s v="Dave Poirier"/>
    <x v="0"/>
    <s v="Salinas"/>
    <s v="California"/>
    <x v="2"/>
  </r>
  <r>
    <s v="REG100397"/>
    <x v="354"/>
    <s v="Cust 1664"/>
    <x v="3"/>
    <n v="3473.73"/>
    <n v="14"/>
    <n v="1042.1199999999999"/>
    <n v="0.15"/>
    <s v="Cust 1664"/>
    <s v="Valerie Dominguez"/>
    <x v="4"/>
    <s v="Jackson"/>
    <s v="Mississippi"/>
    <x v="2"/>
  </r>
  <r>
    <s v="REG100398"/>
    <x v="49"/>
    <s v="Cust 6033"/>
    <x v="5"/>
    <n v="1181.18"/>
    <n v="13"/>
    <n v="354.35"/>
    <n v="0"/>
    <s v="Cust 6033"/>
    <s v="Greg Tran"/>
    <x v="1"/>
    <s v="New York City"/>
    <s v="New York"/>
    <x v="2"/>
  </r>
  <r>
    <s v="REG100399"/>
    <x v="355"/>
    <s v="Cust 4019"/>
    <x v="2"/>
    <n v="436.2"/>
    <n v="4"/>
    <n v="130.86000000000001"/>
    <n v="0"/>
    <s v="Cust 4019"/>
    <s v="Berenike Kampe"/>
    <x v="0"/>
    <s v="New York City"/>
    <s v="New York"/>
    <x v="2"/>
  </r>
  <r>
    <s v="REG100400"/>
    <x v="0"/>
    <s v="Cust 4515"/>
    <x v="6"/>
    <n v="2947.2"/>
    <n v="12"/>
    <n v="884.16"/>
    <n v="0"/>
    <s v="Cust 4515"/>
    <s v="Sanjit Jacobs"/>
    <x v="4"/>
    <s v="New Brunswick"/>
    <s v="New Jersey"/>
    <x v="2"/>
  </r>
  <r>
    <s v="REG100401"/>
    <x v="356"/>
    <s v="Cust 7532"/>
    <x v="4"/>
    <n v="5700.45"/>
    <n v="15"/>
    <n v="1710.14"/>
    <n v="0"/>
    <s v="Cust 7532"/>
    <s v="Chuck Magee"/>
    <x v="0"/>
    <s v="San Francisco"/>
    <s v="California"/>
    <x v="1"/>
  </r>
  <r>
    <s v="REG100402"/>
    <x v="273"/>
    <s v="Cust 8756"/>
    <x v="6"/>
    <n v="1190.0999999999999"/>
    <n v="3"/>
    <n v="357.03"/>
    <n v="0.05"/>
    <s v="Cust 8756"/>
    <s v="Anthony Johnson"/>
    <x v="1"/>
    <s v="Jacksonville"/>
    <s v="Florida"/>
    <x v="0"/>
  </r>
  <r>
    <s v="REG100403"/>
    <x v="357"/>
    <s v="Cust 7620"/>
    <x v="0"/>
    <n v="5510.17"/>
    <n v="15"/>
    <n v="1653.05"/>
    <n v="0.15"/>
    <s v="Cust 7620"/>
    <s v="Anthony Jacobs"/>
    <x v="4"/>
    <s v="Springfield"/>
    <s v="Virginia"/>
    <x v="1"/>
  </r>
  <r>
    <s v="REG100404"/>
    <x v="358"/>
    <s v="Cust 7368"/>
    <x v="5"/>
    <n v="6221.71"/>
    <n v="13"/>
    <n v="1866.51"/>
    <n v="0.1"/>
    <s v="Cust 7368"/>
    <s v="Linda Southworth"/>
    <x v="1"/>
    <s v="Philadelphia"/>
    <s v="Pennsylvania"/>
    <x v="0"/>
  </r>
  <r>
    <s v="REG100405"/>
    <x v="359"/>
    <s v="Cust 1319"/>
    <x v="6"/>
    <n v="5470.93"/>
    <n v="13"/>
    <n v="1641.28"/>
    <n v="0.05"/>
    <s v="Cust 1319"/>
    <s v="Guy Phonely"/>
    <x v="4"/>
    <s v="Lancaster"/>
    <s v="Pennsylvania"/>
    <x v="0"/>
  </r>
  <r>
    <s v="REG100406"/>
    <x v="344"/>
    <s v="Cust 9597"/>
    <x v="3"/>
    <n v="7377.5"/>
    <n v="13"/>
    <n v="2213.25"/>
    <n v="0"/>
    <s v="Cust 9597"/>
    <s v="Paul Knutson"/>
    <x v="3"/>
    <s v="Philadelphia"/>
    <s v="Pennsylvania"/>
    <x v="0"/>
  </r>
  <r>
    <s v="REG100407"/>
    <x v="360"/>
    <s v="Cust 7369"/>
    <x v="6"/>
    <n v="7042.8"/>
    <n v="15"/>
    <n v="2112.84"/>
    <n v="0"/>
    <s v="Cust 7369"/>
    <s v="Tracy Blumstein"/>
    <x v="0"/>
    <s v="Concord"/>
    <s v="New Hampshire"/>
    <x v="0"/>
  </r>
  <r>
    <s v="REG100408"/>
    <x v="361"/>
    <s v="Cust 8592"/>
    <x v="4"/>
    <n v="336.68"/>
    <n v="1"/>
    <n v="101"/>
    <n v="0.15"/>
    <s v="Cust 8592"/>
    <s v="Sally Matthias"/>
    <x v="0"/>
    <s v="New York City"/>
    <s v="New York"/>
    <x v="0"/>
  </r>
  <r>
    <s v="REG100409"/>
    <x v="362"/>
    <s v="Cust 2337"/>
    <x v="0"/>
    <n v="2231.3200000000002"/>
    <n v="12"/>
    <n v="669.4"/>
    <n v="0.05"/>
    <s v="Cust 2337"/>
    <s v="Guy Armstrong"/>
    <x v="0"/>
    <s v="Charlotte"/>
    <s v="North Carolina"/>
    <x v="0"/>
  </r>
  <r>
    <s v="REG100410"/>
    <x v="202"/>
    <s v="Cust 9697"/>
    <x v="4"/>
    <n v="1752.02"/>
    <n v="5"/>
    <n v="525.61"/>
    <n v="0.15"/>
    <s v="Cust 9697"/>
    <s v="Chuck Clark"/>
    <x v="2"/>
    <s v="Concord"/>
    <s v="New Hampshire"/>
    <x v="1"/>
  </r>
  <r>
    <s v="REG100205"/>
    <x v="203"/>
    <s v="Cust 9697"/>
    <x v="0"/>
    <n v="1102.3599999999999"/>
    <n v="2"/>
    <n v="330.71"/>
    <n v="0.05"/>
    <s v="Cust 9697"/>
    <s v="Chuck Clark"/>
    <x v="2"/>
    <s v="Concord"/>
    <s v="New Hampshire"/>
    <x v="0"/>
  </r>
  <r>
    <s v="REG100411"/>
    <x v="158"/>
    <s v="Cust 5895"/>
    <x v="5"/>
    <n v="5221.9799999999996"/>
    <n v="11"/>
    <n v="1566.59"/>
    <n v="0.15"/>
    <s v="Cust 5895"/>
    <s v="Anthony Garverick"/>
    <x v="3"/>
    <s v="Philadelphia"/>
    <s v="Pennsylvania"/>
    <x v="1"/>
  </r>
  <r>
    <s v="REG100148"/>
    <x v="19"/>
    <s v="Cust 5895"/>
    <x v="3"/>
    <n v="3005.9"/>
    <n v="15"/>
    <n v="901.77"/>
    <n v="0.05"/>
    <s v="Cust 5895"/>
    <s v="Anthony Garverick"/>
    <x v="3"/>
    <s v="Philadelphia"/>
    <s v="Pennsylvania"/>
    <x v="1"/>
  </r>
  <r>
    <s v="REG101255"/>
    <x v="363"/>
    <s v="Cust 9097"/>
    <x v="5"/>
    <n v="934.15"/>
    <n v="7"/>
    <n v="280.25"/>
    <n v="0.15"/>
    <s v="Cust 9097"/>
    <s v="Harold Pawlan"/>
    <x v="2"/>
    <s v="New York City"/>
    <s v="New York"/>
    <x v="0"/>
  </r>
  <r>
    <s v="REG100412"/>
    <x v="99"/>
    <s v="Cust 9097"/>
    <x v="0"/>
    <n v="596.16"/>
    <n v="4"/>
    <n v="178.85"/>
    <n v="0.15"/>
    <s v="Cust 9097"/>
    <s v="Harold Pawlan"/>
    <x v="2"/>
    <s v="New York City"/>
    <s v="New York"/>
    <x v="0"/>
  </r>
  <r>
    <s v="REG100413"/>
    <x v="364"/>
    <s v="Cust 5938"/>
    <x v="0"/>
    <n v="9095.8700000000008"/>
    <n v="19"/>
    <n v="2728.76"/>
    <n v="0"/>
    <s v="Cust 5938"/>
    <s v="Dave Kipp"/>
    <x v="1"/>
    <s v="Springfield"/>
    <s v="Virginia"/>
    <x v="0"/>
  </r>
  <r>
    <s v="REG100414"/>
    <x v="294"/>
    <s v="Cust 6928"/>
    <x v="2"/>
    <n v="1552.87"/>
    <n v="5"/>
    <n v="465.86"/>
    <n v="0.15"/>
    <s v="Cust 6928"/>
    <s v="Gary Zandusky"/>
    <x v="0"/>
    <s v="San Francisco"/>
    <s v="California"/>
    <x v="2"/>
  </r>
  <r>
    <s v="REG100415"/>
    <x v="365"/>
    <s v="Cust 6223"/>
    <x v="2"/>
    <n v="3377.31"/>
    <n v="10"/>
    <n v="1013.19"/>
    <n v="0.15"/>
    <s v="Cust 6223"/>
    <s v="Peter McVee"/>
    <x v="1"/>
    <s v="Detroit"/>
    <s v="Michigan"/>
    <x v="2"/>
  </r>
  <r>
    <s v="REG100416"/>
    <x v="62"/>
    <s v="Cust 7614"/>
    <x v="3"/>
    <n v="3687.45"/>
    <n v="17"/>
    <n v="1106.24"/>
    <n v="0.1"/>
    <s v="Cust 7614"/>
    <s v="Lauren Leatherbury"/>
    <x v="3"/>
    <s v="Rochester"/>
    <s v="New York"/>
    <x v="2"/>
  </r>
  <r>
    <s v="REG100417"/>
    <x v="366"/>
    <s v="Cust 3231"/>
    <x v="2"/>
    <n v="1397.4"/>
    <n v="17"/>
    <n v="419.22"/>
    <n v="0"/>
    <s v="Cust 3231"/>
    <s v="Jill Stevenson"/>
    <x v="4"/>
    <s v="Los Angeles"/>
    <s v="California"/>
    <x v="0"/>
  </r>
  <r>
    <s v="REG100418"/>
    <x v="367"/>
    <s v="Cust 9123"/>
    <x v="5"/>
    <n v="2459.09"/>
    <n v="16"/>
    <n v="737.73"/>
    <n v="0.1"/>
    <s v="Cust 9123"/>
    <s v="Olvera Toch"/>
    <x v="4"/>
    <s v="San Diego"/>
    <s v="California"/>
    <x v="2"/>
  </r>
  <r>
    <s v="REG100569"/>
    <x v="243"/>
    <s v="Cust 7054"/>
    <x v="2"/>
    <n v="1507.83"/>
    <n v="11"/>
    <n v="452.35"/>
    <n v="0.05"/>
    <s v="Cust 7054"/>
    <s v="Ed Ludwig"/>
    <x v="3"/>
    <s v="Columbia"/>
    <s v="Maryland"/>
    <x v="2"/>
  </r>
  <r>
    <s v="REG100419"/>
    <x v="368"/>
    <s v="Cust 7054"/>
    <x v="5"/>
    <n v="6.97"/>
    <n v="1"/>
    <n v="2.09"/>
    <n v="0.15"/>
    <s v="Cust 7054"/>
    <s v="Ed Ludwig"/>
    <x v="3"/>
    <s v="Columbia"/>
    <s v="Maryland"/>
    <x v="2"/>
  </r>
  <r>
    <s v="REG100807"/>
    <x v="0"/>
    <s v="Cust 4240"/>
    <x v="4"/>
    <n v="8145.28"/>
    <n v="16"/>
    <n v="2443.58"/>
    <n v="0"/>
    <s v="Cust 4240"/>
    <s v="Cyma Kinney"/>
    <x v="2"/>
    <s v="San Francisco"/>
    <s v="California"/>
    <x v="0"/>
  </r>
  <r>
    <s v="REG100420"/>
    <x v="369"/>
    <s v="Cust 4240"/>
    <x v="0"/>
    <n v="4598.42"/>
    <n v="12"/>
    <n v="1379.53"/>
    <n v="0.1"/>
    <s v="Cust 4240"/>
    <s v="Cyma Kinney"/>
    <x v="2"/>
    <s v="San Francisco"/>
    <s v="California"/>
    <x v="0"/>
  </r>
  <r>
    <s v="REG100421"/>
    <x v="314"/>
    <s v="Cust 1237"/>
    <x v="4"/>
    <n v="2180.52"/>
    <n v="20"/>
    <n v="654.16"/>
    <n v="0.1"/>
    <s v="Cust 1237"/>
    <s v="Jeremy Ellison"/>
    <x v="1"/>
    <s v="New Rochelle"/>
    <s v="New York"/>
    <x v="0"/>
  </r>
  <r>
    <s v="REG100422"/>
    <x v="370"/>
    <s v="Cust 5513"/>
    <x v="6"/>
    <n v="8514.4699999999993"/>
    <n v="19"/>
    <n v="2554.34"/>
    <n v="0"/>
    <s v="Cust 5513"/>
    <s v="Tracy Hopkins"/>
    <x v="4"/>
    <s v="Detroit"/>
    <s v="Michigan"/>
    <x v="0"/>
  </r>
  <r>
    <s v="REG100423"/>
    <x v="371"/>
    <s v="Cust 1835"/>
    <x v="0"/>
    <n v="56.23"/>
    <n v="8"/>
    <n v="16.87"/>
    <n v="0.1"/>
    <s v="Cust 1835"/>
    <s v="Pamela Coakley"/>
    <x v="1"/>
    <s v="San Francisco"/>
    <s v="California"/>
    <x v="0"/>
  </r>
  <r>
    <s v="REG101033"/>
    <x v="366"/>
    <s v="Cust 8492"/>
    <x v="6"/>
    <n v="1836.62"/>
    <n v="16"/>
    <n v="550.98"/>
    <n v="0.05"/>
    <s v="Cust 8492"/>
    <s v="Hunter Lopez"/>
    <x v="0"/>
    <s v="Houston"/>
    <s v="Texas"/>
    <x v="0"/>
  </r>
  <r>
    <s v="REG100424"/>
    <x v="372"/>
    <s v="Cust 8492"/>
    <x v="3"/>
    <n v="3091.76"/>
    <n v="19"/>
    <n v="927.53"/>
    <n v="0.15"/>
    <s v="Cust 8492"/>
    <s v="Hunter Lopez"/>
    <x v="0"/>
    <s v="Houston"/>
    <s v="Texas"/>
    <x v="0"/>
  </r>
  <r>
    <s v="REG100425"/>
    <x v="373"/>
    <s v="Cust 2451"/>
    <x v="2"/>
    <n v="1042.0999999999999"/>
    <n v="5"/>
    <n v="312.63"/>
    <n v="0.15"/>
    <s v="Cust 2451"/>
    <s v="Maribeth Schnelling"/>
    <x v="4"/>
    <s v="Detroit"/>
    <s v="Michigan"/>
    <x v="0"/>
  </r>
  <r>
    <s v="REG100426"/>
    <x v="319"/>
    <s v="Cust 4509"/>
    <x v="2"/>
    <n v="2360.6999999999998"/>
    <n v="17"/>
    <n v="708.21"/>
    <n v="0.15"/>
    <s v="Cust 4509"/>
    <s v="George Bell"/>
    <x v="2"/>
    <s v="Auburn"/>
    <s v="New York"/>
    <x v="0"/>
  </r>
  <r>
    <s v="REG100427"/>
    <x v="374"/>
    <s v="Cust 6643"/>
    <x v="6"/>
    <n v="8175.44"/>
    <n v="14"/>
    <n v="2452.63"/>
    <n v="0"/>
    <s v="Cust 6643"/>
    <s v="Justin Ritter"/>
    <x v="1"/>
    <s v="Springfield"/>
    <s v="Ohio"/>
    <x v="1"/>
  </r>
  <r>
    <s v="REG100428"/>
    <x v="352"/>
    <s v="Cust 2559"/>
    <x v="2"/>
    <n v="2607.5500000000002"/>
    <n v="16"/>
    <n v="782.27"/>
    <n v="0.1"/>
    <s v="Cust 2559"/>
    <s v="Tamara Dahlen"/>
    <x v="2"/>
    <s v="Garland"/>
    <s v="Texas"/>
    <x v="1"/>
  </r>
  <r>
    <s v="REG100429"/>
    <x v="375"/>
    <s v="Cust 4423"/>
    <x v="6"/>
    <n v="3319.52"/>
    <n v="8"/>
    <n v="995.86"/>
    <n v="0"/>
    <s v="Cust 4423"/>
    <s v="Dave Brooks"/>
    <x v="1"/>
    <s v="Chicago"/>
    <s v="Illinois"/>
    <x v="1"/>
  </r>
  <r>
    <s v="REG100430"/>
    <x v="376"/>
    <s v="Cust 9139"/>
    <x v="1"/>
    <n v="7075.52"/>
    <n v="16"/>
    <n v="2122.66"/>
    <n v="0"/>
    <s v="Cust 9139"/>
    <s v="Logan Currie"/>
    <x v="3"/>
    <s v="Los Angeles"/>
    <s v="California"/>
    <x v="1"/>
  </r>
  <r>
    <s v="REG100431"/>
    <x v="377"/>
    <s v="Cust 6668"/>
    <x v="4"/>
    <n v="7501.91"/>
    <n v="14"/>
    <n v="2250.5700000000002"/>
    <n v="0.1"/>
    <s v="Cust 6668"/>
    <s v="Patrick O'Donnell"/>
    <x v="3"/>
    <s v="New York City"/>
    <s v="New York"/>
    <x v="1"/>
  </r>
  <r>
    <s v="REG100432"/>
    <x v="268"/>
    <s v="Cust 4315"/>
    <x v="5"/>
    <n v="894.03"/>
    <n v="6"/>
    <n v="268.20999999999998"/>
    <n v="0.15"/>
    <s v="Cust 4315"/>
    <s v="Bill Eplett"/>
    <x v="3"/>
    <s v="Jackson"/>
    <s v="Michigan"/>
    <x v="1"/>
  </r>
  <r>
    <s v="REG100433"/>
    <x v="306"/>
    <s v="Cust 8000"/>
    <x v="6"/>
    <n v="1901.56"/>
    <n v="7"/>
    <n v="570.47"/>
    <n v="0.15"/>
    <s v="Cust 8000"/>
    <s v="Sample Company A"/>
    <x v="3"/>
    <s v="Norwich"/>
    <s v="Connecticut"/>
    <x v="0"/>
  </r>
  <r>
    <s v="REG100434"/>
    <x v="378"/>
    <s v="Cust 7585"/>
    <x v="4"/>
    <n v="6461.83"/>
    <n v="15"/>
    <n v="1938.55"/>
    <n v="0.15"/>
    <s v="Cust 7585"/>
    <s v="Brian Moss"/>
    <x v="0"/>
    <s v="Milwaukee"/>
    <s v="Wisconsin"/>
    <x v="0"/>
  </r>
  <r>
    <s v="REG100435"/>
    <x v="379"/>
    <s v="Cust 3127"/>
    <x v="0"/>
    <n v="8689.99"/>
    <n v="17"/>
    <n v="2607"/>
    <n v="0.05"/>
    <s v="Cust 3127"/>
    <s v="Kelly Lampkin"/>
    <x v="3"/>
    <s v="San Antonio"/>
    <s v="Texas"/>
    <x v="0"/>
  </r>
  <r>
    <s v="REG100436"/>
    <x v="380"/>
    <s v="Cust 4130"/>
    <x v="3"/>
    <n v="3005.44"/>
    <n v="16"/>
    <n v="901.63"/>
    <n v="0"/>
    <s v="Cust 4130"/>
    <s v="Rob Williams"/>
    <x v="1"/>
    <s v="Dallas"/>
    <s v="Texas"/>
    <x v="0"/>
  </r>
  <r>
    <s v="REG100437"/>
    <x v="381"/>
    <s v="Cust 6956"/>
    <x v="0"/>
    <n v="6522.39"/>
    <n v="18"/>
    <n v="1956.72"/>
    <n v="0.15"/>
    <s v="Cust 6956"/>
    <s v="Roy Collins"/>
    <x v="1"/>
    <s v="Alexandria"/>
    <s v="Virginia"/>
    <x v="0"/>
  </r>
  <r>
    <s v="REG100438"/>
    <x v="382"/>
    <s v="Cust 8155"/>
    <x v="2"/>
    <n v="448.52"/>
    <n v="1"/>
    <n v="134.55000000000001"/>
    <n v="0.1"/>
    <s v="Cust 8155"/>
    <s v="Sanjit Engle"/>
    <x v="0"/>
    <s v="New York City"/>
    <s v="New York"/>
    <x v="0"/>
  </r>
  <r>
    <s v="REG100439"/>
    <x v="383"/>
    <s v="Cust 8852"/>
    <x v="6"/>
    <n v="6962.25"/>
    <n v="19"/>
    <n v="2088.67"/>
    <n v="0.05"/>
    <s v="Cust 8852"/>
    <s v="Adam Hart"/>
    <x v="2"/>
    <s v="New York City"/>
    <s v="New York"/>
    <x v="0"/>
  </r>
  <r>
    <s v="REG100440"/>
    <x v="384"/>
    <s v="Cust 2850"/>
    <x v="6"/>
    <n v="146.80000000000001"/>
    <n v="3"/>
    <n v="44.04"/>
    <n v="0.1"/>
    <s v="Cust 2850"/>
    <s v="Jessica Myrick"/>
    <x v="4"/>
    <s v="Philadelphia"/>
    <s v="Pennsylvania"/>
    <x v="0"/>
  </r>
  <r>
    <s v="REG100441"/>
    <x v="385"/>
    <s v="Cust 9572"/>
    <x v="1"/>
    <n v="2405.87"/>
    <n v="6"/>
    <n v="721.76"/>
    <n v="0.15"/>
    <s v="Cust 9572"/>
    <s v="Joel Jenkins"/>
    <x v="0"/>
    <s v="Springfield"/>
    <s v="Virginia"/>
    <x v="0"/>
  </r>
  <r>
    <s v="REG100442"/>
    <x v="346"/>
    <s v="Cust 6253"/>
    <x v="4"/>
    <n v="5205.3100000000004"/>
    <n v="19"/>
    <n v="1561.59"/>
    <n v="0.15"/>
    <s v="Cust 6253"/>
    <s v="Alan Barnes"/>
    <x v="3"/>
    <s v="Toledo"/>
    <s v="Ohio"/>
    <x v="2"/>
  </r>
  <r>
    <s v="REG100443"/>
    <x v="386"/>
    <s v="Cust 4154"/>
    <x v="6"/>
    <n v="1355.56"/>
    <n v="13"/>
    <n v="406.67"/>
    <n v="0.1"/>
    <s v="Cust 4154"/>
    <s v="Ralph Kennedy"/>
    <x v="2"/>
    <s v="Philadelphia"/>
    <s v="Pennsylvania"/>
    <x v="2"/>
  </r>
  <r>
    <s v="REG101052"/>
    <x v="387"/>
    <s v="Cust 2137"/>
    <x v="6"/>
    <n v="7216.58"/>
    <n v="14"/>
    <n v="2164.9699999999998"/>
    <n v="0.05"/>
    <s v="Cust 2137"/>
    <s v="Catherine Glotzbach"/>
    <x v="0"/>
    <s v="Philadelphia"/>
    <s v="Pennsylvania"/>
    <x v="2"/>
  </r>
  <r>
    <s v="REG100444"/>
    <x v="288"/>
    <s v="Cust 2137"/>
    <x v="6"/>
    <n v="6451.81"/>
    <n v="18"/>
    <n v="1935.54"/>
    <n v="0.1"/>
    <s v="Cust 2137"/>
    <s v="Catherine Glotzbach"/>
    <x v="0"/>
    <s v="Philadelphia"/>
    <s v="Pennsylvania"/>
    <x v="2"/>
  </r>
  <r>
    <s v="REG100445"/>
    <x v="388"/>
    <s v="Cust 8157"/>
    <x v="3"/>
    <n v="2105.2800000000002"/>
    <n v="4"/>
    <n v="631.58000000000004"/>
    <n v="0.1"/>
    <s v="Cust 8157"/>
    <s v="Ruben Ausman"/>
    <x v="0"/>
    <s v="Farmington"/>
    <s v="New Mexico"/>
    <x v="0"/>
  </r>
  <r>
    <s v="REG100446"/>
    <x v="305"/>
    <s v="Cust 4861"/>
    <x v="4"/>
    <n v="7219.9"/>
    <n v="20"/>
    <n v="2165.9699999999998"/>
    <n v="0.15"/>
    <s v="Cust 4861"/>
    <s v="Rachel Payne"/>
    <x v="4"/>
    <s v="Riverside"/>
    <s v="California"/>
    <x v="0"/>
  </r>
  <r>
    <s v="REG100447"/>
    <x v="389"/>
    <s v="Cust 7493"/>
    <x v="3"/>
    <n v="2580.77"/>
    <n v="16"/>
    <n v="774.23"/>
    <n v="0.1"/>
    <s v="Cust 7493"/>
    <s v="Karen Carlisle"/>
    <x v="3"/>
    <s v="San Francisco"/>
    <s v="California"/>
    <x v="0"/>
  </r>
  <r>
    <s v="REG100448"/>
    <x v="390"/>
    <s v="Cust 7073"/>
    <x v="0"/>
    <n v="1783.92"/>
    <n v="12"/>
    <n v="535.17999999999995"/>
    <n v="0"/>
    <s v="Cust 7073"/>
    <s v="Rob Williams"/>
    <x v="0"/>
    <s v="Torrance"/>
    <s v="California"/>
    <x v="1"/>
  </r>
  <r>
    <s v="REG100780"/>
    <x v="256"/>
    <s v="Cust 9085"/>
    <x v="5"/>
    <n v="744.05"/>
    <n v="2"/>
    <n v="223.21"/>
    <n v="0.1"/>
    <s v="Cust 9085"/>
    <s v="John Lucas"/>
    <x v="3"/>
    <s v="Seattle"/>
    <s v="Washington"/>
    <x v="0"/>
  </r>
  <r>
    <s v="REG100449"/>
    <x v="391"/>
    <s v="Cust 9085"/>
    <x v="1"/>
    <n v="6261.85"/>
    <n v="16"/>
    <n v="1878.55"/>
    <n v="0.15"/>
    <s v="Cust 9085"/>
    <s v="John Lucas"/>
    <x v="3"/>
    <s v="Seattle"/>
    <s v="Washington"/>
    <x v="0"/>
  </r>
  <r>
    <s v="REG100450"/>
    <x v="30"/>
    <s v="Cust 3247"/>
    <x v="6"/>
    <n v="1588.26"/>
    <n v="5"/>
    <n v="476.48"/>
    <n v="0.05"/>
    <s v="Cust 3247"/>
    <s v="Cynthia Arntzen"/>
    <x v="0"/>
    <s v="Mesa"/>
    <s v="Arizona"/>
    <x v="0"/>
  </r>
  <r>
    <s v="REG100227"/>
    <x v="225"/>
    <s v="Cust 3247"/>
    <x v="4"/>
    <n v="5883.77"/>
    <n v="19"/>
    <n v="1765.13"/>
    <n v="0.15"/>
    <s v="Cust 3247"/>
    <s v="Cynthia Arntzen"/>
    <x v="0"/>
    <s v="Mesa"/>
    <s v="Arizona"/>
    <x v="2"/>
  </r>
  <r>
    <s v="REG100451"/>
    <x v="141"/>
    <s v="Cust 8504"/>
    <x v="5"/>
    <n v="1529.29"/>
    <n v="3"/>
    <n v="458.79"/>
    <n v="0.15"/>
    <s v="Cust 8504"/>
    <s v="Ross Baird"/>
    <x v="4"/>
    <s v="Philadelphia"/>
    <s v="Pennsylvania"/>
    <x v="2"/>
  </r>
  <r>
    <s v="REG100452"/>
    <x v="392"/>
    <s v="Cust 4164"/>
    <x v="5"/>
    <n v="4288.24"/>
    <n v="11"/>
    <n v="1286.47"/>
    <n v="0"/>
    <s v="Cust 4164"/>
    <s v="Katherine Hughes"/>
    <x v="4"/>
    <s v="Philadelphia"/>
    <s v="Pennsylvania"/>
    <x v="0"/>
  </r>
  <r>
    <s v="REG100453"/>
    <x v="393"/>
    <s v="Cust 9592"/>
    <x v="3"/>
    <n v="4412.93"/>
    <n v="11"/>
    <n v="1323.88"/>
    <n v="0.1"/>
    <s v="Cust 9592"/>
    <s v="Greg Hansen"/>
    <x v="0"/>
    <s v="Round Rock"/>
    <s v="Texas"/>
    <x v="0"/>
  </r>
  <r>
    <s v="REG100454"/>
    <x v="394"/>
    <s v="Cust 7450"/>
    <x v="0"/>
    <n v="1481.65"/>
    <n v="18"/>
    <n v="444.5"/>
    <n v="0.15"/>
    <s v="Cust 7450"/>
    <s v="Scott Williamson"/>
    <x v="1"/>
    <s v="Jackson"/>
    <s v="Mississippi"/>
    <x v="0"/>
  </r>
  <r>
    <s v="REG100455"/>
    <x v="25"/>
    <s v="Cust 4186"/>
    <x v="3"/>
    <n v="475.48"/>
    <n v="1"/>
    <n v="142.63999999999999"/>
    <n v="0.1"/>
    <s v="Cust 4186"/>
    <s v="Joseph Airdo"/>
    <x v="3"/>
    <s v="Phoenix"/>
    <s v="Arizona"/>
    <x v="1"/>
  </r>
  <r>
    <s v="REG100021"/>
    <x v="26"/>
    <s v="Cust 4186"/>
    <x v="3"/>
    <n v="4160.1099999999997"/>
    <n v="14"/>
    <n v="1248.03"/>
    <n v="0.05"/>
    <s v="Cust 4186"/>
    <s v="Joseph Airdo"/>
    <x v="3"/>
    <s v="Phoenix"/>
    <s v="Arizona"/>
    <x v="0"/>
  </r>
  <r>
    <s v="REG100456"/>
    <x v="395"/>
    <s v="Cust 3305"/>
    <x v="5"/>
    <n v="1024.48"/>
    <n v="16"/>
    <n v="307.33999999999997"/>
    <n v="0"/>
    <s v="Cust 3305"/>
    <s v="Daniel Lacy"/>
    <x v="2"/>
    <s v="Oceanside"/>
    <s v="California"/>
    <x v="0"/>
  </r>
  <r>
    <s v="REG100457"/>
    <x v="381"/>
    <s v="Cust 9768"/>
    <x v="4"/>
    <n v="2215.2199999999998"/>
    <n v="13"/>
    <n v="664.57"/>
    <n v="0.05"/>
    <s v="Cust 9768"/>
    <s v="Lindsay Williams"/>
    <x v="2"/>
    <s v="San Francisco"/>
    <s v="California"/>
    <x v="0"/>
  </r>
  <r>
    <s v="REG100458"/>
    <x v="24"/>
    <s v="Cust 1179"/>
    <x v="4"/>
    <n v="9331.85"/>
    <n v="19"/>
    <n v="2799.56"/>
    <n v="0"/>
    <s v="Cust 1179"/>
    <s v="Thomas Brumley"/>
    <x v="0"/>
    <s v="Fayetteville"/>
    <s v="Arkansas"/>
    <x v="0"/>
  </r>
  <r>
    <s v="REG100492"/>
    <x v="396"/>
    <s v="Cust 2546"/>
    <x v="3"/>
    <n v="1409.04"/>
    <n v="6"/>
    <n v="422.71"/>
    <n v="0.05"/>
    <s v="Cust 2546"/>
    <s v="Cynthia Voltz"/>
    <x v="2"/>
    <s v="San Francisco"/>
    <s v="California"/>
    <x v="0"/>
  </r>
  <r>
    <s v="REG100459"/>
    <x v="397"/>
    <s v="Cust 2546"/>
    <x v="4"/>
    <n v="1801.7"/>
    <n v="5"/>
    <n v="540.51"/>
    <n v="0"/>
    <s v="Cust 2546"/>
    <s v="Cynthia Voltz"/>
    <x v="2"/>
    <s v="San Francisco"/>
    <s v="California"/>
    <x v="2"/>
  </r>
  <r>
    <s v="REG100460"/>
    <x v="398"/>
    <s v="Cust 2672"/>
    <x v="0"/>
    <n v="5342.4"/>
    <n v="20"/>
    <n v="1602.72"/>
    <n v="0.1"/>
    <s v="Cust 2672"/>
    <s v="Maribeth Schnelling"/>
    <x v="1"/>
    <s v="Boca Raton"/>
    <s v="Florida"/>
    <x v="0"/>
  </r>
  <r>
    <s v="REG100461"/>
    <x v="250"/>
    <s v="Cust 3394"/>
    <x v="2"/>
    <n v="1618.43"/>
    <n v="3"/>
    <n v="485.53"/>
    <n v="0.1"/>
    <s v="Cust 3394"/>
    <s v="Bryan Spruell"/>
    <x v="1"/>
    <s v="New York City"/>
    <s v="New York"/>
    <x v="0"/>
  </r>
  <r>
    <s v="REG100462"/>
    <x v="399"/>
    <s v="Cust 1649"/>
    <x v="0"/>
    <n v="374.33"/>
    <n v="1"/>
    <n v="112.3"/>
    <n v="0"/>
    <s v="Cust 1649"/>
    <s v="Delfina Latchford"/>
    <x v="4"/>
    <s v="Philadelphia"/>
    <s v="Pennsylvania"/>
    <x v="0"/>
  </r>
  <r>
    <s v="REG100463"/>
    <x v="56"/>
    <s v="Cust 6994"/>
    <x v="2"/>
    <n v="6506.24"/>
    <n v="13"/>
    <n v="1951.87"/>
    <n v="0.15"/>
    <s v="Cust 6994"/>
    <s v="Phillina Ober"/>
    <x v="2"/>
    <s v="New York City"/>
    <s v="New York"/>
    <x v="1"/>
  </r>
  <r>
    <s v="REG100464"/>
    <x v="400"/>
    <s v="Cust 9879"/>
    <x v="5"/>
    <n v="2579.7199999999998"/>
    <n v="13"/>
    <n v="773.92"/>
    <n v="0"/>
    <s v="Cust 9879"/>
    <s v="Tamara Dahlen"/>
    <x v="4"/>
    <s v="Portland"/>
    <s v="Oregon"/>
    <x v="0"/>
  </r>
  <r>
    <s v="REG100465"/>
    <x v="15"/>
    <s v="Cust 9069"/>
    <x v="4"/>
    <n v="4610.3999999999996"/>
    <n v="12"/>
    <n v="1383.12"/>
    <n v="0"/>
    <s v="Cust 9069"/>
    <s v="Bart Watters"/>
    <x v="1"/>
    <s v="Detroit"/>
    <s v="Michigan"/>
    <x v="0"/>
  </r>
  <r>
    <s v="REG100308"/>
    <x v="7"/>
    <s v="Cust 9069"/>
    <x v="6"/>
    <n v="126.2"/>
    <n v="9"/>
    <n v="37.86"/>
    <n v="0.1"/>
    <s v="Cust 9069"/>
    <s v="Bart Watters"/>
    <x v="1"/>
    <s v="Detroit"/>
    <s v="Michigan"/>
    <x v="0"/>
  </r>
  <r>
    <s v="REG100466"/>
    <x v="401"/>
    <s v="Cust 3712"/>
    <x v="1"/>
    <n v="1616.67"/>
    <n v="4"/>
    <n v="485"/>
    <n v="0.15"/>
    <s v="Cust 3712"/>
    <s v="Robert Waldorf"/>
    <x v="3"/>
    <s v="Wilmington"/>
    <s v="North Carolina"/>
    <x v="0"/>
  </r>
  <r>
    <s v="REG101008"/>
    <x v="402"/>
    <s v="Cust 3829"/>
    <x v="4"/>
    <n v="7664.39"/>
    <n v="19"/>
    <n v="2299.3200000000002"/>
    <n v="0.1"/>
    <s v="Cust 3829"/>
    <s v="Ken Brennan"/>
    <x v="4"/>
    <s v="Columbus"/>
    <s v="Indiana"/>
    <x v="2"/>
  </r>
  <r>
    <s v="REG100467"/>
    <x v="403"/>
    <s v="Cust 3829"/>
    <x v="4"/>
    <n v="1096.04"/>
    <n v="6"/>
    <n v="328.81"/>
    <n v="0.1"/>
    <s v="Cust 3829"/>
    <s v="Ken Brennan"/>
    <x v="4"/>
    <s v="Columbus"/>
    <s v="Indiana"/>
    <x v="2"/>
  </r>
  <r>
    <s v="REG100468"/>
    <x v="404"/>
    <s v="Cust 1623"/>
    <x v="6"/>
    <n v="2434.14"/>
    <n v="18"/>
    <n v="730.24"/>
    <n v="0"/>
    <s v="Cust 1623"/>
    <s v="Emily Burns"/>
    <x v="3"/>
    <s v="New York City"/>
    <s v="New York"/>
    <x v="1"/>
  </r>
  <r>
    <s v="REG100469"/>
    <x v="191"/>
    <s v="Cust 3532"/>
    <x v="6"/>
    <n v="6771.6"/>
    <n v="20"/>
    <n v="2031.48"/>
    <n v="0.05"/>
    <s v="Cust 3532"/>
    <s v="Tracy Zic"/>
    <x v="1"/>
    <s v="Louisville"/>
    <s v="Colorado"/>
    <x v="1"/>
  </r>
  <r>
    <s v="REG100470"/>
    <x v="405"/>
    <s v="Cust 4712"/>
    <x v="0"/>
    <n v="839.95"/>
    <n v="3"/>
    <n v="251.99"/>
    <n v="0.05"/>
    <s v="Cust 4712"/>
    <s v="Ann Steele"/>
    <x v="0"/>
    <s v="Pasadena"/>
    <s v="Texas"/>
    <x v="1"/>
  </r>
  <r>
    <s v="REG100471"/>
    <x v="406"/>
    <s v="Cust 6211"/>
    <x v="1"/>
    <n v="11077"/>
    <n v="20"/>
    <n v="3323.1"/>
    <n v="0"/>
    <s v="Cust 6211"/>
    <s v="Toby Swindell"/>
    <x v="4"/>
    <s v="Houston"/>
    <s v="Texas"/>
    <x v="0"/>
  </r>
  <r>
    <s v="REG101411"/>
    <x v="407"/>
    <s v="Cust 1222"/>
    <x v="3"/>
    <n v="2939.38"/>
    <n v="6"/>
    <n v="881.81"/>
    <n v="0.1"/>
    <s v="Cust 1222"/>
    <s v="John Grady"/>
    <x v="3"/>
    <s v="Auburn"/>
    <s v="New York"/>
    <x v="0"/>
  </r>
  <r>
    <s v="REG100472"/>
    <x v="408"/>
    <s v="Cust 1222"/>
    <x v="6"/>
    <n v="949.69"/>
    <n v="13"/>
    <n v="284.91000000000003"/>
    <n v="0.1"/>
    <s v="Cust 1222"/>
    <s v="John Grady"/>
    <x v="3"/>
    <s v="Auburn"/>
    <s v="New York"/>
    <x v="0"/>
  </r>
  <r>
    <s v="REG100473"/>
    <x v="235"/>
    <s v="Cust 6208"/>
    <x v="1"/>
    <n v="1065.02"/>
    <n v="2"/>
    <n v="319.51"/>
    <n v="0"/>
    <s v="Cust 6208"/>
    <s v="Sara Luxemburg"/>
    <x v="4"/>
    <s v="Jacksonville"/>
    <s v="Florida"/>
    <x v="1"/>
  </r>
  <r>
    <s v="REG100474"/>
    <x v="409"/>
    <s v="Cust 5942"/>
    <x v="4"/>
    <n v="241.37"/>
    <n v="1"/>
    <n v="72.41"/>
    <n v="0.1"/>
    <s v="Cust 5942"/>
    <s v="Troy Staebel"/>
    <x v="4"/>
    <s v="New York City"/>
    <s v="New York"/>
    <x v="0"/>
  </r>
  <r>
    <s v="REG100475"/>
    <x v="387"/>
    <s v="Cust 1745"/>
    <x v="4"/>
    <n v="6251.79"/>
    <n v="17"/>
    <n v="1875.54"/>
    <n v="0.15"/>
    <s v="Cust 1745"/>
    <s v="Roland Fjeld"/>
    <x v="1"/>
    <s v="San Jose"/>
    <s v="California"/>
    <x v="0"/>
  </r>
  <r>
    <s v="REG100476"/>
    <x v="281"/>
    <s v="Cust 2679"/>
    <x v="2"/>
    <n v="1550.3"/>
    <n v="14"/>
    <n v="465.09"/>
    <n v="0.1"/>
    <s v="Cust 2679"/>
    <s v="Mitch Willingham"/>
    <x v="0"/>
    <s v="Virginia Beach"/>
    <s v="Virginia"/>
    <x v="0"/>
  </r>
  <r>
    <s v="REG100477"/>
    <x v="410"/>
    <s v="Cust 9907"/>
    <x v="2"/>
    <n v="6545.38"/>
    <n v="16"/>
    <n v="1963.61"/>
    <n v="0.1"/>
    <s v="Cust 9907"/>
    <s v="Rob Dowd"/>
    <x v="3"/>
    <s v="Henderson"/>
    <s v="Kentucky"/>
    <x v="0"/>
  </r>
  <r>
    <s v="REG100478"/>
    <x v="160"/>
    <s v="Cust 5750"/>
    <x v="5"/>
    <n v="4332.3599999999997"/>
    <n v="11"/>
    <n v="1299.71"/>
    <n v="0.05"/>
    <s v="Cust 5750"/>
    <s v="Frank Merwin"/>
    <x v="3"/>
    <s v="Vancouver"/>
    <s v="Washington"/>
    <x v="0"/>
  </r>
  <r>
    <s v="REG100151"/>
    <x v="72"/>
    <s v="Cust 5750"/>
    <x v="6"/>
    <n v="1129.95"/>
    <n v="5"/>
    <n v="338.99"/>
    <n v="0"/>
    <s v="Cust 5750"/>
    <s v="Frank Merwin"/>
    <x v="3"/>
    <s v="Vancouver"/>
    <s v="Washington"/>
    <x v="0"/>
  </r>
  <r>
    <s v="REG100479"/>
    <x v="31"/>
    <s v="Cust 5717"/>
    <x v="1"/>
    <n v="2858.57"/>
    <n v="9"/>
    <n v="857.57"/>
    <n v="0.1"/>
    <s v="Cust 5717"/>
    <s v="Rick Hansen"/>
    <x v="0"/>
    <s v="New York City"/>
    <s v="New York"/>
    <x v="0"/>
  </r>
  <r>
    <s v="REG100480"/>
    <x v="411"/>
    <s v="Cust 7995"/>
    <x v="3"/>
    <n v="1138.1400000000001"/>
    <n v="10"/>
    <n v="341.44"/>
    <n v="0.1"/>
    <s v="Cust 7995"/>
    <s v="Ryan Akin"/>
    <x v="2"/>
    <s v="Murrieta"/>
    <s v="California"/>
    <x v="0"/>
  </r>
  <r>
    <s v="REG100481"/>
    <x v="412"/>
    <s v="Cust 5572"/>
    <x v="5"/>
    <n v="875.14"/>
    <n v="7"/>
    <n v="262.54000000000002"/>
    <n v="0"/>
    <s v="Cust 5572"/>
    <s v="Joe Kamberova"/>
    <x v="2"/>
    <s v="Jacksonville"/>
    <s v="North Carolina"/>
    <x v="0"/>
  </r>
  <r>
    <s v="REG100482"/>
    <x v="154"/>
    <s v="Cust 1721"/>
    <x v="6"/>
    <n v="6977.56"/>
    <n v="20"/>
    <n v="2093.27"/>
    <n v="0.05"/>
    <s v="Cust 1721"/>
    <s v="Meg Tillman"/>
    <x v="4"/>
    <s v="Scottsdale"/>
    <s v="Arizona"/>
    <x v="0"/>
  </r>
  <r>
    <s v="REG101318"/>
    <x v="351"/>
    <s v="Cust 2641"/>
    <x v="5"/>
    <n v="3752.64"/>
    <n v="12"/>
    <n v="1125.79"/>
    <n v="0"/>
    <s v="Cust 2641"/>
    <s v="Patrick O'Brill"/>
    <x v="4"/>
    <s v="Burlington"/>
    <s v="Iowa"/>
    <x v="0"/>
  </r>
  <r>
    <s v="REG100483"/>
    <x v="413"/>
    <s v="Cust 2641"/>
    <x v="5"/>
    <n v="3456.96"/>
    <n v="8"/>
    <n v="1037.0899999999999"/>
    <n v="0"/>
    <s v="Cust 2641"/>
    <s v="Patrick O'Brill"/>
    <x v="4"/>
    <s v="Burlington"/>
    <s v="Iowa"/>
    <x v="1"/>
  </r>
  <r>
    <s v="REG100484"/>
    <x v="59"/>
    <s v="Cust 9769"/>
    <x v="6"/>
    <n v="35.99"/>
    <n v="3"/>
    <n v="10.8"/>
    <n v="0.1"/>
    <s v="Cust 9769"/>
    <s v="Annie Thurman"/>
    <x v="2"/>
    <s v="Chicago"/>
    <s v="Illinois"/>
    <x v="1"/>
  </r>
  <r>
    <s v="REG100485"/>
    <x v="414"/>
    <s v="Cust 1718"/>
    <x v="4"/>
    <n v="1377.09"/>
    <n v="13"/>
    <n v="413.13"/>
    <n v="0"/>
    <s v="Cust 1718"/>
    <s v="Vivek Gonzalez"/>
    <x v="0"/>
    <s v="San Diego"/>
    <s v="California"/>
    <x v="1"/>
  </r>
  <r>
    <s v="REG100486"/>
    <x v="415"/>
    <s v="Cust 1210"/>
    <x v="5"/>
    <n v="10531"/>
    <n v="20"/>
    <n v="3159.3"/>
    <n v="0"/>
    <s v="Cust 1210"/>
    <s v="Philip Fox"/>
    <x v="4"/>
    <s v="Olympia"/>
    <s v="Washington"/>
    <x v="1"/>
  </r>
  <r>
    <s v="REG100487"/>
    <x v="416"/>
    <s v="Cust 7710"/>
    <x v="1"/>
    <n v="3550.7"/>
    <n v="11"/>
    <n v="1065.21"/>
    <n v="0.05"/>
    <s v="Cust 7710"/>
    <s v="John Stevenson"/>
    <x v="4"/>
    <s v="Seattle"/>
    <s v="Washington"/>
    <x v="0"/>
  </r>
  <r>
    <s v="REG100488"/>
    <x v="417"/>
    <s v="Cust 1428"/>
    <x v="0"/>
    <n v="779.88"/>
    <n v="10"/>
    <n v="233.96"/>
    <n v="0.15"/>
    <s v="Cust 1428"/>
    <s v="Meg O'Connel"/>
    <x v="0"/>
    <s v="Los Angeles"/>
    <s v="California"/>
    <x v="0"/>
  </r>
  <r>
    <s v="REG100489"/>
    <x v="64"/>
    <s v="Cust 2810"/>
    <x v="1"/>
    <n v="184.41"/>
    <n v="15"/>
    <n v="55.32"/>
    <n v="0.1"/>
    <s v="Cust 2810"/>
    <s v="Kalyca Meade"/>
    <x v="0"/>
    <s v="New York City"/>
    <s v="New York"/>
    <x v="0"/>
  </r>
  <r>
    <s v="REG100490"/>
    <x v="418"/>
    <s v="Cust 2234"/>
    <x v="2"/>
    <n v="800.44"/>
    <n v="6"/>
    <n v="240.13"/>
    <n v="0.1"/>
    <s v="Cust 2234"/>
    <s v="Greg Tran"/>
    <x v="4"/>
    <s v="Washington"/>
    <s v="District of Columbia"/>
    <x v="0"/>
  </r>
  <r>
    <s v="REG100491"/>
    <x v="419"/>
    <s v="Cust 9602"/>
    <x v="3"/>
    <n v="4628.53"/>
    <n v="11"/>
    <n v="1388.56"/>
    <n v="0.15"/>
    <s v="Cust 9602"/>
    <s v="Philip Brown"/>
    <x v="0"/>
    <s v="Philadelphia"/>
    <s v="Pennsylvania"/>
    <x v="0"/>
  </r>
  <r>
    <s v="REG100492"/>
    <x v="396"/>
    <s v="Cust 2546"/>
    <x v="3"/>
    <n v="1409.04"/>
    <n v="6"/>
    <n v="422.71"/>
    <n v="0.05"/>
    <s v="Cust 2546"/>
    <s v="Hallie Redmond"/>
    <x v="3"/>
    <s v="Los Angeles"/>
    <s v="California"/>
    <x v="0"/>
  </r>
  <r>
    <s v="REG100459"/>
    <x v="397"/>
    <s v="Cust 2546"/>
    <x v="4"/>
    <n v="1801.7"/>
    <n v="5"/>
    <n v="540.51"/>
    <n v="0"/>
    <s v="Cust 2546"/>
    <s v="Hallie Redmond"/>
    <x v="3"/>
    <s v="Los Angeles"/>
    <s v="California"/>
    <x v="0"/>
  </r>
  <r>
    <s v="REG100493"/>
    <x v="10"/>
    <s v="Cust 5032"/>
    <x v="6"/>
    <n v="3744.47"/>
    <n v="19"/>
    <n v="1123.3399999999999"/>
    <n v="0.05"/>
    <s v="Cust 5032"/>
    <s v="Deanra Eno"/>
    <x v="4"/>
    <s v="Springfield"/>
    <s v="Ohio"/>
    <x v="0"/>
  </r>
  <r>
    <s v="REG100594"/>
    <x v="363"/>
    <s v="Cust 4297"/>
    <x v="4"/>
    <n v="812.16"/>
    <n v="3"/>
    <n v="243.65"/>
    <n v="0.1"/>
    <s v="Cust 4297"/>
    <s v="Laura Armstrong"/>
    <x v="0"/>
    <s v="Hackensack"/>
    <s v="New Jersey"/>
    <x v="0"/>
  </r>
  <r>
    <s v="REG100494"/>
    <x v="213"/>
    <s v="Cust 4297"/>
    <x v="0"/>
    <n v="630.33000000000004"/>
    <n v="2"/>
    <n v="189.1"/>
    <n v="0.15"/>
    <s v="Cust 4297"/>
    <s v="Laura Armstrong"/>
    <x v="0"/>
    <s v="Hackensack"/>
    <s v="New Jersey"/>
    <x v="0"/>
  </r>
  <r>
    <s v="REG100495"/>
    <x v="420"/>
    <s v="Cust 6944"/>
    <x v="0"/>
    <n v="1188.43"/>
    <n v="9"/>
    <n v="356.53"/>
    <n v="0.1"/>
    <s v="Cust 6944"/>
    <s v="Allen Goldenen"/>
    <x v="3"/>
    <s v="Cincinnati"/>
    <s v="Ohio"/>
    <x v="0"/>
  </r>
  <r>
    <s v="REG100496"/>
    <x v="352"/>
    <s v="Cust 4136"/>
    <x v="2"/>
    <n v="1726.38"/>
    <n v="12"/>
    <n v="517.91"/>
    <n v="0.1"/>
    <s v="Cust 4136"/>
    <s v="Ed Ludwig"/>
    <x v="0"/>
    <s v="Jefferson City"/>
    <s v="Missouri"/>
    <x v="0"/>
  </r>
  <r>
    <s v="REG100497"/>
    <x v="421"/>
    <s v="Cust 7460"/>
    <x v="4"/>
    <n v="2243.75"/>
    <n v="13"/>
    <n v="673.12"/>
    <n v="0.05"/>
    <s v="Cust 7460"/>
    <s v="Jennifer Jackson"/>
    <x v="1"/>
    <s v="Los Angeles"/>
    <s v="California"/>
    <x v="0"/>
  </r>
  <r>
    <s v="REG101048"/>
    <x v="231"/>
    <s v="Cust 3960"/>
    <x v="5"/>
    <n v="359.43"/>
    <n v="1"/>
    <n v="107.83"/>
    <n v="0.05"/>
    <s v="Cust 3960"/>
    <s v="Jennifer Halladay"/>
    <x v="3"/>
    <s v="Burlington"/>
    <s v="North Carolina"/>
    <x v="0"/>
  </r>
  <r>
    <s v="REG100498"/>
    <x v="264"/>
    <s v="Cust 3960"/>
    <x v="1"/>
    <n v="464.58"/>
    <n v="16"/>
    <n v="139.37"/>
    <n v="0.15"/>
    <s v="Cust 3960"/>
    <s v="Jennifer Halladay"/>
    <x v="3"/>
    <s v="Burlington"/>
    <s v="North Carolina"/>
    <x v="0"/>
  </r>
  <r>
    <s v="REG100499"/>
    <x v="222"/>
    <s v="Cust 5530"/>
    <x v="0"/>
    <n v="517.37"/>
    <n v="2"/>
    <n v="155.21"/>
    <n v="0.1"/>
    <s v="Cust 5530"/>
    <s v="Robert Dilbeck"/>
    <x v="3"/>
    <s v="Saint Peters"/>
    <s v="Missouri"/>
    <x v="0"/>
  </r>
  <r>
    <s v="REG100225"/>
    <x v="223"/>
    <s v="Cust 5530"/>
    <x v="0"/>
    <n v="492.48"/>
    <n v="7"/>
    <n v="147.74"/>
    <n v="0.15"/>
    <s v="Cust 5530"/>
    <s v="Robert Dilbeck"/>
    <x v="3"/>
    <s v="Saint Peters"/>
    <s v="Missouri"/>
    <x v="0"/>
  </r>
  <r>
    <s v="REG100500"/>
    <x v="422"/>
    <s v="Cust 3160"/>
    <x v="5"/>
    <n v="5175.8599999999997"/>
    <n v="15"/>
    <n v="1552.76"/>
    <n v="0.15"/>
    <s v="Cust 3160"/>
    <s v="Mary O'Rourke"/>
    <x v="0"/>
    <s v="New York City"/>
    <s v="New York"/>
    <x v="0"/>
  </r>
  <r>
    <s v="REG100501"/>
    <x v="304"/>
    <s v="Cust 9641"/>
    <x v="0"/>
    <n v="430.61"/>
    <n v="1"/>
    <n v="129.18"/>
    <n v="0"/>
    <s v="Cust 9641"/>
    <s v="Noel Staavos"/>
    <x v="2"/>
    <s v="Chicago"/>
    <s v="Illinois"/>
    <x v="0"/>
  </r>
  <r>
    <s v="REG100502"/>
    <x v="76"/>
    <s v="Cust 9742"/>
    <x v="0"/>
    <n v="2540.25"/>
    <n v="5"/>
    <n v="762.08"/>
    <n v="0"/>
    <s v="Cust 9742"/>
    <s v="Steve Nguyen"/>
    <x v="4"/>
    <s v="Rockford"/>
    <s v="Illinois"/>
    <x v="0"/>
  </r>
  <r>
    <s v="REG100503"/>
    <x v="26"/>
    <s v="Cust 1144"/>
    <x v="0"/>
    <n v="5778.82"/>
    <n v="13"/>
    <n v="1733.65"/>
    <n v="0.15"/>
    <s v="Cust 1144"/>
    <s v="Zuschuss Carroll"/>
    <x v="4"/>
    <s v="Miami"/>
    <s v="Florida"/>
    <x v="0"/>
  </r>
  <r>
    <s v="REG100504"/>
    <x v="423"/>
    <s v="Cust 2936"/>
    <x v="0"/>
    <n v="3981.83"/>
    <n v="17"/>
    <n v="1194.55"/>
    <n v="0.1"/>
    <s v="Cust 2936"/>
    <s v="Lena Creighton"/>
    <x v="1"/>
    <s v="San Francisco"/>
    <s v="California"/>
    <x v="0"/>
  </r>
  <r>
    <s v="REG100505"/>
    <x v="301"/>
    <s v="Cust 3035"/>
    <x v="1"/>
    <n v="2965.73"/>
    <n v="6"/>
    <n v="889.72"/>
    <n v="0.1"/>
    <s v="Cust 3035"/>
    <s v="Deirdre Greer"/>
    <x v="0"/>
    <s v="Philadelphia"/>
    <s v="Pennsylvania"/>
    <x v="0"/>
  </r>
  <r>
    <s v="REG100506"/>
    <x v="290"/>
    <s v="Cust 1717"/>
    <x v="4"/>
    <n v="6825.17"/>
    <n v="17"/>
    <n v="2047.55"/>
    <n v="0.15"/>
    <s v="Cust 1717"/>
    <s v="Nicole Fjeld"/>
    <x v="3"/>
    <s v="New York City"/>
    <s v="New York"/>
    <x v="0"/>
  </r>
  <r>
    <s v="REG100507"/>
    <x v="87"/>
    <s v="Cust 4456"/>
    <x v="0"/>
    <n v="5371.47"/>
    <n v="9"/>
    <n v="1611.44"/>
    <n v="0"/>
    <s v="Cust 4456"/>
    <s v="Ben Peterman"/>
    <x v="4"/>
    <s v="San Diego"/>
    <s v="California"/>
    <x v="0"/>
  </r>
  <r>
    <s v="REG100076"/>
    <x v="88"/>
    <s v="Cust 4456"/>
    <x v="1"/>
    <n v="5613.55"/>
    <n v="14"/>
    <n v="1684.07"/>
    <n v="0.1"/>
    <s v="Cust 4456"/>
    <s v="Ben Peterman"/>
    <x v="4"/>
    <s v="San Diego"/>
    <s v="California"/>
    <x v="0"/>
  </r>
  <r>
    <s v="REG100508"/>
    <x v="424"/>
    <s v="Cust 6435"/>
    <x v="5"/>
    <n v="2079.54"/>
    <n v="15"/>
    <n v="623.86"/>
    <n v="0.1"/>
    <s v="Cust 6435"/>
    <s v="Matthew Grinstein"/>
    <x v="3"/>
    <s v="Philadelphia"/>
    <s v="Pennsylvania"/>
    <x v="0"/>
  </r>
  <r>
    <s v="REG100509"/>
    <x v="425"/>
    <s v="Cust 9352"/>
    <x v="0"/>
    <n v="8107.13"/>
    <n v="18"/>
    <n v="2432.14"/>
    <n v="0.1"/>
    <s v="Cust 9352"/>
    <s v="Julia Dunbar"/>
    <x v="0"/>
    <s v="Houston"/>
    <s v="Texas"/>
    <x v="0"/>
  </r>
  <r>
    <s v="REG100510"/>
    <x v="426"/>
    <s v="Cust 6746"/>
    <x v="6"/>
    <n v="1910.85"/>
    <n v="5"/>
    <n v="573.26"/>
    <n v="0"/>
    <s v="Cust 6746"/>
    <s v="Theresa Swint"/>
    <x v="4"/>
    <s v="Toledo"/>
    <s v="Ohio"/>
    <x v="0"/>
  </r>
  <r>
    <s v="REG100511"/>
    <x v="70"/>
    <s v="Cust 8189"/>
    <x v="3"/>
    <n v="932.13"/>
    <n v="3"/>
    <n v="279.64"/>
    <n v="0.15"/>
    <s v="Cust 8189"/>
    <s v="Brian DeCherney"/>
    <x v="2"/>
    <s v="San Francisco"/>
    <s v="California"/>
    <x v="0"/>
  </r>
  <r>
    <s v="REG100512"/>
    <x v="401"/>
    <s v="Cust 8470"/>
    <x v="0"/>
    <n v="1148.05"/>
    <n v="5"/>
    <n v="344.42"/>
    <n v="0.15"/>
    <s v="Cust 8470"/>
    <s v="Charles McCrossin"/>
    <x v="2"/>
    <s v="Brownsville"/>
    <s v="Texas"/>
    <x v="0"/>
  </r>
  <r>
    <s v="REG100513"/>
    <x v="427"/>
    <s v="Cust 1044"/>
    <x v="6"/>
    <n v="816.26"/>
    <n v="2"/>
    <n v="244.88"/>
    <n v="0.15"/>
    <s v="Cust 1044"/>
    <s v="Ross Baird"/>
    <x v="0"/>
    <s v="Philadelphia"/>
    <s v="Pennsylvania"/>
    <x v="0"/>
  </r>
  <r>
    <s v="REG100514"/>
    <x v="428"/>
    <s v="Cust 4010"/>
    <x v="0"/>
    <n v="6719.27"/>
    <n v="18"/>
    <n v="2015.78"/>
    <n v="0.1"/>
    <s v="Cust 4010"/>
    <s v="Skye Norling"/>
    <x v="2"/>
    <s v="Los Angeles"/>
    <s v="California"/>
    <x v="0"/>
  </r>
  <r>
    <s v="REG100515"/>
    <x v="78"/>
    <s v="Cust 1385"/>
    <x v="5"/>
    <n v="982.4"/>
    <n v="10"/>
    <n v="294.72000000000003"/>
    <n v="0"/>
    <s v="Cust 1385"/>
    <s v="Erica Hernandez"/>
    <x v="0"/>
    <s v="Denver"/>
    <s v="Colorado"/>
    <x v="0"/>
  </r>
  <r>
    <s v="REG100290"/>
    <x v="277"/>
    <s v="Cust 1385"/>
    <x v="0"/>
    <n v="2894.6"/>
    <n v="5"/>
    <n v="868.38"/>
    <n v="0"/>
    <s v="Cust 1385"/>
    <s v="Erica Hernandez"/>
    <x v="0"/>
    <s v="Denver"/>
    <s v="Colorado"/>
    <x v="0"/>
  </r>
  <r>
    <s v="REG101099"/>
    <x v="429"/>
    <s v="Cust 1904"/>
    <x v="2"/>
    <n v="486.59"/>
    <n v="19"/>
    <n v="145.97999999999999"/>
    <n v="0"/>
    <s v="Cust 1904"/>
    <s v="Frank Olsen"/>
    <x v="3"/>
    <s v="New York City"/>
    <s v="New York"/>
    <x v="0"/>
  </r>
  <r>
    <s v="REG100516"/>
    <x v="189"/>
    <s v="Cust 1904"/>
    <x v="0"/>
    <n v="1297.32"/>
    <n v="6"/>
    <n v="389.2"/>
    <n v="0.05"/>
    <s v="Cust 1904"/>
    <s v="Frank Olsen"/>
    <x v="3"/>
    <s v="New York City"/>
    <s v="New York"/>
    <x v="0"/>
  </r>
  <r>
    <s v="REG100517"/>
    <x v="19"/>
    <s v="Cust 6034"/>
    <x v="5"/>
    <n v="578.54999999999995"/>
    <n v="5"/>
    <n v="173.57"/>
    <n v="0.15"/>
    <s v="Cust 6034"/>
    <s v="Maurice Satty"/>
    <x v="3"/>
    <s v="Mesa"/>
    <s v="Arizona"/>
    <x v="0"/>
  </r>
  <r>
    <s v="REG100518"/>
    <x v="20"/>
    <s v="Cust 9239"/>
    <x v="6"/>
    <n v="2201.09"/>
    <n v="5"/>
    <n v="660.33"/>
    <n v="0.1"/>
    <s v="Cust 9239"/>
    <s v="Chad Cunningham"/>
    <x v="3"/>
    <s v="Columbus"/>
    <s v="Indiana"/>
    <x v="0"/>
  </r>
  <r>
    <s v="REG100519"/>
    <x v="430"/>
    <s v="Cust 5678"/>
    <x v="0"/>
    <n v="1657.44"/>
    <n v="4"/>
    <n v="497.23"/>
    <n v="0"/>
    <s v="Cust 5678"/>
    <s v="Don Weiss"/>
    <x v="1"/>
    <s v="Seattle"/>
    <s v="Washington"/>
    <x v="0"/>
  </r>
  <r>
    <s v="REG100520"/>
    <x v="431"/>
    <s v="Cust 3696"/>
    <x v="0"/>
    <n v="705.13"/>
    <n v="6"/>
    <n v="211.54"/>
    <n v="0.15"/>
    <s v="Cust 3696"/>
    <s v="Bill Tyler"/>
    <x v="0"/>
    <s v="Detroit"/>
    <s v="Michigan"/>
    <x v="1"/>
  </r>
  <r>
    <s v="REG100521"/>
    <x v="173"/>
    <s v="Cust 9025"/>
    <x v="1"/>
    <n v="5558.3"/>
    <n v="12"/>
    <n v="1667.49"/>
    <n v="0.05"/>
    <s v="Cust 9025"/>
    <s v="Karen Daniels"/>
    <x v="0"/>
    <s v="Yonkers"/>
    <s v="New York"/>
    <x v="1"/>
  </r>
  <r>
    <s v="REG100522"/>
    <x v="432"/>
    <s v="Cust 9924"/>
    <x v="3"/>
    <n v="8118.7"/>
    <n v="20"/>
    <n v="2435.61"/>
    <n v="0.05"/>
    <s v="Cust 9924"/>
    <s v="Lena Cacioppo"/>
    <x v="2"/>
    <s v="Des Moines"/>
    <s v="Iowa"/>
    <x v="1"/>
  </r>
  <r>
    <s v="REG100523"/>
    <x v="433"/>
    <s v="Cust 3887"/>
    <x v="0"/>
    <n v="8009.31"/>
    <n v="16"/>
    <n v="2402.79"/>
    <n v="0.15"/>
    <s v="Cust 3887"/>
    <s v="Craig Yedwab"/>
    <x v="1"/>
    <s v="Oakland"/>
    <s v="California"/>
    <x v="1"/>
  </r>
  <r>
    <s v="REG100524"/>
    <x v="434"/>
    <s v="Cust 5302"/>
    <x v="0"/>
    <n v="2319.0300000000002"/>
    <n v="6"/>
    <n v="695.71"/>
    <n v="0.1"/>
    <s v="Cust 5302"/>
    <s v="Lindsay Williams"/>
    <x v="1"/>
    <s v="Monroe"/>
    <s v="North Carolina"/>
    <x v="0"/>
  </r>
  <r>
    <s v="REG100525"/>
    <x v="343"/>
    <s v="Cust 2290"/>
    <x v="1"/>
    <n v="404.6"/>
    <n v="1"/>
    <n v="121.38"/>
    <n v="0.15"/>
    <s v="Cust 2290"/>
    <s v="Naresj Patel"/>
    <x v="1"/>
    <s v="San Diego"/>
    <s v="California"/>
    <x v="0"/>
  </r>
  <r>
    <s v="REG100526"/>
    <x v="302"/>
    <s v="Cust 2227"/>
    <x v="1"/>
    <n v="1836.38"/>
    <n v="13"/>
    <n v="550.91"/>
    <n v="0"/>
    <s v="Cust 2227"/>
    <s v="Brad Thomas"/>
    <x v="1"/>
    <s v="Clinton"/>
    <s v="Maryland"/>
    <x v="1"/>
  </r>
  <r>
    <s v="REG100326"/>
    <x v="291"/>
    <s v="Cust 2227"/>
    <x v="0"/>
    <n v="1322.69"/>
    <n v="5"/>
    <n v="396.81"/>
    <n v="0.15"/>
    <s v="Cust 2227"/>
    <s v="Brad Thomas"/>
    <x v="1"/>
    <s v="Clinton"/>
    <s v="Maryland"/>
    <x v="1"/>
  </r>
  <r>
    <s v="REG100527"/>
    <x v="435"/>
    <s v="Cust 1726"/>
    <x v="3"/>
    <n v="639.16"/>
    <n v="3"/>
    <n v="191.75"/>
    <n v="0.15"/>
    <s v="Cust 1726"/>
    <s v="Penelope Sewall"/>
    <x v="2"/>
    <s v="Charlotte"/>
    <s v="North Carolina"/>
    <x v="1"/>
  </r>
  <r>
    <s v="REG100528"/>
    <x v="12"/>
    <s v="Cust 9874"/>
    <x v="5"/>
    <n v="5436.12"/>
    <n v="19"/>
    <n v="1630.84"/>
    <n v="0.05"/>
    <s v="Cust 9874"/>
    <s v="Noel Staavos"/>
    <x v="4"/>
    <s v="Los Angeles"/>
    <s v="California"/>
    <x v="1"/>
  </r>
  <r>
    <s v="REG100529"/>
    <x v="436"/>
    <s v="Cust 1774"/>
    <x v="3"/>
    <n v="193.98"/>
    <n v="7"/>
    <n v="58.19"/>
    <n v="0.1"/>
    <s v="Cust 1774"/>
    <s v="Paul Van Hugh"/>
    <x v="2"/>
    <s v="San Francisco"/>
    <s v="California"/>
    <x v="1"/>
  </r>
  <r>
    <s v="REG100530"/>
    <x v="54"/>
    <s v="Cust 2414"/>
    <x v="0"/>
    <n v="477.36"/>
    <n v="1"/>
    <n v="143.21"/>
    <n v="0.15"/>
    <s v="Cust 2414"/>
    <s v="Resi PÃƒÂ¶lking"/>
    <x v="0"/>
    <s v="Houston"/>
    <s v="Texas"/>
    <x v="0"/>
  </r>
  <r>
    <s v="REG100131"/>
    <x v="140"/>
    <s v="Cust 2414"/>
    <x v="1"/>
    <n v="6197.1"/>
    <n v="14"/>
    <n v="1859.13"/>
    <n v="0"/>
    <s v="Cust 2414"/>
    <s v="Resi PÃƒÂ¶lking"/>
    <x v="0"/>
    <s v="Houston"/>
    <s v="Texas"/>
    <x v="1"/>
  </r>
  <r>
    <s v="REG100531"/>
    <x v="213"/>
    <s v="Cust 6534"/>
    <x v="1"/>
    <n v="2634.32"/>
    <n v="16"/>
    <n v="790.3"/>
    <n v="0.15"/>
    <s v="Cust 6534"/>
    <s v="Neoma Murray"/>
    <x v="4"/>
    <s v="Riverside"/>
    <s v="California"/>
    <x v="1"/>
  </r>
  <r>
    <s v="REG100532"/>
    <x v="237"/>
    <s v="Cust 3170"/>
    <x v="6"/>
    <n v="5006.9799999999996"/>
    <n v="17"/>
    <n v="1502.1"/>
    <n v="0.05"/>
    <s v="Cust 3170"/>
    <s v="Eric Hoffmann"/>
    <x v="3"/>
    <s v="Houston"/>
    <s v="Texas"/>
    <x v="1"/>
  </r>
  <r>
    <s v="REG100533"/>
    <x v="250"/>
    <s v="Cust 5438"/>
    <x v="4"/>
    <n v="2261.6"/>
    <n v="13"/>
    <n v="678.48"/>
    <n v="0.15"/>
    <s v="Cust 5438"/>
    <s v="Russell Applegate"/>
    <x v="4"/>
    <s v="Encinitas"/>
    <s v="California"/>
    <x v="1"/>
  </r>
  <r>
    <s v="REG100534"/>
    <x v="198"/>
    <s v="Cust 2670"/>
    <x v="4"/>
    <n v="750.33"/>
    <n v="3"/>
    <n v="225.1"/>
    <n v="0"/>
    <s v="Cust 2670"/>
    <s v="Dionis Lloyd"/>
    <x v="3"/>
    <s v="San Francisco"/>
    <s v="California"/>
    <x v="2"/>
  </r>
  <r>
    <s v="REG100535"/>
    <x v="59"/>
    <s v="Cust 8949"/>
    <x v="2"/>
    <n v="6321.84"/>
    <n v="12"/>
    <n v="1896.55"/>
    <n v="0"/>
    <s v="Cust 8949"/>
    <s v="Christine Sundaresam"/>
    <x v="2"/>
    <s v="Roswell"/>
    <s v="Georgia"/>
    <x v="0"/>
  </r>
  <r>
    <s v="REG100536"/>
    <x v="336"/>
    <s v="Cust 9748"/>
    <x v="3"/>
    <n v="10351.799999999999"/>
    <n v="18"/>
    <n v="3105.54"/>
    <n v="0"/>
    <s v="Cust 9748"/>
    <s v="Hunter Lopez"/>
    <x v="0"/>
    <s v="Jonesboro"/>
    <s v="Arkansas"/>
    <x v="0"/>
  </r>
  <r>
    <s v="REG100537"/>
    <x v="437"/>
    <s v="Cust 1220"/>
    <x v="5"/>
    <n v="2343.7399999999998"/>
    <n v="8"/>
    <n v="703.12"/>
    <n v="0.1"/>
    <s v="Cust 1220"/>
    <s v="Pete Armstrong"/>
    <x v="0"/>
    <s v="Richmond"/>
    <s v="Indiana"/>
    <x v="0"/>
  </r>
  <r>
    <s v="REG100538"/>
    <x v="438"/>
    <s v="Cust 5645"/>
    <x v="5"/>
    <n v="1869.97"/>
    <n v="14"/>
    <n v="560.99"/>
    <n v="0.15"/>
    <s v="Cust 5645"/>
    <s v="Brian Dahlen"/>
    <x v="2"/>
    <s v="Springfield"/>
    <s v="Virginia"/>
    <x v="0"/>
  </r>
  <r>
    <s v="REG100539"/>
    <x v="258"/>
    <s v="Cust 6577"/>
    <x v="0"/>
    <n v="952.47"/>
    <n v="10"/>
    <n v="285.74"/>
    <n v="0.05"/>
    <s v="Cust 6577"/>
    <s v="Greg Guthrie"/>
    <x v="3"/>
    <s v="Antioch"/>
    <s v="California"/>
    <x v="0"/>
  </r>
  <r>
    <s v="REG101300"/>
    <x v="213"/>
    <s v="Cust 9506"/>
    <x v="6"/>
    <n v="1378.16"/>
    <n v="7"/>
    <n v="413.45"/>
    <n v="0"/>
    <s v="Cust 9506"/>
    <s v="Joni Sundaresam"/>
    <x v="3"/>
    <s v="Philadelphia"/>
    <s v="Pennsylvania"/>
    <x v="0"/>
  </r>
  <r>
    <s v="REG100540"/>
    <x v="204"/>
    <s v="Cust 9506"/>
    <x v="0"/>
    <n v="4990.32"/>
    <n v="9"/>
    <n v="1497.1"/>
    <n v="0"/>
    <s v="Cust 9506"/>
    <s v="Joni Sundaresam"/>
    <x v="3"/>
    <s v="Philadelphia"/>
    <s v="Pennsylvania"/>
    <x v="0"/>
  </r>
  <r>
    <s v="REG100541"/>
    <x v="439"/>
    <s v="Cust 9302"/>
    <x v="1"/>
    <n v="1278.26"/>
    <n v="4"/>
    <n v="383.48"/>
    <n v="0.15"/>
    <s v="Cust 9302"/>
    <s v="Lena Radford"/>
    <x v="2"/>
    <s v="Homestead"/>
    <s v="Florida"/>
    <x v="0"/>
  </r>
  <r>
    <s v="REG100542"/>
    <x v="440"/>
    <s v="Cust 3030"/>
    <x v="5"/>
    <n v="6792.94"/>
    <n v="14"/>
    <n v="2037.88"/>
    <n v="0"/>
    <s v="Cust 3030"/>
    <s v="Frank Hawley"/>
    <x v="3"/>
    <s v="La Porte"/>
    <s v="Indiana"/>
    <x v="1"/>
  </r>
  <r>
    <s v="REG100543"/>
    <x v="128"/>
    <s v="Cust 5896"/>
    <x v="5"/>
    <n v="3184.36"/>
    <n v="9"/>
    <n v="955.31"/>
    <n v="0.05"/>
    <s v="Cust 5896"/>
    <s v="Arthur Prichep"/>
    <x v="1"/>
    <s v="Los Angeles"/>
    <s v="California"/>
    <x v="0"/>
  </r>
  <r>
    <s v="REG100544"/>
    <x v="61"/>
    <s v="Cust 3763"/>
    <x v="0"/>
    <n v="983.71"/>
    <n v="7"/>
    <n v="295.11"/>
    <n v="0"/>
    <s v="Cust 3763"/>
    <s v="Nat Carroll"/>
    <x v="3"/>
    <s v="Lansing"/>
    <s v="Michigan"/>
    <x v="0"/>
  </r>
  <r>
    <s v="REG100545"/>
    <x v="441"/>
    <s v="Cust 9510"/>
    <x v="2"/>
    <n v="4661.53"/>
    <n v="15"/>
    <n v="1398.46"/>
    <n v="0.15"/>
    <s v="Cust 9510"/>
    <s v="Claudia Bergmann"/>
    <x v="2"/>
    <s v="Cuyahoga Falls"/>
    <s v="Ohio"/>
    <x v="2"/>
  </r>
  <r>
    <s v="REG100546"/>
    <x v="442"/>
    <s v="Cust 7637"/>
    <x v="0"/>
    <n v="6017.49"/>
    <n v="20"/>
    <n v="1805.25"/>
    <n v="0.15"/>
    <s v="Cust 7637"/>
    <s v="Kelly Lampkin"/>
    <x v="1"/>
    <s v="Reno"/>
    <s v="Nevada"/>
    <x v="2"/>
  </r>
  <r>
    <s v="REG100547"/>
    <x v="443"/>
    <s v="Cust 8382"/>
    <x v="3"/>
    <n v="4106.34"/>
    <n v="14"/>
    <n v="1231.9000000000001"/>
    <n v="0"/>
    <s v="Cust 8382"/>
    <s v="Penelope Sewall"/>
    <x v="0"/>
    <s v="Harrisonburg"/>
    <s v="Virginia"/>
    <x v="1"/>
  </r>
  <r>
    <s v="REG100870"/>
    <x v="276"/>
    <s v="Cust 4015"/>
    <x v="1"/>
    <n v="3990.06"/>
    <n v="12"/>
    <n v="1197.02"/>
    <n v="0.1"/>
    <s v="Cust 4015"/>
    <s v="George Bell"/>
    <x v="3"/>
    <s v="Los Angeles"/>
    <s v="California"/>
    <x v="0"/>
  </r>
  <r>
    <s v="REG100548"/>
    <x v="444"/>
    <s v="Cust 4015"/>
    <x v="3"/>
    <n v="3377.82"/>
    <n v="10"/>
    <n v="1013.34"/>
    <n v="0.15"/>
    <s v="Cust 4015"/>
    <s v="George Bell"/>
    <x v="3"/>
    <s v="Los Angeles"/>
    <s v="California"/>
    <x v="0"/>
  </r>
  <r>
    <s v="REG100549"/>
    <x v="152"/>
    <s v="Cust 5172"/>
    <x v="3"/>
    <n v="196.7"/>
    <n v="2"/>
    <n v="59.01"/>
    <n v="0"/>
    <s v="Cust 5172"/>
    <s v="Alex Avila"/>
    <x v="1"/>
    <s v="Minneapolis"/>
    <s v="Minnesota"/>
    <x v="0"/>
  </r>
  <r>
    <s v="REG100550"/>
    <x v="445"/>
    <s v="Cust 7584"/>
    <x v="2"/>
    <n v="3490.02"/>
    <n v="6"/>
    <n v="1047.01"/>
    <n v="0"/>
    <s v="Cust 7584"/>
    <s v="Larry Tron"/>
    <x v="1"/>
    <s v="Escondido"/>
    <s v="California"/>
    <x v="2"/>
  </r>
  <r>
    <s v="REG100551"/>
    <x v="171"/>
    <s v="Cust 6809"/>
    <x v="1"/>
    <n v="548.9"/>
    <n v="19"/>
    <n v="164.67"/>
    <n v="0.05"/>
    <s v="Cust 6809"/>
    <s v="Anne Pryor"/>
    <x v="1"/>
    <s v="New York City"/>
    <s v="New York"/>
    <x v="2"/>
  </r>
  <r>
    <s v="REG100552"/>
    <x v="446"/>
    <s v="Cust 7540"/>
    <x v="5"/>
    <n v="4978.67"/>
    <n v="15"/>
    <n v="1493.6"/>
    <n v="0.1"/>
    <s v="Cust 7540"/>
    <s v="Paul MacIntyre"/>
    <x v="2"/>
    <s v="Jackson"/>
    <s v="Michigan"/>
    <x v="1"/>
  </r>
  <r>
    <s v="REG100553"/>
    <x v="124"/>
    <s v="Cust 6888"/>
    <x v="5"/>
    <n v="190.6"/>
    <n v="4"/>
    <n v="57.18"/>
    <n v="0.15"/>
    <s v="Cust 6888"/>
    <s v="Kelly Collister"/>
    <x v="4"/>
    <s v="Seattle"/>
    <s v="Washington"/>
    <x v="1"/>
  </r>
  <r>
    <s v="REG100554"/>
    <x v="447"/>
    <s v="Cust 3304"/>
    <x v="3"/>
    <n v="109.55"/>
    <n v="7"/>
    <n v="32.869999999999997"/>
    <n v="0"/>
    <s v="Cust 3304"/>
    <s v="Delfina Latchford"/>
    <x v="4"/>
    <s v="New York City"/>
    <s v="New York"/>
    <x v="1"/>
  </r>
  <r>
    <s v="REG100555"/>
    <x v="346"/>
    <s v="Cust 4196"/>
    <x v="6"/>
    <n v="3427.65"/>
    <n v="9"/>
    <n v="1028.3"/>
    <n v="0"/>
    <s v="Cust 4196"/>
    <s v="Scott Williamson"/>
    <x v="3"/>
    <s v="Royal Oak"/>
    <s v="Michigan"/>
    <x v="1"/>
  </r>
  <r>
    <s v="REG100389"/>
    <x v="347"/>
    <s v="Cust 4196"/>
    <x v="1"/>
    <n v="526.83000000000004"/>
    <n v="16"/>
    <n v="158.05000000000001"/>
    <n v="0.05"/>
    <s v="Cust 4196"/>
    <s v="Scott Williamson"/>
    <x v="3"/>
    <s v="Royal Oak"/>
    <s v="Michigan"/>
    <x v="1"/>
  </r>
  <r>
    <s v="REG100556"/>
    <x v="448"/>
    <s v="Cust 6596"/>
    <x v="3"/>
    <n v="6459.31"/>
    <n v="11"/>
    <n v="1937.79"/>
    <n v="0"/>
    <s v="Cust 6596"/>
    <s v="Allen Armold"/>
    <x v="1"/>
    <s v="Los Angeles"/>
    <s v="California"/>
    <x v="2"/>
  </r>
  <r>
    <s v="REG100557"/>
    <x v="449"/>
    <s v="Cust 5588"/>
    <x v="4"/>
    <n v="8480.0300000000007"/>
    <n v="17"/>
    <n v="2544.0100000000002"/>
    <n v="0.1"/>
    <s v="Cust 5588"/>
    <s v="Liz Thompson"/>
    <x v="1"/>
    <s v="Bloomington"/>
    <s v="Illinois"/>
    <x v="1"/>
  </r>
  <r>
    <s v="REG100558"/>
    <x v="329"/>
    <s v="Cust 1518"/>
    <x v="4"/>
    <n v="1046.0899999999999"/>
    <n v="3"/>
    <n v="313.83"/>
    <n v="0.15"/>
    <s v="Cust 1518"/>
    <s v="Dave Poirier"/>
    <x v="0"/>
    <s v="New York City"/>
    <s v="New York"/>
    <x v="1"/>
  </r>
  <r>
    <s v="REG100559"/>
    <x v="450"/>
    <s v="Cust 2819"/>
    <x v="5"/>
    <n v="496.15"/>
    <n v="5"/>
    <n v="148.85"/>
    <n v="0"/>
    <s v="Cust 2819"/>
    <s v="Adam Bellavance"/>
    <x v="4"/>
    <s v="Concord"/>
    <s v="New Hampshire"/>
    <x v="0"/>
  </r>
  <r>
    <s v="REG101060"/>
    <x v="266"/>
    <s v="Cust 1947"/>
    <x v="0"/>
    <n v="7076.65"/>
    <n v="18"/>
    <n v="2122.9899999999998"/>
    <n v="0.1"/>
    <s v="Cust 1947"/>
    <s v="Alyssa Tate"/>
    <x v="1"/>
    <s v="Los Angeles"/>
    <s v="California"/>
    <x v="0"/>
  </r>
  <r>
    <s v="REG100749"/>
    <x v="397"/>
    <s v="Cust 1947"/>
    <x v="6"/>
    <n v="4482.18"/>
    <n v="16"/>
    <n v="1344.65"/>
    <n v="0.05"/>
    <s v="Cust 1947"/>
    <s v="Alyssa Tate"/>
    <x v="1"/>
    <s v="Los Angeles"/>
    <s v="California"/>
    <x v="0"/>
  </r>
  <r>
    <s v="REG100560"/>
    <x v="451"/>
    <s v="Cust 1947"/>
    <x v="5"/>
    <n v="4528.62"/>
    <n v="9"/>
    <n v="1358.59"/>
    <n v="0"/>
    <s v="Cust 1947"/>
    <s v="Alyssa Tate"/>
    <x v="1"/>
    <s v="Los Angeles"/>
    <s v="California"/>
    <x v="2"/>
  </r>
  <r>
    <s v="REG100561"/>
    <x v="133"/>
    <s v="Cust 7332"/>
    <x v="5"/>
    <n v="2244.23"/>
    <n v="17"/>
    <n v="673.27"/>
    <n v="0.15"/>
    <s v="Cust 7332"/>
    <s v="Joel Eaton"/>
    <x v="3"/>
    <s v="Rockville"/>
    <s v="Maryland"/>
    <x v="2"/>
  </r>
  <r>
    <s v="REG100562"/>
    <x v="207"/>
    <s v="Cust 7314"/>
    <x v="3"/>
    <n v="1807.55"/>
    <n v="7"/>
    <n v="542.27"/>
    <n v="0.15"/>
    <s v="Cust 7314"/>
    <s v="Cathy Armstrong"/>
    <x v="2"/>
    <s v="Houston"/>
    <s v="Texas"/>
    <x v="0"/>
  </r>
  <r>
    <s v="REG100563"/>
    <x v="452"/>
    <s v="Cust 5296"/>
    <x v="1"/>
    <n v="4483.75"/>
    <n v="17"/>
    <n v="1345.13"/>
    <n v="0"/>
    <s v="Cust 5296"/>
    <s v="Dave Brooks"/>
    <x v="0"/>
    <s v="Lakewood"/>
    <s v="New Jersey"/>
    <x v="0"/>
  </r>
  <r>
    <s v="REG100564"/>
    <x v="133"/>
    <s v="Cust 2964"/>
    <x v="1"/>
    <n v="647.71"/>
    <n v="4"/>
    <n v="194.31"/>
    <n v="0.1"/>
    <s v="Cust 2964"/>
    <s v="Rob Beeghly"/>
    <x v="0"/>
    <s v="Jacksonville"/>
    <s v="North Carolina"/>
    <x v="0"/>
  </r>
  <r>
    <s v="REG100565"/>
    <x v="453"/>
    <s v="Cust 5381"/>
    <x v="4"/>
    <n v="528"/>
    <n v="2"/>
    <n v="158.4"/>
    <n v="0"/>
    <s v="Cust 5381"/>
    <s v="Harold Ryan"/>
    <x v="1"/>
    <s v="Seattle"/>
    <s v="Washington"/>
    <x v="0"/>
  </r>
  <r>
    <s v="REG100566"/>
    <x v="399"/>
    <s v="Cust 5436"/>
    <x v="0"/>
    <n v="1535.09"/>
    <n v="4"/>
    <n v="460.53"/>
    <n v="0.05"/>
    <s v="Cust 5436"/>
    <s v="Bradley Talbott"/>
    <x v="3"/>
    <s v="Los Angeles"/>
    <s v="California"/>
    <x v="1"/>
  </r>
  <r>
    <s v="REG100567"/>
    <x v="454"/>
    <s v="Cust 1494"/>
    <x v="2"/>
    <n v="309.45999999999998"/>
    <n v="4"/>
    <n v="92.84"/>
    <n v="0.1"/>
    <s v="Cust 1494"/>
    <s v="Nat Gilpin"/>
    <x v="2"/>
    <s v="Coral Springs"/>
    <s v="Florida"/>
    <x v="0"/>
  </r>
  <r>
    <s v="REG100568"/>
    <x v="354"/>
    <s v="Cust 4380"/>
    <x v="2"/>
    <n v="168.28"/>
    <n v="2"/>
    <n v="50.48"/>
    <n v="0.1"/>
    <s v="Cust 4380"/>
    <s v="Zuschuss Carroll"/>
    <x v="0"/>
    <s v="Houston"/>
    <s v="Texas"/>
    <x v="1"/>
  </r>
  <r>
    <s v="REG100569"/>
    <x v="243"/>
    <s v="Cust 7054"/>
    <x v="2"/>
    <n v="1507.83"/>
    <n v="11"/>
    <n v="452.35"/>
    <n v="0.05"/>
    <s v="Cust 7054"/>
    <s v="Linda Southworth"/>
    <x v="0"/>
    <s v="Denver"/>
    <s v="Colorado"/>
    <x v="1"/>
  </r>
  <r>
    <s v="REG100419"/>
    <x v="368"/>
    <s v="Cust 7054"/>
    <x v="5"/>
    <n v="6.97"/>
    <n v="1"/>
    <n v="2.09"/>
    <n v="0.15"/>
    <s v="Cust 7054"/>
    <s v="Linda Southworth"/>
    <x v="0"/>
    <s v="Denver"/>
    <s v="Colorado"/>
    <x v="1"/>
  </r>
  <r>
    <s v="REG100570"/>
    <x v="4"/>
    <s v="Cust 1375"/>
    <x v="3"/>
    <n v="9958.14"/>
    <n v="18"/>
    <n v="2987.44"/>
    <n v="0"/>
    <s v="Cust 1375"/>
    <s v="Larry Hughes"/>
    <x v="2"/>
    <s v="Charlotte"/>
    <s v="North Carolina"/>
    <x v="0"/>
  </r>
  <r>
    <s v="REG100571"/>
    <x v="455"/>
    <s v="Cust 5698"/>
    <x v="3"/>
    <n v="1951.97"/>
    <n v="9"/>
    <n v="585.59"/>
    <n v="0.05"/>
    <s v="Cust 5698"/>
    <s v="Steven Ward"/>
    <x v="0"/>
    <s v="New York City"/>
    <s v="New York"/>
    <x v="2"/>
  </r>
  <r>
    <s v="REG100929"/>
    <x v="456"/>
    <s v="Cust 3259"/>
    <x v="6"/>
    <n v="2761.48"/>
    <n v="7"/>
    <n v="828.44"/>
    <n v="0.1"/>
    <s v="Cust 3259"/>
    <s v="Stefania Perrino"/>
    <x v="4"/>
    <s v="Philadelphia"/>
    <s v="Pennsylvania"/>
    <x v="2"/>
  </r>
  <r>
    <s v="REG100572"/>
    <x v="457"/>
    <s v="Cust 3259"/>
    <x v="2"/>
    <n v="1486.42"/>
    <n v="7"/>
    <n v="445.93"/>
    <n v="0.1"/>
    <s v="Cust 3259"/>
    <s v="Stefania Perrino"/>
    <x v="4"/>
    <s v="Philadelphia"/>
    <s v="Pennsylvania"/>
    <x v="2"/>
  </r>
  <r>
    <s v="REG100573"/>
    <x v="458"/>
    <s v="Cust 9295"/>
    <x v="4"/>
    <n v="6281.84"/>
    <n v="17"/>
    <n v="1884.55"/>
    <n v="0"/>
    <s v="Cust 9295"/>
    <s v="Ben Ferrer"/>
    <x v="0"/>
    <s v="Los Angeles"/>
    <s v="California"/>
    <x v="0"/>
  </r>
  <r>
    <s v="REG101302"/>
    <x v="180"/>
    <s v="Cust 7035"/>
    <x v="6"/>
    <n v="4921.18"/>
    <n v="11"/>
    <n v="1476.35"/>
    <n v="0"/>
    <s v="Cust 7035"/>
    <s v="Becky Martin"/>
    <x v="4"/>
    <s v="New York City"/>
    <s v="New York"/>
    <x v="0"/>
  </r>
  <r>
    <s v="REG100574"/>
    <x v="56"/>
    <s v="Cust 7035"/>
    <x v="1"/>
    <n v="1136.72"/>
    <n v="8"/>
    <n v="341.02"/>
    <n v="0"/>
    <s v="Cust 7035"/>
    <s v="Becky Martin"/>
    <x v="4"/>
    <s v="New York City"/>
    <s v="New York"/>
    <x v="0"/>
  </r>
  <r>
    <s v="REG100575"/>
    <x v="187"/>
    <s v="Cust 9049"/>
    <x v="3"/>
    <n v="1268.9100000000001"/>
    <n v="3"/>
    <n v="380.67"/>
    <n v="0.15"/>
    <s v="Cust 9049"/>
    <s v="Zuschuss Carroll"/>
    <x v="3"/>
    <s v="Los Angeles"/>
    <s v="California"/>
    <x v="0"/>
  </r>
  <r>
    <s v="REG100576"/>
    <x v="13"/>
    <s v="Cust 6173"/>
    <x v="0"/>
    <n v="180.12"/>
    <n v="19"/>
    <n v="54.04"/>
    <n v="0"/>
    <s v="Cust 6173"/>
    <s v="Kean Thornton"/>
    <x v="2"/>
    <s v="Buffalo"/>
    <s v="New York"/>
    <x v="0"/>
  </r>
  <r>
    <s v="REG100577"/>
    <x v="160"/>
    <s v="Cust 3447"/>
    <x v="4"/>
    <n v="375.84"/>
    <n v="8"/>
    <n v="112.75"/>
    <n v="0.15"/>
    <s v="Cust 3447"/>
    <s v="Brooke Gillingham"/>
    <x v="3"/>
    <s v="Cincinnati"/>
    <s v="Ohio"/>
    <x v="0"/>
  </r>
  <r>
    <s v="REG100578"/>
    <x v="30"/>
    <s v="Cust 2218"/>
    <x v="0"/>
    <n v="419.09"/>
    <n v="17"/>
    <n v="125.73"/>
    <n v="0.05"/>
    <s v="Cust 2218"/>
    <s v="Patrick Gardner"/>
    <x v="4"/>
    <s v="Boynton Beach"/>
    <s v="Florida"/>
    <x v="0"/>
  </r>
  <r>
    <s v="REG100579"/>
    <x v="459"/>
    <s v="Cust 8882"/>
    <x v="2"/>
    <n v="3396.33"/>
    <n v="18"/>
    <n v="1018.9"/>
    <n v="0.1"/>
    <s v="Cust 8882"/>
    <s v="Greg Matthias"/>
    <x v="2"/>
    <s v="Seattle"/>
    <s v="Washington"/>
    <x v="0"/>
  </r>
  <r>
    <s v="REG100580"/>
    <x v="398"/>
    <s v="Cust 6709"/>
    <x v="0"/>
    <n v="837.26"/>
    <n v="13"/>
    <n v="251.18"/>
    <n v="0.15"/>
    <s v="Cust 6709"/>
    <s v="Meg O'Connel"/>
    <x v="3"/>
    <s v="New York City"/>
    <s v="New York"/>
    <x v="0"/>
  </r>
  <r>
    <s v="REG100581"/>
    <x v="153"/>
    <s v="Cust 8727"/>
    <x v="6"/>
    <n v="1385.28"/>
    <n v="5"/>
    <n v="415.58"/>
    <n v="0.1"/>
    <s v="Cust 8727"/>
    <s v="Patrick Gardner"/>
    <x v="4"/>
    <s v="New York City"/>
    <s v="New York"/>
    <x v="0"/>
  </r>
  <r>
    <s v="REG100582"/>
    <x v="20"/>
    <s v="Cust 8359"/>
    <x v="1"/>
    <n v="84.5"/>
    <n v="13"/>
    <n v="25.35"/>
    <n v="0"/>
    <s v="Cust 8359"/>
    <s v="Eva Jacobs"/>
    <x v="0"/>
    <s v="Gulfport"/>
    <s v="Mississippi"/>
    <x v="0"/>
  </r>
  <r>
    <s v="REG100583"/>
    <x v="460"/>
    <s v="Cust 1514"/>
    <x v="5"/>
    <n v="566.32000000000005"/>
    <n v="8"/>
    <n v="169.9"/>
    <n v="0"/>
    <s v="Cust 1514"/>
    <s v="Nora Preis"/>
    <x v="2"/>
    <s v="Fresno"/>
    <s v="California"/>
    <x v="1"/>
  </r>
  <r>
    <s v="REG100584"/>
    <x v="461"/>
    <s v="Cust 2774"/>
    <x v="0"/>
    <n v="8945.91"/>
    <n v="17"/>
    <n v="2683.77"/>
    <n v="0.1"/>
    <s v="Cust 2774"/>
    <s v="Doug Jacobs"/>
    <x v="0"/>
    <s v="New York City"/>
    <s v="New York"/>
    <x v="1"/>
  </r>
  <r>
    <s v="REG101356"/>
    <x v="188"/>
    <s v="Cust 4270"/>
    <x v="6"/>
    <n v="1745.17"/>
    <n v="13"/>
    <n v="523.54999999999995"/>
    <n v="0.1"/>
    <s v="Cust 4270"/>
    <s v="Irene Maddox"/>
    <x v="0"/>
    <s v="Milwaukee"/>
    <s v="Wisconsin"/>
    <x v="0"/>
  </r>
  <r>
    <s v="REG100924"/>
    <x v="462"/>
    <s v="Cust 4270"/>
    <x v="0"/>
    <n v="561.92999999999995"/>
    <n v="3"/>
    <n v="168.58"/>
    <n v="0.05"/>
    <s v="Cust 4270"/>
    <s v="Irene Maddox"/>
    <x v="0"/>
    <s v="Milwaukee"/>
    <s v="Wisconsin"/>
    <x v="0"/>
  </r>
  <r>
    <s v="REG100585"/>
    <x v="109"/>
    <s v="Cust 4270"/>
    <x v="1"/>
    <n v="79.12"/>
    <n v="4"/>
    <n v="23.74"/>
    <n v="0.15"/>
    <s v="Cust 4270"/>
    <s v="Irene Maddox"/>
    <x v="0"/>
    <s v="Milwaukee"/>
    <s v="Wisconsin"/>
    <x v="0"/>
  </r>
  <r>
    <s v="REG100586"/>
    <x v="463"/>
    <s v="Cust 3123"/>
    <x v="6"/>
    <n v="1984.19"/>
    <n v="5"/>
    <n v="595.26"/>
    <n v="0.1"/>
    <s v="Cust 3123"/>
    <s v="Mick Hernandez"/>
    <x v="1"/>
    <s v="Chester"/>
    <s v="Pennsylvania"/>
    <x v="0"/>
  </r>
  <r>
    <s v="REG100587"/>
    <x v="63"/>
    <s v="Cust 7414"/>
    <x v="6"/>
    <n v="2784.5"/>
    <n v="10"/>
    <n v="835.35"/>
    <n v="0"/>
    <s v="Cust 7414"/>
    <s v="Ross Baird"/>
    <x v="4"/>
    <s v="Charlotte"/>
    <s v="North Carolina"/>
    <x v="0"/>
  </r>
  <r>
    <s v="REG100588"/>
    <x v="464"/>
    <s v="Cust 5051"/>
    <x v="5"/>
    <n v="5083.13"/>
    <n v="14"/>
    <n v="1524.94"/>
    <n v="0.05"/>
    <s v="Cust 5051"/>
    <s v="Jocasta Rupert"/>
    <x v="2"/>
    <s v="Jacksonville"/>
    <s v="Florida"/>
    <x v="0"/>
  </r>
  <r>
    <s v="REG100589"/>
    <x v="465"/>
    <s v="Cust 5975"/>
    <x v="5"/>
    <n v="3092.12"/>
    <n v="14"/>
    <n v="927.64"/>
    <n v="0.05"/>
    <s v="Cust 5975"/>
    <s v="Suzanne McNair"/>
    <x v="2"/>
    <s v="Greenville"/>
    <s v="North Carolina"/>
    <x v="0"/>
  </r>
  <r>
    <s v="REG100590"/>
    <x v="466"/>
    <s v="Cust 6948"/>
    <x v="0"/>
    <n v="216.89"/>
    <n v="17"/>
    <n v="65.069999999999993"/>
    <n v="0.15"/>
    <s v="Cust 6948"/>
    <s v="Christine Sundaresam"/>
    <x v="1"/>
    <s v="Long Beach"/>
    <s v="New York"/>
    <x v="0"/>
  </r>
  <r>
    <s v="REG100591"/>
    <x v="467"/>
    <s v="Cust 8253"/>
    <x v="5"/>
    <n v="307.33"/>
    <n v="11"/>
    <n v="92.2"/>
    <n v="0.05"/>
    <s v="Cust 8253"/>
    <s v="Chris Cortes"/>
    <x v="2"/>
    <s v="La Porte"/>
    <s v="Indiana"/>
    <x v="0"/>
  </r>
  <r>
    <s v="REG100592"/>
    <x v="468"/>
    <s v="Cust 7238"/>
    <x v="6"/>
    <n v="461.88"/>
    <n v="1"/>
    <n v="138.56"/>
    <n v="0.05"/>
    <s v="Cust 7238"/>
    <s v="Phillip Flathmann"/>
    <x v="3"/>
    <s v="San Francisco"/>
    <s v="California"/>
    <x v="2"/>
  </r>
  <r>
    <s v="REG100593"/>
    <x v="93"/>
    <s v="Cust 2219"/>
    <x v="0"/>
    <n v="1520.02"/>
    <n v="6"/>
    <n v="456.01"/>
    <n v="0.05"/>
    <s v="Cust 2219"/>
    <s v="Julie Creighton"/>
    <x v="1"/>
    <s v="Los Angeles"/>
    <s v="California"/>
    <x v="2"/>
  </r>
  <r>
    <s v="REG100594"/>
    <x v="363"/>
    <s v="Cust 4297"/>
    <x v="4"/>
    <n v="812.16"/>
    <n v="3"/>
    <n v="243.65"/>
    <n v="0.1"/>
    <s v="Cust 4297"/>
    <s v="Brooke Gillingham"/>
    <x v="1"/>
    <s v="Louisville"/>
    <s v="Colorado"/>
    <x v="2"/>
  </r>
  <r>
    <s v="REG100494"/>
    <x v="213"/>
    <s v="Cust 4297"/>
    <x v="0"/>
    <n v="630.33000000000004"/>
    <n v="2"/>
    <n v="189.1"/>
    <n v="0.15"/>
    <s v="Cust 4297"/>
    <s v="Brooke Gillingham"/>
    <x v="1"/>
    <s v="Louisville"/>
    <s v="Colorado"/>
    <x v="2"/>
  </r>
  <r>
    <s v="REG100822"/>
    <x v="469"/>
    <s v="Cust 6665"/>
    <x v="4"/>
    <n v="450.9"/>
    <n v="10"/>
    <n v="135.27000000000001"/>
    <n v="0.1"/>
    <s v="Cust 6665"/>
    <s v="Dan Campbell"/>
    <x v="3"/>
    <s v="Florence"/>
    <s v="Alabama"/>
    <x v="2"/>
  </r>
  <r>
    <s v="REG100595"/>
    <x v="470"/>
    <s v="Cust 6665"/>
    <x v="4"/>
    <n v="832.13"/>
    <n v="11"/>
    <n v="249.64"/>
    <n v="0.05"/>
    <s v="Cust 6665"/>
    <s v="Dan Campbell"/>
    <x v="3"/>
    <s v="Florence"/>
    <s v="Alabama"/>
    <x v="2"/>
  </r>
  <r>
    <s v="REG100596"/>
    <x v="471"/>
    <s v="Cust 4252"/>
    <x v="0"/>
    <n v="3034.2"/>
    <n v="6"/>
    <n v="910.26"/>
    <n v="0"/>
    <s v="Cust 4252"/>
    <s v="Sibella Parks"/>
    <x v="1"/>
    <s v="Chicago"/>
    <s v="Illinois"/>
    <x v="2"/>
  </r>
  <r>
    <s v="REG100597"/>
    <x v="472"/>
    <s v="Cust 6104"/>
    <x v="4"/>
    <n v="2848.1"/>
    <n v="5"/>
    <n v="854.43"/>
    <n v="0"/>
    <s v="Cust 6104"/>
    <s v="Maurice Satty"/>
    <x v="4"/>
    <s v="Fort Worth"/>
    <s v="Texas"/>
    <x v="1"/>
  </r>
  <r>
    <s v="REG100598"/>
    <x v="108"/>
    <s v="Cust 6407"/>
    <x v="6"/>
    <n v="1639.84"/>
    <n v="19"/>
    <n v="491.95"/>
    <n v="0.05"/>
    <s v="Cust 6407"/>
    <s v="Bryan Davis"/>
    <x v="1"/>
    <s v="Houston"/>
    <s v="Texas"/>
    <x v="1"/>
  </r>
  <r>
    <s v="REG100599"/>
    <x v="473"/>
    <s v="Cust 3573"/>
    <x v="3"/>
    <n v="564.13"/>
    <n v="2"/>
    <n v="169.24"/>
    <n v="0.05"/>
    <s v="Cust 3573"/>
    <s v="Karen Carlisle"/>
    <x v="1"/>
    <s v="Macon"/>
    <s v="Georgia"/>
    <x v="0"/>
  </r>
  <r>
    <s v="REG100600"/>
    <x v="474"/>
    <s v="Cust 5280"/>
    <x v="4"/>
    <n v="11.14"/>
    <n v="2"/>
    <n v="3.34"/>
    <n v="0.1"/>
    <s v="Cust 5280"/>
    <s v="Toby Ritter"/>
    <x v="1"/>
    <s v="Cedar Rapids"/>
    <s v="Iowa"/>
    <x v="1"/>
  </r>
  <r>
    <s v="REG101422"/>
    <x v="475"/>
    <s v="Cust 2365"/>
    <x v="1"/>
    <n v="2673.37"/>
    <n v="6"/>
    <n v="802.01"/>
    <n v="0.15"/>
    <s v="Cust 2365"/>
    <s v="Sue Ann Reed"/>
    <x v="3"/>
    <s v="Jacksonville"/>
    <s v="Florida"/>
    <x v="1"/>
  </r>
  <r>
    <s v="REG100601"/>
    <x v="193"/>
    <s v="Cust 2365"/>
    <x v="5"/>
    <n v="3172.46"/>
    <n v="18"/>
    <n v="951.74"/>
    <n v="0.15"/>
    <s v="Cust 2365"/>
    <s v="Sue Ann Reed"/>
    <x v="3"/>
    <s v="Jacksonville"/>
    <s v="Florida"/>
    <x v="1"/>
  </r>
  <r>
    <s v="REG100602"/>
    <x v="476"/>
    <s v="Cust 7130"/>
    <x v="6"/>
    <n v="376.35"/>
    <n v="5"/>
    <n v="112.91"/>
    <n v="0"/>
    <s v="Cust 7130"/>
    <s v="Katrina Willman"/>
    <x v="3"/>
    <s v="Austin"/>
    <s v="Texas"/>
    <x v="0"/>
  </r>
  <r>
    <s v="REG100603"/>
    <x v="429"/>
    <s v="Cust 6539"/>
    <x v="5"/>
    <n v="367.61"/>
    <n v="3"/>
    <n v="110.28"/>
    <n v="0.1"/>
    <s v="Cust 6539"/>
    <s v="Gene McClure"/>
    <x v="1"/>
    <s v="Providence"/>
    <s v="Rhode Island"/>
    <x v="0"/>
  </r>
  <r>
    <s v="REG100922"/>
    <x v="351"/>
    <s v="Cust 1656"/>
    <x v="5"/>
    <n v="2073.7199999999998"/>
    <n v="4"/>
    <n v="622.12"/>
    <n v="0"/>
    <s v="Cust 1656"/>
    <s v="Alan Dominguez"/>
    <x v="3"/>
    <s v="New York City"/>
    <s v="New York"/>
    <x v="0"/>
  </r>
  <r>
    <s v="REG100604"/>
    <x v="477"/>
    <s v="Cust 1656"/>
    <x v="2"/>
    <n v="2450.9699999999998"/>
    <n v="5"/>
    <n v="735.29"/>
    <n v="0.1"/>
    <s v="Cust 1656"/>
    <s v="Alan Dominguez"/>
    <x v="3"/>
    <s v="New York City"/>
    <s v="New York"/>
    <x v="2"/>
  </r>
  <r>
    <s v="REG100605"/>
    <x v="478"/>
    <s v="Cust 1932"/>
    <x v="2"/>
    <n v="3820.92"/>
    <n v="8"/>
    <n v="1146.28"/>
    <n v="0.15"/>
    <s v="Cust 1932"/>
    <s v="Todd Boyes"/>
    <x v="3"/>
    <s v="New York City"/>
    <s v="New York"/>
    <x v="0"/>
  </r>
  <r>
    <s v="REG100993"/>
    <x v="59"/>
    <s v="Cust 7367"/>
    <x v="0"/>
    <n v="1346.31"/>
    <n v="3"/>
    <n v="403.89"/>
    <n v="0"/>
    <s v="Cust 7367"/>
    <s v="Chuck Clark"/>
    <x v="1"/>
    <s v="San Francisco"/>
    <s v="California"/>
    <x v="1"/>
  </r>
  <r>
    <s v="REG100606"/>
    <x v="188"/>
    <s v="Cust 7367"/>
    <x v="3"/>
    <n v="5328.99"/>
    <n v="20"/>
    <n v="1598.7"/>
    <n v="0.15"/>
    <s v="Cust 7367"/>
    <s v="Chuck Clark"/>
    <x v="1"/>
    <s v="San Francisco"/>
    <s v="California"/>
    <x v="1"/>
  </r>
  <r>
    <s v="REG101477"/>
    <x v="479"/>
    <s v="Cust 1116"/>
    <x v="6"/>
    <n v="2126.02"/>
    <n v="8"/>
    <n v="637.80999999999995"/>
    <n v="0.05"/>
    <s v="Cust 1116"/>
    <s v="Philip Fox"/>
    <x v="1"/>
    <s v="San Diego"/>
    <s v="California"/>
    <x v="1"/>
  </r>
  <r>
    <s v="REG100607"/>
    <x v="388"/>
    <s v="Cust 1116"/>
    <x v="1"/>
    <n v="355.68"/>
    <n v="1"/>
    <n v="106.7"/>
    <n v="0.15"/>
    <s v="Cust 1116"/>
    <s v="Philip Fox"/>
    <x v="1"/>
    <s v="San Diego"/>
    <s v="California"/>
    <x v="1"/>
  </r>
  <r>
    <s v="REG100608"/>
    <x v="480"/>
    <s v="Cust 4464"/>
    <x v="5"/>
    <n v="3029.4"/>
    <n v="8"/>
    <n v="908.82"/>
    <n v="0.1"/>
    <s v="Cust 4464"/>
    <s v="Justin Hirsh"/>
    <x v="4"/>
    <s v="Pueblo"/>
    <s v="Colorado"/>
    <x v="0"/>
  </r>
  <r>
    <s v="REG100609"/>
    <x v="311"/>
    <s v="Cust 2543"/>
    <x v="4"/>
    <n v="8229.76"/>
    <n v="16"/>
    <n v="2468.9299999999998"/>
    <n v="0"/>
    <s v="Cust 2543"/>
    <s v="Erica Bern"/>
    <x v="4"/>
    <s v="Fairfield"/>
    <s v="California"/>
    <x v="0"/>
  </r>
  <r>
    <s v="REG100610"/>
    <x v="481"/>
    <s v="Cust 7948"/>
    <x v="1"/>
    <n v="534.96"/>
    <n v="2"/>
    <n v="160.49"/>
    <n v="0.1"/>
    <s v="Cust 7948"/>
    <s v="Quincy Jones"/>
    <x v="0"/>
    <s v="Saint Paul"/>
    <s v="Minnesota"/>
    <x v="2"/>
  </r>
  <r>
    <s v="REG100611"/>
    <x v="333"/>
    <s v="Cust 3199"/>
    <x v="3"/>
    <n v="2780"/>
    <n v="10"/>
    <n v="834"/>
    <n v="0"/>
    <s v="Cust 3199"/>
    <s v="Alex Avila"/>
    <x v="2"/>
    <s v="San Francisco"/>
    <s v="California"/>
    <x v="2"/>
  </r>
  <r>
    <s v="REG100966"/>
    <x v="417"/>
    <s v="Cust 2800"/>
    <x v="4"/>
    <n v="6508.08"/>
    <n v="15"/>
    <n v="1952.42"/>
    <n v="0.1"/>
    <s v="Cust 2800"/>
    <s v="Logan Currie"/>
    <x v="4"/>
    <s v="Springfield"/>
    <s v="Virginia"/>
    <x v="2"/>
  </r>
  <r>
    <s v="REG100612"/>
    <x v="482"/>
    <s v="Cust 2800"/>
    <x v="5"/>
    <n v="4198.82"/>
    <n v="8"/>
    <n v="1259.6500000000001"/>
    <n v="0.1"/>
    <s v="Cust 2800"/>
    <s v="Logan Currie"/>
    <x v="4"/>
    <s v="Springfield"/>
    <s v="Virginia"/>
    <x v="1"/>
  </r>
  <r>
    <s v="REG100613"/>
    <x v="20"/>
    <s v="Cust 3863"/>
    <x v="2"/>
    <n v="1088.93"/>
    <n v="16"/>
    <n v="326.68"/>
    <n v="0.1"/>
    <s v="Cust 3863"/>
    <s v="Tracy Collins"/>
    <x v="3"/>
    <s v="Arlington"/>
    <s v="Virginia"/>
    <x v="1"/>
  </r>
  <r>
    <s v="REG100614"/>
    <x v="483"/>
    <s v="Cust 8391"/>
    <x v="2"/>
    <n v="6936.01"/>
    <n v="13"/>
    <n v="2080.8000000000002"/>
    <n v="0.05"/>
    <s v="Cust 8391"/>
    <s v="Chuck Sachs"/>
    <x v="0"/>
    <s v="Columbus"/>
    <s v="Georgia"/>
    <x v="2"/>
  </r>
  <r>
    <s v="REG100615"/>
    <x v="484"/>
    <s v="Cust 6711"/>
    <x v="2"/>
    <n v="1798.05"/>
    <n v="5"/>
    <n v="539.41999999999996"/>
    <n v="0"/>
    <s v="Cust 6711"/>
    <s v="Bryan Mills"/>
    <x v="1"/>
    <s v="Houston"/>
    <s v="Texas"/>
    <x v="1"/>
  </r>
  <r>
    <s v="REG100616"/>
    <x v="91"/>
    <s v="Cust 8653"/>
    <x v="6"/>
    <n v="1472.37"/>
    <n v="15"/>
    <n v="441.71"/>
    <n v="0.15"/>
    <s v="Cust 8653"/>
    <s v="Roy Collins"/>
    <x v="2"/>
    <s v="Pasadena"/>
    <s v="California"/>
    <x v="0"/>
  </r>
  <r>
    <s v="REG100617"/>
    <x v="485"/>
    <s v="Cust 7937"/>
    <x v="0"/>
    <n v="6081.85"/>
    <n v="12"/>
    <n v="1824.56"/>
    <n v="0.15"/>
    <s v="Cust 7937"/>
    <s v="Fred McMath"/>
    <x v="1"/>
    <s v="Lawrence"/>
    <s v="Massachusetts"/>
    <x v="0"/>
  </r>
  <r>
    <s v="REG100618"/>
    <x v="486"/>
    <s v="Cust 5972"/>
    <x v="6"/>
    <n v="7250.32"/>
    <n v="19"/>
    <n v="2175.1"/>
    <n v="0.05"/>
    <s v="Cust 5972"/>
    <s v="Pete Kriz"/>
    <x v="3"/>
    <s v="Columbus"/>
    <s v="Ohio"/>
    <x v="0"/>
  </r>
  <r>
    <s v="REG100619"/>
    <x v="467"/>
    <s v="Cust 8597"/>
    <x v="2"/>
    <n v="1467.44"/>
    <n v="13"/>
    <n v="440.23"/>
    <n v="0"/>
    <s v="Cust 8597"/>
    <s v="Henry Goldwyn"/>
    <x v="4"/>
    <s v="Los Angeles"/>
    <s v="California"/>
    <x v="0"/>
  </r>
  <r>
    <s v="REG100620"/>
    <x v="147"/>
    <s v="Cust 5382"/>
    <x v="1"/>
    <n v="1887.41"/>
    <n v="6"/>
    <n v="566.22"/>
    <n v="0.15"/>
    <s v="Cust 5382"/>
    <s v="Helen Andreada"/>
    <x v="4"/>
    <s v="Philadelphia"/>
    <s v="Pennsylvania"/>
    <x v="0"/>
  </r>
  <r>
    <s v="REG100621"/>
    <x v="479"/>
    <s v="Cust 4323"/>
    <x v="3"/>
    <n v="1528.22"/>
    <n v="15"/>
    <n v="458.46"/>
    <n v="0.15"/>
    <s v="Cust 4323"/>
    <s v="Laurel Workman"/>
    <x v="2"/>
    <s v="Deltona"/>
    <s v="Florida"/>
    <x v="0"/>
  </r>
  <r>
    <s v="REG100622"/>
    <x v="487"/>
    <s v="Cust 1767"/>
    <x v="1"/>
    <n v="1153.6199999999999"/>
    <n v="5"/>
    <n v="346.09"/>
    <n v="0.15"/>
    <s v="Cust 1767"/>
    <s v="Matt Collins"/>
    <x v="0"/>
    <s v="Cincinnati"/>
    <s v="Ohio"/>
    <x v="0"/>
  </r>
  <r>
    <s v="REG100623"/>
    <x v="113"/>
    <s v="Cust 3845"/>
    <x v="2"/>
    <n v="3106.98"/>
    <n v="9"/>
    <n v="932.1"/>
    <n v="0.05"/>
    <s v="Cust 3845"/>
    <s v="Liz Preis"/>
    <x v="0"/>
    <s v="Murray"/>
    <s v="Kentucky"/>
    <x v="2"/>
  </r>
  <r>
    <s v="REG100101"/>
    <x v="37"/>
    <s v="Cust 3845"/>
    <x v="4"/>
    <n v="663"/>
    <n v="3"/>
    <n v="198.9"/>
    <n v="0"/>
    <s v="Cust 3845"/>
    <s v="Liz Preis"/>
    <x v="0"/>
    <s v="Murray"/>
    <s v="Kentucky"/>
    <x v="2"/>
  </r>
  <r>
    <s v="REG100624"/>
    <x v="139"/>
    <s v="Cust 5912"/>
    <x v="4"/>
    <n v="5444.45"/>
    <n v="12"/>
    <n v="1633.34"/>
    <n v="0.15"/>
    <s v="Cust 5912"/>
    <s v="Evan Bailliet"/>
    <x v="4"/>
    <s v="Wilmington"/>
    <s v="North Carolina"/>
    <x v="2"/>
  </r>
  <r>
    <s v="REG100625"/>
    <x v="441"/>
    <s v="Cust 4446"/>
    <x v="2"/>
    <n v="2073.92"/>
    <n v="12"/>
    <n v="622.17999999999995"/>
    <n v="0.1"/>
    <s v="Cust 4446"/>
    <s v="George Zrebassa"/>
    <x v="1"/>
    <s v="Lawrence"/>
    <s v="Massachusetts"/>
    <x v="2"/>
  </r>
  <r>
    <s v="REG100626"/>
    <x v="488"/>
    <s v="Cust 6107"/>
    <x v="3"/>
    <n v="10084.4"/>
    <n v="20"/>
    <n v="3025.32"/>
    <n v="0"/>
    <s v="Cust 6107"/>
    <s v="Laurel Elliston"/>
    <x v="1"/>
    <s v="Chicago"/>
    <s v="Illinois"/>
    <x v="2"/>
  </r>
  <r>
    <s v="REG100627"/>
    <x v="489"/>
    <s v="Cust 3330"/>
    <x v="0"/>
    <n v="1220.06"/>
    <n v="7"/>
    <n v="366.02"/>
    <n v="0.1"/>
    <s v="Cust 3330"/>
    <s v="Alan Dominguez"/>
    <x v="0"/>
    <s v="Philadelphia"/>
    <s v="Pennsylvania"/>
    <x v="2"/>
  </r>
  <r>
    <s v="REG100628"/>
    <x v="73"/>
    <s v="Cust 3604"/>
    <x v="3"/>
    <n v="731.24"/>
    <n v="3"/>
    <n v="219.37"/>
    <n v="0.1"/>
    <s v="Cust 3604"/>
    <s v="Cathy Prescott"/>
    <x v="1"/>
    <s v="Norwich"/>
    <s v="Connecticut"/>
    <x v="0"/>
  </r>
  <r>
    <s v="REG100629"/>
    <x v="490"/>
    <s v="Cust 7412"/>
    <x v="6"/>
    <n v="1117.44"/>
    <n v="18"/>
    <n v="335.23"/>
    <n v="0"/>
    <s v="Cust 7412"/>
    <s v="Frank Gastineau"/>
    <x v="3"/>
    <s v="San Francisco"/>
    <s v="California"/>
    <x v="2"/>
  </r>
  <r>
    <s v="REG100630"/>
    <x v="491"/>
    <s v="Cust 5183"/>
    <x v="4"/>
    <n v="4730.7299999999996"/>
    <n v="11"/>
    <n v="1419.22"/>
    <n v="0.15"/>
    <s v="Cust 5183"/>
    <s v="Lisa DeCherney"/>
    <x v="1"/>
    <s v="San Francisco"/>
    <s v="California"/>
    <x v="2"/>
  </r>
  <r>
    <s v="REG100631"/>
    <x v="52"/>
    <s v="Cust 4825"/>
    <x v="6"/>
    <n v="212.36"/>
    <n v="4"/>
    <n v="63.71"/>
    <n v="0.15"/>
    <s v="Cust 4825"/>
    <s v="Alejandro Ballentine"/>
    <x v="4"/>
    <s v="Lorain"/>
    <s v="Ohio"/>
    <x v="2"/>
  </r>
  <r>
    <s v="REG100632"/>
    <x v="492"/>
    <s v="Cust 2123"/>
    <x v="1"/>
    <n v="3024.5"/>
    <n v="7"/>
    <n v="907.35"/>
    <n v="0.1"/>
    <s v="Cust 2123"/>
    <s v="Michael Nguyen"/>
    <x v="1"/>
    <s v="Dallas"/>
    <s v="Texas"/>
    <x v="0"/>
  </r>
  <r>
    <s v="REG100633"/>
    <x v="493"/>
    <s v="Cust 8684"/>
    <x v="6"/>
    <n v="1091.8800000000001"/>
    <n v="18"/>
    <n v="327.56"/>
    <n v="0"/>
    <s v="Cust 8684"/>
    <s v="Harold Pawlan"/>
    <x v="4"/>
    <s v="Los Angeles"/>
    <s v="California"/>
    <x v="0"/>
  </r>
  <r>
    <s v="REG100634"/>
    <x v="318"/>
    <s v="Cust 5964"/>
    <x v="2"/>
    <n v="1419.81"/>
    <n v="6"/>
    <n v="425.94"/>
    <n v="0.05"/>
    <s v="Cust 5964"/>
    <s v="Jim Radford"/>
    <x v="2"/>
    <s v="Middletown"/>
    <s v="Connecticut"/>
    <x v="0"/>
  </r>
  <r>
    <s v="REG100635"/>
    <x v="434"/>
    <s v="Cust 1810"/>
    <x v="1"/>
    <n v="7200.9"/>
    <n v="20"/>
    <n v="2160.27"/>
    <n v="0.1"/>
    <s v="Cust 1810"/>
    <s v="Jamie Frazer"/>
    <x v="0"/>
    <s v="Los Angeles"/>
    <s v="California"/>
    <x v="0"/>
  </r>
  <r>
    <s v="REG100793"/>
    <x v="131"/>
    <s v="Cust 2685"/>
    <x v="3"/>
    <n v="1504.61"/>
    <n v="5"/>
    <n v="451.38"/>
    <n v="0.05"/>
    <s v="Cust 2685"/>
    <s v="Chad McGuire"/>
    <x v="1"/>
    <s v="New York City"/>
    <s v="New York"/>
    <x v="1"/>
  </r>
  <r>
    <s v="REG100636"/>
    <x v="494"/>
    <s v="Cust 2685"/>
    <x v="4"/>
    <n v="124.33"/>
    <n v="1"/>
    <n v="37.299999999999997"/>
    <n v="0.05"/>
    <s v="Cust 2685"/>
    <s v="Chad McGuire"/>
    <x v="1"/>
    <s v="New York City"/>
    <s v="New York"/>
    <x v="1"/>
  </r>
  <r>
    <s v="REG100637"/>
    <x v="495"/>
    <s v="Cust 7855"/>
    <x v="6"/>
    <n v="1244.3"/>
    <n v="11"/>
    <n v="373.29"/>
    <n v="0.15"/>
    <s v="Cust 7855"/>
    <s v="Aaron Smayling"/>
    <x v="3"/>
    <s v="Jacksonville"/>
    <s v="North Carolina"/>
    <x v="0"/>
  </r>
  <r>
    <s v="REG101394"/>
    <x v="433"/>
    <s v="Cust 4101"/>
    <x v="3"/>
    <n v="6429.28"/>
    <n v="16"/>
    <n v="1928.78"/>
    <n v="0"/>
    <s v="Cust 4101"/>
    <s v="Karl Braun"/>
    <x v="0"/>
    <s v="Freeport"/>
    <s v="New York"/>
    <x v="0"/>
  </r>
  <r>
    <s v="REG100638"/>
    <x v="478"/>
    <s v="Cust 4101"/>
    <x v="3"/>
    <n v="5249.56"/>
    <n v="13"/>
    <n v="1574.87"/>
    <n v="0.1"/>
    <s v="Cust 4101"/>
    <s v="Karl Braun"/>
    <x v="0"/>
    <s v="Freeport"/>
    <s v="New York"/>
    <x v="0"/>
  </r>
  <r>
    <s v="REG100639"/>
    <x v="496"/>
    <s v="Cust 7964"/>
    <x v="6"/>
    <n v="688.37"/>
    <n v="19"/>
    <n v="206.51"/>
    <n v="0"/>
    <s v="Cust 7964"/>
    <s v="Bradley Nguyen"/>
    <x v="2"/>
    <s v="Lakeville"/>
    <s v="Minnesota"/>
    <x v="0"/>
  </r>
  <r>
    <s v="REG100640"/>
    <x v="120"/>
    <s v="Cust 5857"/>
    <x v="3"/>
    <n v="1592.78"/>
    <n v="14"/>
    <n v="477.83"/>
    <n v="0"/>
    <s v="Cust 5857"/>
    <s v="Beth Paige"/>
    <x v="4"/>
    <s v="Evanston"/>
    <s v="Illinois"/>
    <x v="0"/>
  </r>
  <r>
    <s v="REG100337"/>
    <x v="309"/>
    <s v="Cust 5857"/>
    <x v="5"/>
    <n v="1497.38"/>
    <n v="11"/>
    <n v="449.21"/>
    <n v="0.1"/>
    <s v="Cust 5857"/>
    <s v="Beth Paige"/>
    <x v="4"/>
    <s v="Evanston"/>
    <s v="Illinois"/>
    <x v="1"/>
  </r>
  <r>
    <s v="REG100641"/>
    <x v="119"/>
    <s v="Cust 7010"/>
    <x v="4"/>
    <n v="179.2"/>
    <n v="2"/>
    <n v="53.76"/>
    <n v="0"/>
    <s v="Cust 7010"/>
    <s v="Aaron Smayling"/>
    <x v="3"/>
    <s v="Arlington"/>
    <s v="Virginia"/>
    <x v="0"/>
  </r>
  <r>
    <s v="REG100642"/>
    <x v="497"/>
    <s v="Cust 7917"/>
    <x v="2"/>
    <n v="999.4"/>
    <n v="3"/>
    <n v="299.82"/>
    <n v="0.15"/>
    <s v="Cust 7917"/>
    <s v="Lindsay Williams"/>
    <x v="0"/>
    <s v="San Francisco"/>
    <s v="California"/>
    <x v="1"/>
  </r>
  <r>
    <s v="REG100643"/>
    <x v="498"/>
    <s v="Cust 8111"/>
    <x v="3"/>
    <n v="3770.37"/>
    <n v="10"/>
    <n v="1131.1099999999999"/>
    <n v="0.1"/>
    <s v="Cust 8111"/>
    <s v="Dan Campbell"/>
    <x v="1"/>
    <s v="Houston"/>
    <s v="Texas"/>
    <x v="0"/>
  </r>
  <r>
    <s v="REG101306"/>
    <x v="499"/>
    <s v="Cust 4715"/>
    <x v="4"/>
    <n v="8607.15"/>
    <n v="15"/>
    <n v="2582.15"/>
    <n v="0"/>
    <s v="Cust 4715"/>
    <s v="Natalie DeCherney"/>
    <x v="0"/>
    <s v="Louisville"/>
    <s v="Kentucky"/>
    <x v="0"/>
  </r>
  <r>
    <s v="REG100644"/>
    <x v="500"/>
    <s v="Cust 4715"/>
    <x v="5"/>
    <n v="3637.08"/>
    <n v="12"/>
    <n v="1091.1199999999999"/>
    <n v="0"/>
    <s v="Cust 4715"/>
    <s v="Natalie DeCherney"/>
    <x v="0"/>
    <s v="Louisville"/>
    <s v="Kentucky"/>
    <x v="1"/>
  </r>
  <r>
    <s v="REG100645"/>
    <x v="9"/>
    <s v="Cust 8720"/>
    <x v="5"/>
    <n v="1889.55"/>
    <n v="10"/>
    <n v="566.87"/>
    <n v="0.1"/>
    <s v="Cust 8720"/>
    <s v="Larry Blacks"/>
    <x v="0"/>
    <s v="Fort Worth"/>
    <s v="Texas"/>
    <x v="1"/>
  </r>
  <r>
    <s v="REG100646"/>
    <x v="501"/>
    <s v="Cust 8216"/>
    <x v="0"/>
    <n v="2042.14"/>
    <n v="8"/>
    <n v="612.64"/>
    <n v="0.1"/>
    <s v="Cust 8216"/>
    <s v="Kean Takahito"/>
    <x v="0"/>
    <s v="Los Angeles"/>
    <s v="California"/>
    <x v="0"/>
  </r>
  <r>
    <s v="REG100647"/>
    <x v="502"/>
    <s v="Cust 6946"/>
    <x v="1"/>
    <n v="115.67"/>
    <n v="7"/>
    <n v="34.700000000000003"/>
    <n v="0.1"/>
    <s v="Cust 6946"/>
    <s v="Harry Marie"/>
    <x v="1"/>
    <s v="Philadelphia"/>
    <s v="Pennsylvania"/>
    <x v="1"/>
  </r>
  <r>
    <s v="REG100648"/>
    <x v="503"/>
    <s v="Cust 9888"/>
    <x v="5"/>
    <n v="3850.58"/>
    <n v="9"/>
    <n v="1155.17"/>
    <n v="0.1"/>
    <s v="Cust 9888"/>
    <s v="Ann Blume"/>
    <x v="0"/>
    <s v="Tucson"/>
    <s v="Arizona"/>
    <x v="0"/>
  </r>
  <r>
    <s v="REG101351"/>
    <x v="385"/>
    <s v="Cust 4009"/>
    <x v="4"/>
    <n v="1163.03"/>
    <n v="4"/>
    <n v="348.91"/>
    <n v="0.05"/>
    <s v="Cust 4009"/>
    <s v="Sam Zeldin"/>
    <x v="3"/>
    <s v="Pico Rivera"/>
    <s v="California"/>
    <x v="1"/>
  </r>
  <r>
    <s v="REG100649"/>
    <x v="504"/>
    <s v="Cust 4009"/>
    <x v="3"/>
    <n v="7103.04"/>
    <n v="12"/>
    <n v="2130.91"/>
    <n v="0"/>
    <s v="Cust 4009"/>
    <s v="Sam Zeldin"/>
    <x v="3"/>
    <s v="Pico Rivera"/>
    <s v="California"/>
    <x v="1"/>
  </r>
  <r>
    <s v="REG100650"/>
    <x v="187"/>
    <s v="Cust 9489"/>
    <x v="1"/>
    <n v="619.98"/>
    <n v="7"/>
    <n v="185.99"/>
    <n v="0.05"/>
    <s v="Cust 9489"/>
    <s v="Jim Radford"/>
    <x v="2"/>
    <s v="Colorado Springs"/>
    <s v="Colorado"/>
    <x v="1"/>
  </r>
  <r>
    <s v="REG100651"/>
    <x v="238"/>
    <s v="Cust 2446"/>
    <x v="6"/>
    <n v="4480.6499999999996"/>
    <n v="15"/>
    <n v="1344.2"/>
    <n v="0"/>
    <s v="Cust 2446"/>
    <s v="Michael Granlund"/>
    <x v="0"/>
    <s v="Clinton"/>
    <s v="Maryland"/>
    <x v="1"/>
  </r>
  <r>
    <s v="REG100652"/>
    <x v="505"/>
    <s v="Cust 4150"/>
    <x v="6"/>
    <n v="667.72"/>
    <n v="15"/>
    <n v="200.32"/>
    <n v="0.15"/>
    <s v="Cust 4150"/>
    <s v="Kunst Miller"/>
    <x v="4"/>
    <s v="Vallejo"/>
    <s v="California"/>
    <x v="1"/>
  </r>
  <r>
    <s v="REG100653"/>
    <x v="256"/>
    <s v="Cust 3569"/>
    <x v="1"/>
    <n v="562.63"/>
    <n v="6"/>
    <n v="168.79"/>
    <n v="0.1"/>
    <s v="Cust 3569"/>
    <s v="Christina Anderson"/>
    <x v="3"/>
    <s v="Provo"/>
    <s v="Utah"/>
    <x v="1"/>
  </r>
  <r>
    <s v="REG100654"/>
    <x v="506"/>
    <s v="Cust 1023"/>
    <x v="0"/>
    <n v="3747.48"/>
    <n v="8"/>
    <n v="1124.25"/>
    <n v="0.05"/>
    <s v="Cust 1023"/>
    <s v="Valerie Dominguez"/>
    <x v="1"/>
    <s v="Pleasant Grove"/>
    <s v="Utah"/>
    <x v="0"/>
  </r>
  <r>
    <s v="REG100655"/>
    <x v="507"/>
    <s v="Cust 3748"/>
    <x v="3"/>
    <n v="1749.48"/>
    <n v="6"/>
    <n v="524.84"/>
    <n v="0"/>
    <s v="Cust 3748"/>
    <s v="Julie Kriz"/>
    <x v="1"/>
    <s v="Aurora"/>
    <s v="Illinois"/>
    <x v="1"/>
  </r>
  <r>
    <s v="REG100656"/>
    <x v="508"/>
    <s v="Cust 4798"/>
    <x v="6"/>
    <n v="103.13"/>
    <n v="1"/>
    <n v="30.94"/>
    <n v="0"/>
    <s v="Cust 4798"/>
    <s v="Paul Prost"/>
    <x v="4"/>
    <s v="Smyrna"/>
    <s v="Georgia"/>
    <x v="1"/>
  </r>
  <r>
    <s v="REG100657"/>
    <x v="325"/>
    <s v="Cust 8305"/>
    <x v="5"/>
    <n v="514.80999999999995"/>
    <n v="1"/>
    <n v="154.44"/>
    <n v="0.05"/>
    <s v="Cust 8305"/>
    <s v="Yana Sorensen"/>
    <x v="0"/>
    <s v="Burlington"/>
    <s v="North Carolina"/>
    <x v="1"/>
  </r>
  <r>
    <s v="REG100361"/>
    <x v="326"/>
    <s v="Cust 8305"/>
    <x v="2"/>
    <n v="26.22"/>
    <n v="5"/>
    <n v="7.87"/>
    <n v="0.05"/>
    <s v="Cust 8305"/>
    <s v="Yana Sorensen"/>
    <x v="0"/>
    <s v="Burlington"/>
    <s v="North Carolina"/>
    <x v="1"/>
  </r>
  <r>
    <s v="REG100658"/>
    <x v="278"/>
    <s v="Cust 3864"/>
    <x v="1"/>
    <n v="3000.59"/>
    <n v="11"/>
    <n v="900.18"/>
    <n v="0.1"/>
    <s v="Cust 3864"/>
    <s v="Cyma Kinney"/>
    <x v="2"/>
    <s v="Aurora"/>
    <s v="Illinois"/>
    <x v="1"/>
  </r>
  <r>
    <s v="REG100659"/>
    <x v="247"/>
    <s v="Cust 3459"/>
    <x v="2"/>
    <n v="645.91"/>
    <n v="11"/>
    <n v="193.77"/>
    <n v="0.05"/>
    <s v="Cust 3459"/>
    <s v="Nat Carroll"/>
    <x v="3"/>
    <s v="New York City"/>
    <s v="New York"/>
    <x v="1"/>
  </r>
  <r>
    <s v="REG100660"/>
    <x v="509"/>
    <s v="Cust 1187"/>
    <x v="2"/>
    <n v="2557.08"/>
    <n v="8"/>
    <n v="767.12"/>
    <n v="0.1"/>
    <s v="Cust 1187"/>
    <s v="Katherine Murray"/>
    <x v="3"/>
    <s v="Salem"/>
    <s v="Virginia"/>
    <x v="0"/>
  </r>
  <r>
    <s v="REG100661"/>
    <x v="285"/>
    <s v="Cust 7509"/>
    <x v="5"/>
    <n v="1186.42"/>
    <n v="11"/>
    <n v="355.92"/>
    <n v="0.1"/>
    <s v="Cust 7509"/>
    <s v="Gary Mitchum"/>
    <x v="4"/>
    <s v="Columbus"/>
    <s v="Ohio"/>
    <x v="2"/>
  </r>
  <r>
    <s v="REG100662"/>
    <x v="504"/>
    <s v="Cust 1869"/>
    <x v="0"/>
    <n v="4838.46"/>
    <n v="16"/>
    <n v="1451.54"/>
    <n v="0.05"/>
    <s v="Cust 1869"/>
    <s v="Shirley Daniels"/>
    <x v="1"/>
    <s v="Philadelphia"/>
    <s v="Pennsylvania"/>
    <x v="2"/>
  </r>
  <r>
    <s v="REG100663"/>
    <x v="510"/>
    <s v="Cust 5943"/>
    <x v="2"/>
    <n v="3415.65"/>
    <n v="9"/>
    <n v="1024.69"/>
    <n v="0.15"/>
    <s v="Cust 5943"/>
    <s v="Karen Daniels"/>
    <x v="1"/>
    <s v="New York City"/>
    <s v="New York"/>
    <x v="2"/>
  </r>
  <r>
    <s v="REG100664"/>
    <x v="9"/>
    <s v="Cust 8364"/>
    <x v="2"/>
    <n v="3727.01"/>
    <n v="16"/>
    <n v="1118.0999999999999"/>
    <n v="0.1"/>
    <s v="Cust 8364"/>
    <s v="Adrian Barton"/>
    <x v="1"/>
    <s v="Phoenix"/>
    <s v="Arizona"/>
    <x v="2"/>
  </r>
  <r>
    <s v="REG100665"/>
    <x v="511"/>
    <s v="Cust 8401"/>
    <x v="4"/>
    <n v="2331.41"/>
    <n v="9"/>
    <n v="699.42"/>
    <n v="0.05"/>
    <s v="Cust 8401"/>
    <s v="Sam Zeldin"/>
    <x v="2"/>
    <s v="Grand Prairie"/>
    <s v="Texas"/>
    <x v="0"/>
  </r>
  <r>
    <s v="REG100666"/>
    <x v="512"/>
    <s v="Cust 4047"/>
    <x v="5"/>
    <n v="5265.24"/>
    <n v="12"/>
    <n v="1579.57"/>
    <n v="0"/>
    <s v="Cust 4047"/>
    <s v="Jonathan Doherty"/>
    <x v="3"/>
    <s v="New York City"/>
    <s v="New York"/>
    <x v="0"/>
  </r>
  <r>
    <s v="REG100667"/>
    <x v="513"/>
    <s v="Cust 6019"/>
    <x v="6"/>
    <n v="4817.34"/>
    <n v="18"/>
    <n v="1445.2"/>
    <n v="0"/>
    <s v="Cust 6019"/>
    <s v="Helen Abelman"/>
    <x v="4"/>
    <s v="New York City"/>
    <s v="New York"/>
    <x v="0"/>
  </r>
  <r>
    <s v="REG100668"/>
    <x v="514"/>
    <s v="Cust 8750"/>
    <x v="4"/>
    <n v="660.86"/>
    <n v="6"/>
    <n v="198.26"/>
    <n v="0.05"/>
    <s v="Cust 8750"/>
    <s v="Beth Thompson"/>
    <x v="3"/>
    <s v="Costa Mesa"/>
    <s v="California"/>
    <x v="0"/>
  </r>
  <r>
    <s v="REG100669"/>
    <x v="515"/>
    <s v="Cust 5782"/>
    <x v="4"/>
    <n v="5239.82"/>
    <n v="19"/>
    <n v="1571.95"/>
    <n v="0"/>
    <s v="Cust 5782"/>
    <s v="Stuart Van"/>
    <x v="2"/>
    <s v="Houston"/>
    <s v="Texas"/>
    <x v="1"/>
  </r>
  <r>
    <s v="REG100670"/>
    <x v="251"/>
    <s v="Cust 4090"/>
    <x v="3"/>
    <n v="3071.16"/>
    <n v="12"/>
    <n v="921.35"/>
    <n v="0"/>
    <s v="Cust 4090"/>
    <s v="Rick Wilson"/>
    <x v="3"/>
    <s v="Mesa"/>
    <s v="Arizona"/>
    <x v="0"/>
  </r>
  <r>
    <s v="REG100671"/>
    <x v="516"/>
    <s v="Cust 4730"/>
    <x v="1"/>
    <n v="324.02999999999997"/>
    <n v="1"/>
    <n v="97.21"/>
    <n v="0.15"/>
    <s v="Cust 4730"/>
    <s v="Damala Kotsonis"/>
    <x v="4"/>
    <s v="Salinas"/>
    <s v="California"/>
    <x v="0"/>
  </r>
  <r>
    <s v="REG100672"/>
    <x v="517"/>
    <s v="Cust 5648"/>
    <x v="2"/>
    <n v="162.47999999999999"/>
    <n v="5"/>
    <n v="48.74"/>
    <n v="0.15"/>
    <s v="Cust 5648"/>
    <s v="Liz Thompson"/>
    <x v="1"/>
    <s v="Columbus"/>
    <s v="Ohio"/>
    <x v="0"/>
  </r>
  <r>
    <s v="REG100673"/>
    <x v="51"/>
    <s v="Cust 8933"/>
    <x v="0"/>
    <n v="1581.02"/>
    <n v="7"/>
    <n v="474.31"/>
    <n v="0"/>
    <s v="Cust 8933"/>
    <s v="Irene Maddox"/>
    <x v="3"/>
    <s v="Florence"/>
    <s v="Alabama"/>
    <x v="0"/>
  </r>
  <r>
    <s v="REG100674"/>
    <x v="28"/>
    <s v="Cust 9280"/>
    <x v="2"/>
    <n v="4164.95"/>
    <n v="8"/>
    <n v="1249.49"/>
    <n v="0.05"/>
    <s v="Cust 9280"/>
    <s v="Frank Preis"/>
    <x v="3"/>
    <s v="Seattle"/>
    <s v="Washington"/>
    <x v="0"/>
  </r>
  <r>
    <s v="REG100675"/>
    <x v="50"/>
    <s v="Cust 8696"/>
    <x v="4"/>
    <n v="8298.6299999999992"/>
    <n v="18"/>
    <n v="2489.59"/>
    <n v="0.05"/>
    <s v="Cust 8696"/>
    <s v="Shui Tom"/>
    <x v="4"/>
    <s v="Parma"/>
    <s v="Ohio"/>
    <x v="0"/>
  </r>
  <r>
    <s v="REG100676"/>
    <x v="518"/>
    <s v="Cust 1944"/>
    <x v="4"/>
    <n v="7084.7"/>
    <n v="19"/>
    <n v="2125.41"/>
    <n v="0.1"/>
    <s v="Cust 1944"/>
    <s v="Joel Eaton"/>
    <x v="4"/>
    <s v="Amarillo"/>
    <s v="Texas"/>
    <x v="0"/>
  </r>
  <r>
    <s v="REG100677"/>
    <x v="170"/>
    <s v="Cust 7780"/>
    <x v="4"/>
    <n v="385.47"/>
    <n v="8"/>
    <n v="115.64"/>
    <n v="0.05"/>
    <s v="Cust 7780"/>
    <s v="Bill Donatelli"/>
    <x v="2"/>
    <s v="Providence"/>
    <s v="Rhode Island"/>
    <x v="0"/>
  </r>
  <r>
    <s v="REG100678"/>
    <x v="366"/>
    <s v="Cust 8055"/>
    <x v="6"/>
    <n v="1203.1099999999999"/>
    <n v="17"/>
    <n v="360.93"/>
    <n v="0.15"/>
    <s v="Cust 8055"/>
    <s v="Michael Moore"/>
    <x v="2"/>
    <s v="San Francisco"/>
    <s v="California"/>
    <x v="0"/>
  </r>
  <r>
    <s v="REG100679"/>
    <x v="404"/>
    <s v="Cust 4707"/>
    <x v="2"/>
    <n v="881.45"/>
    <n v="20"/>
    <n v="264.44"/>
    <n v="0.15"/>
    <s v="Cust 4707"/>
    <s v="Pauline Webber"/>
    <x v="3"/>
    <s v="Richmond"/>
    <s v="Kentucky"/>
    <x v="0"/>
  </r>
  <r>
    <s v="REG100680"/>
    <x v="274"/>
    <s v="Cust 8088"/>
    <x v="6"/>
    <n v="1396.61"/>
    <n v="12"/>
    <n v="418.98"/>
    <n v="0.05"/>
    <s v="Cust 8088"/>
    <s v="Shaun Chance"/>
    <x v="1"/>
    <s v="Aurora"/>
    <s v="Colorado"/>
    <x v="1"/>
  </r>
  <r>
    <s v="REG100287"/>
    <x v="269"/>
    <s v="Cust 8088"/>
    <x v="4"/>
    <n v="4481.74"/>
    <n v="16"/>
    <n v="1344.52"/>
    <n v="0.15"/>
    <s v="Cust 8088"/>
    <s v="Shaun Chance"/>
    <x v="1"/>
    <s v="Aurora"/>
    <s v="Colorado"/>
    <x v="1"/>
  </r>
  <r>
    <s v="REG100681"/>
    <x v="519"/>
    <s v="Cust 7806"/>
    <x v="0"/>
    <n v="2076.92"/>
    <n v="11"/>
    <n v="623.07000000000005"/>
    <n v="0.15"/>
    <s v="Cust 7806"/>
    <s v="Ken Lonsdale"/>
    <x v="0"/>
    <s v="Chicago"/>
    <s v="Illinois"/>
    <x v="1"/>
  </r>
  <r>
    <s v="REG100682"/>
    <x v="319"/>
    <s v="Cust 7033"/>
    <x v="5"/>
    <n v="1638.72"/>
    <n v="8"/>
    <n v="491.62"/>
    <n v="0"/>
    <s v="Cust 7033"/>
    <s v="Shirley Daniels"/>
    <x v="2"/>
    <s v="Chicago"/>
    <s v="Illinois"/>
    <x v="0"/>
  </r>
  <r>
    <s v="REG100683"/>
    <x v="225"/>
    <s v="Cust 8372"/>
    <x v="3"/>
    <n v="1610.91"/>
    <n v="3"/>
    <n v="483.27"/>
    <n v="0"/>
    <s v="Cust 8372"/>
    <s v="Theresa Swint"/>
    <x v="0"/>
    <s v="Philadelphia"/>
    <s v="Pennsylvania"/>
    <x v="1"/>
  </r>
  <r>
    <s v="REG101499"/>
    <x v="520"/>
    <s v="Cust 1935"/>
    <x v="3"/>
    <n v="2878.07"/>
    <n v="13"/>
    <n v="863.42"/>
    <n v="0"/>
    <s v="Cust 1935"/>
    <s v="Jennifer Braxton"/>
    <x v="4"/>
    <s v="Los Angeles"/>
    <s v="California"/>
    <x v="1"/>
  </r>
  <r>
    <s v="REG100684"/>
    <x v="521"/>
    <s v="Cust 1935"/>
    <x v="3"/>
    <n v="7465.64"/>
    <n v="15"/>
    <n v="2239.69"/>
    <n v="0.1"/>
    <s v="Cust 1935"/>
    <s v="Jennifer Braxton"/>
    <x v="4"/>
    <s v="Los Angeles"/>
    <s v="California"/>
    <x v="1"/>
  </r>
  <r>
    <s v="REG100685"/>
    <x v="290"/>
    <s v="Cust 8417"/>
    <x v="3"/>
    <n v="5126.76"/>
    <n v="20"/>
    <n v="1538.03"/>
    <n v="0.1"/>
    <s v="Cust 8417"/>
    <s v="Thais Sissman"/>
    <x v="1"/>
    <s v="Phoenix"/>
    <s v="Arizona"/>
    <x v="1"/>
  </r>
  <r>
    <s v="REG100686"/>
    <x v="402"/>
    <s v="Cust 3370"/>
    <x v="2"/>
    <n v="8015.21"/>
    <n v="18"/>
    <n v="2404.56"/>
    <n v="0.15"/>
    <s v="Cust 3370"/>
    <s v="Mark Cousins"/>
    <x v="2"/>
    <s v="Mobile"/>
    <s v="Alabama"/>
    <x v="0"/>
  </r>
  <r>
    <s v="REG100687"/>
    <x v="363"/>
    <s v="Cust 3664"/>
    <x v="2"/>
    <n v="626.75"/>
    <n v="3"/>
    <n v="188.03"/>
    <n v="0.1"/>
    <s v="Cust 3664"/>
    <s v="Maria Etezadi"/>
    <x v="3"/>
    <s v="Columbus"/>
    <s v="Georgia"/>
    <x v="0"/>
  </r>
  <r>
    <s v="REG100688"/>
    <x v="287"/>
    <s v="Cust 5760"/>
    <x v="1"/>
    <n v="2743.6"/>
    <n v="17"/>
    <n v="823.08"/>
    <n v="0.1"/>
    <s v="Cust 5760"/>
    <s v="Shaun Chance"/>
    <x v="2"/>
    <s v="New Bedford"/>
    <s v="Massachusetts"/>
    <x v="0"/>
  </r>
  <r>
    <s v="REG100689"/>
    <x v="522"/>
    <s v="Cust 3037"/>
    <x v="3"/>
    <n v="336.9"/>
    <n v="1"/>
    <n v="101.07"/>
    <n v="0.15"/>
    <s v="Cust 3037"/>
    <s v="Nicole Hansen"/>
    <x v="1"/>
    <s v="Irving"/>
    <s v="Texas"/>
    <x v="0"/>
  </r>
  <r>
    <s v="REG100690"/>
    <x v="523"/>
    <s v="Cust 9828"/>
    <x v="2"/>
    <n v="1659.74"/>
    <n v="17"/>
    <n v="497.92"/>
    <n v="0.1"/>
    <s v="Cust 9828"/>
    <s v="Andrew Allen"/>
    <x v="3"/>
    <s v="Middletown"/>
    <s v="Connecticut"/>
    <x v="0"/>
  </r>
  <r>
    <s v="REG100691"/>
    <x v="524"/>
    <s v="Cust 5297"/>
    <x v="4"/>
    <n v="1347.03"/>
    <n v="10"/>
    <n v="404.11"/>
    <n v="0.1"/>
    <s v="Cust 5297"/>
    <s v="Logan Currie"/>
    <x v="0"/>
    <s v="Seattle"/>
    <s v="Washington"/>
    <x v="0"/>
  </r>
  <r>
    <s v="REG101249"/>
    <x v="194"/>
    <s v="Cust 6785"/>
    <x v="0"/>
    <n v="4736.34"/>
    <n v="9"/>
    <n v="1420.9"/>
    <n v="0"/>
    <s v="Cust 6785"/>
    <s v="Mick Brown"/>
    <x v="2"/>
    <s v="Vineland"/>
    <s v="New Jersey"/>
    <x v="0"/>
  </r>
  <r>
    <s v="REG100692"/>
    <x v="36"/>
    <s v="Cust 6785"/>
    <x v="1"/>
    <n v="506.41"/>
    <n v="1"/>
    <n v="151.91999999999999"/>
    <n v="0"/>
    <s v="Cust 6785"/>
    <s v="Mick Brown"/>
    <x v="2"/>
    <s v="Vineland"/>
    <s v="New Jersey"/>
    <x v="0"/>
  </r>
  <r>
    <s v="REG100693"/>
    <x v="220"/>
    <s v="Cust 1344"/>
    <x v="6"/>
    <n v="1764.09"/>
    <n v="6"/>
    <n v="529.23"/>
    <n v="0.15"/>
    <s v="Cust 1344"/>
    <s v="Linda Cazamias"/>
    <x v="4"/>
    <s v="Pasadena"/>
    <s v="Texas"/>
    <x v="0"/>
  </r>
  <r>
    <s v="REG100694"/>
    <x v="53"/>
    <s v="Cust 4023"/>
    <x v="6"/>
    <n v="4361.01"/>
    <n v="15"/>
    <n v="1308.3"/>
    <n v="0.15"/>
    <s v="Cust 4023"/>
    <s v="Keith Dawkins"/>
    <x v="0"/>
    <s v="New York City"/>
    <s v="New York"/>
    <x v="0"/>
  </r>
  <r>
    <s v="REG100695"/>
    <x v="55"/>
    <s v="Cust 3721"/>
    <x v="4"/>
    <n v="4231"/>
    <n v="11"/>
    <n v="1269.3"/>
    <n v="0.05"/>
    <s v="Cust 3721"/>
    <s v="Maria Bertelson"/>
    <x v="3"/>
    <s v="Glendale"/>
    <s v="Arizona"/>
    <x v="0"/>
  </r>
  <r>
    <s v="REG100696"/>
    <x v="525"/>
    <s v="Cust 1486"/>
    <x v="2"/>
    <n v="2500.5300000000002"/>
    <n v="9"/>
    <n v="750.16"/>
    <n v="0.05"/>
    <s v="Cust 1486"/>
    <s v="Tracy Hopkins"/>
    <x v="2"/>
    <s v="Jacksonville"/>
    <s v="Florida"/>
    <x v="1"/>
  </r>
  <r>
    <s v="REG100697"/>
    <x v="442"/>
    <s v="Cust 3958"/>
    <x v="2"/>
    <n v="2463.89"/>
    <n v="5"/>
    <n v="739.17"/>
    <n v="0.1"/>
    <s v="Cust 3958"/>
    <s v="Damala Kotsonis"/>
    <x v="3"/>
    <s v="Detroit"/>
    <s v="Michigan"/>
    <x v="0"/>
  </r>
  <r>
    <s v="REG100800"/>
    <x v="345"/>
    <s v="Cust 6914"/>
    <x v="3"/>
    <n v="3420.71"/>
    <n v="15"/>
    <n v="1026.21"/>
    <n v="0.05"/>
    <s v="Cust 6914"/>
    <s v="Odella Nelson"/>
    <x v="1"/>
    <s v="Philadelphia"/>
    <s v="Pennsylvania"/>
    <x v="0"/>
  </r>
  <r>
    <s v="REG100698"/>
    <x v="47"/>
    <s v="Cust 6914"/>
    <x v="2"/>
    <n v="4186.5600000000004"/>
    <n v="12"/>
    <n v="1255.97"/>
    <n v="0"/>
    <s v="Cust 6914"/>
    <s v="Odella Nelson"/>
    <x v="1"/>
    <s v="Philadelphia"/>
    <s v="Pennsylvania"/>
    <x v="0"/>
  </r>
  <r>
    <s v="REG100699"/>
    <x v="526"/>
    <s v="Cust 3287"/>
    <x v="1"/>
    <n v="7290.45"/>
    <n v="15"/>
    <n v="2187.14"/>
    <n v="0"/>
    <s v="Cust 3287"/>
    <s v="Katherine Nockton"/>
    <x v="1"/>
    <s v="Los Angeles"/>
    <s v="California"/>
    <x v="0"/>
  </r>
  <r>
    <s v="REG101476"/>
    <x v="312"/>
    <s v="Cust 9072"/>
    <x v="4"/>
    <n v="147.4"/>
    <n v="1"/>
    <n v="44.22"/>
    <n v="0"/>
    <s v="Cust 9072"/>
    <s v="Neoma Murray"/>
    <x v="0"/>
    <s v="Houston"/>
    <s v="Texas"/>
    <x v="0"/>
  </r>
  <r>
    <s v="REG100700"/>
    <x v="466"/>
    <s v="Cust 9072"/>
    <x v="6"/>
    <n v="1893.17"/>
    <n v="14"/>
    <n v="567.95000000000005"/>
    <n v="0.15"/>
    <s v="Cust 9072"/>
    <s v="Neoma Murray"/>
    <x v="0"/>
    <s v="Houston"/>
    <s v="Texas"/>
    <x v="0"/>
  </r>
  <r>
    <s v="REG100701"/>
    <x v="251"/>
    <s v="Cust 3098"/>
    <x v="5"/>
    <n v="1772.66"/>
    <n v="12"/>
    <n v="531.79999999999995"/>
    <n v="0.15"/>
    <s v="Cust 3098"/>
    <s v="Nora Pelletier"/>
    <x v="1"/>
    <s v="Niagara Falls"/>
    <s v="New York"/>
    <x v="0"/>
  </r>
  <r>
    <s v="REG100702"/>
    <x v="286"/>
    <s v="Cust 7942"/>
    <x v="5"/>
    <n v="5716.75"/>
    <n v="13"/>
    <n v="1715.03"/>
    <n v="0"/>
    <s v="Cust 7942"/>
    <s v="Catherine Glotzbach"/>
    <x v="3"/>
    <s v="New York City"/>
    <s v="New York"/>
    <x v="0"/>
  </r>
  <r>
    <s v="REG100303"/>
    <x v="287"/>
    <s v="Cust 7942"/>
    <x v="3"/>
    <n v="4699.21"/>
    <n v="16"/>
    <n v="1409.76"/>
    <n v="0.15"/>
    <s v="Cust 7942"/>
    <s v="Catherine Glotzbach"/>
    <x v="3"/>
    <s v="New York City"/>
    <s v="New York"/>
    <x v="0"/>
  </r>
  <r>
    <s v="REG100703"/>
    <x v="527"/>
    <s v="Cust 4307"/>
    <x v="0"/>
    <n v="2269.4299999999998"/>
    <n v="9"/>
    <n v="680.83"/>
    <n v="0.05"/>
    <s v="Cust 4307"/>
    <s v="Cindy Stewart"/>
    <x v="0"/>
    <s v="Thomasville"/>
    <s v="North Carolina"/>
    <x v="0"/>
  </r>
  <r>
    <s v="REG100704"/>
    <x v="242"/>
    <s v="Cust 4618"/>
    <x v="5"/>
    <n v="3135.02"/>
    <n v="12"/>
    <n v="940.51"/>
    <n v="0.1"/>
    <s v="Cust 4618"/>
    <s v="Katherine Ducich"/>
    <x v="4"/>
    <s v="Westminster"/>
    <s v="California"/>
    <x v="0"/>
  </r>
  <r>
    <s v="REG100829"/>
    <x v="354"/>
    <s v="Cust 5322"/>
    <x v="4"/>
    <n v="1800.86"/>
    <n v="4"/>
    <n v="540.26"/>
    <n v="0.05"/>
    <s v="Cust 5322"/>
    <s v="Mike Kennedy"/>
    <x v="4"/>
    <s v="San Francisco"/>
    <s v="California"/>
    <x v="0"/>
  </r>
  <r>
    <s v="REG100705"/>
    <x v="98"/>
    <s v="Cust 5322"/>
    <x v="6"/>
    <n v="532.20000000000005"/>
    <n v="6"/>
    <n v="159.66"/>
    <n v="0"/>
    <s v="Cust 5322"/>
    <s v="Mike Kennedy"/>
    <x v="4"/>
    <s v="San Francisco"/>
    <s v="California"/>
    <x v="0"/>
  </r>
  <r>
    <s v="REG100706"/>
    <x v="236"/>
    <s v="Cust 9873"/>
    <x v="2"/>
    <n v="479.38"/>
    <n v="2"/>
    <n v="143.81"/>
    <n v="0"/>
    <s v="Cust 9873"/>
    <s v="Don Weiss"/>
    <x v="3"/>
    <s v="Jackson"/>
    <s v="Tennessee"/>
    <x v="0"/>
  </r>
  <r>
    <s v="REG100707"/>
    <x v="417"/>
    <s v="Cust 3652"/>
    <x v="6"/>
    <n v="286.49"/>
    <n v="8"/>
    <n v="85.95"/>
    <n v="0.1"/>
    <s v="Cust 3652"/>
    <s v="Christine Phan"/>
    <x v="3"/>
    <s v="Seattle"/>
    <s v="Washington"/>
    <x v="0"/>
  </r>
  <r>
    <s v="REG100708"/>
    <x v="2"/>
    <s v="Cust 5569"/>
    <x v="4"/>
    <n v="3536.28"/>
    <n v="18"/>
    <n v="1060.8800000000001"/>
    <n v="0.05"/>
    <s v="Cust 5569"/>
    <s v="Maxwell Schwartz"/>
    <x v="0"/>
    <s v="New York City"/>
    <s v="New York"/>
    <x v="0"/>
  </r>
  <r>
    <s v="REG100709"/>
    <x v="265"/>
    <s v="Cust 5369"/>
    <x v="0"/>
    <n v="3164.58"/>
    <n v="18"/>
    <n v="949.37"/>
    <n v="0"/>
    <s v="Cust 5369"/>
    <s v="Corinna Mitchell"/>
    <x v="0"/>
    <s v="Los Angeles"/>
    <s v="California"/>
    <x v="0"/>
  </r>
  <r>
    <s v="REG100710"/>
    <x v="249"/>
    <s v="Cust 9044"/>
    <x v="1"/>
    <n v="6513.58"/>
    <n v="14"/>
    <n v="1954.08"/>
    <n v="0.15"/>
    <s v="Cust 9044"/>
    <s v="Corey-Lock"/>
    <x v="3"/>
    <s v="Philadelphia"/>
    <s v="Pennsylvania"/>
    <x v="1"/>
  </r>
  <r>
    <s v="REG100711"/>
    <x v="528"/>
    <s v="Cust 1887"/>
    <x v="0"/>
    <n v="6765.14"/>
    <n v="19"/>
    <n v="2029.54"/>
    <n v="0.05"/>
    <s v="Cust 1887"/>
    <s v="Dionis Lloyd"/>
    <x v="0"/>
    <s v="New York City"/>
    <s v="New York"/>
    <x v="1"/>
  </r>
  <r>
    <s v="REG100712"/>
    <x v="246"/>
    <s v="Cust 1559"/>
    <x v="6"/>
    <n v="3884.21"/>
    <n v="9"/>
    <n v="1165.26"/>
    <n v="0.15"/>
    <s v="Cust 1559"/>
    <s v="Todd Sumrall"/>
    <x v="2"/>
    <s v="New York City"/>
    <s v="New York"/>
    <x v="1"/>
  </r>
  <r>
    <s v="REG100955"/>
    <x v="529"/>
    <s v="Cust 1722"/>
    <x v="1"/>
    <n v="1388.15"/>
    <n v="4"/>
    <n v="416.45"/>
    <n v="0.15"/>
    <s v="Cust 1722"/>
    <s v="Jane Waco"/>
    <x v="3"/>
    <s v="Vancouver"/>
    <s v="Washington"/>
    <x v="0"/>
  </r>
  <r>
    <s v="REG100713"/>
    <x v="530"/>
    <s v="Cust 1722"/>
    <x v="2"/>
    <n v="190.03"/>
    <n v="1"/>
    <n v="57.01"/>
    <n v="0.15"/>
    <s v="Cust 1722"/>
    <s v="Jane Waco"/>
    <x v="3"/>
    <s v="Vancouver"/>
    <s v="Washington"/>
    <x v="2"/>
  </r>
  <r>
    <s v="REG100714"/>
    <x v="449"/>
    <s v="Cust 9029"/>
    <x v="6"/>
    <n v="529.69000000000005"/>
    <n v="2"/>
    <n v="158.91"/>
    <n v="0.1"/>
    <s v="Cust 9029"/>
    <s v="Roy FranzÃƒÂ¶sisch"/>
    <x v="2"/>
    <s v="Columbus"/>
    <s v="Georgia"/>
    <x v="1"/>
  </r>
  <r>
    <s v="REG100715"/>
    <x v="96"/>
    <s v="Cust 9555"/>
    <x v="5"/>
    <n v="271.57"/>
    <n v="1"/>
    <n v="81.47"/>
    <n v="0.15"/>
    <s v="Cust 9555"/>
    <s v="John Dryer"/>
    <x v="4"/>
    <s v="Coppell"/>
    <s v="Texas"/>
    <x v="1"/>
  </r>
  <r>
    <s v="REG100716"/>
    <x v="531"/>
    <s v="Cust 2484"/>
    <x v="0"/>
    <n v="3244.67"/>
    <n v="14"/>
    <n v="973.4"/>
    <n v="0.05"/>
    <s v="Cust 2484"/>
    <s v="Neil Knudson"/>
    <x v="0"/>
    <s v="San Francisco"/>
    <s v="California"/>
    <x v="1"/>
  </r>
  <r>
    <s v="REG100717"/>
    <x v="510"/>
    <s v="Cust 4763"/>
    <x v="0"/>
    <n v="261.79000000000002"/>
    <n v="6"/>
    <n v="78.540000000000006"/>
    <n v="0.1"/>
    <s v="Cust 4763"/>
    <s v="Nathan Gelder"/>
    <x v="1"/>
    <s v="Austin"/>
    <s v="Texas"/>
    <x v="1"/>
  </r>
  <r>
    <s v="REG100718"/>
    <x v="300"/>
    <s v="Cust 5016"/>
    <x v="0"/>
    <n v="1749.4"/>
    <n v="20"/>
    <n v="524.82000000000005"/>
    <n v="0"/>
    <s v="Cust 5016"/>
    <s v="Alyssa Tate"/>
    <x v="0"/>
    <s v="Los Angeles"/>
    <s v="California"/>
    <x v="1"/>
  </r>
  <r>
    <s v="REG100719"/>
    <x v="532"/>
    <s v="Cust 5528"/>
    <x v="5"/>
    <n v="7123.68"/>
    <n v="17"/>
    <n v="2137.1"/>
    <n v="0.1"/>
    <s v="Cust 5528"/>
    <s v="Pauline Chand"/>
    <x v="1"/>
    <s v="Los Angeles"/>
    <s v="California"/>
    <x v="1"/>
  </r>
  <r>
    <s v="REG100720"/>
    <x v="439"/>
    <s v="Cust 6922"/>
    <x v="2"/>
    <n v="4511.99"/>
    <n v="17"/>
    <n v="1353.6"/>
    <n v="0.05"/>
    <s v="Cust 6922"/>
    <s v="Andy Reiter"/>
    <x v="2"/>
    <s v="New York City"/>
    <s v="New York"/>
    <x v="1"/>
  </r>
  <r>
    <s v="REG100721"/>
    <x v="533"/>
    <s v="Cust 4807"/>
    <x v="6"/>
    <n v="6158.59"/>
    <n v="16"/>
    <n v="1847.58"/>
    <n v="0.1"/>
    <s v="Cust 4807"/>
    <s v="Cindy Stewart"/>
    <x v="2"/>
    <s v="Columbus"/>
    <s v="Georgia"/>
    <x v="1"/>
  </r>
  <r>
    <s v="REG100722"/>
    <x v="306"/>
    <s v="Cust 3368"/>
    <x v="0"/>
    <n v="3803.36"/>
    <n v="15"/>
    <n v="1141.01"/>
    <n v="0.1"/>
    <s v="Cust 3368"/>
    <s v="Lindsay Shagiari"/>
    <x v="2"/>
    <s v="Omaha"/>
    <s v="Nebraska"/>
    <x v="0"/>
  </r>
  <r>
    <s v="REG100723"/>
    <x v="534"/>
    <s v="Cust 2871"/>
    <x v="2"/>
    <n v="2775"/>
    <n v="15"/>
    <n v="832.5"/>
    <n v="0"/>
    <s v="Cust 2871"/>
    <s v="Jessica Myrick"/>
    <x v="2"/>
    <s v="Los Angeles"/>
    <s v="California"/>
    <x v="0"/>
  </r>
  <r>
    <s v="REG100827"/>
    <x v="530"/>
    <s v="Cust 6229"/>
    <x v="3"/>
    <n v="975.96"/>
    <n v="12"/>
    <n v="292.79000000000002"/>
    <n v="0"/>
    <s v="Cust 6229"/>
    <s v="Nicole Hansen"/>
    <x v="3"/>
    <s v="Pomona"/>
    <s v="California"/>
    <x v="0"/>
  </r>
  <r>
    <s v="REG100724"/>
    <x v="55"/>
    <s v="Cust 6229"/>
    <x v="5"/>
    <n v="6512.02"/>
    <n v="19"/>
    <n v="1953.61"/>
    <n v="0.1"/>
    <s v="Cust 6229"/>
    <s v="Nicole Hansen"/>
    <x v="3"/>
    <s v="Pomona"/>
    <s v="California"/>
    <x v="1"/>
  </r>
  <r>
    <s v="REG100725"/>
    <x v="535"/>
    <s v="Cust 4560"/>
    <x v="3"/>
    <n v="1512.56"/>
    <n v="4"/>
    <n v="453.77"/>
    <n v="0.15"/>
    <s v="Cust 4560"/>
    <s v="Russell Applegate"/>
    <x v="1"/>
    <s v="Dallas"/>
    <s v="Texas"/>
    <x v="1"/>
  </r>
  <r>
    <s v="REG100726"/>
    <x v="536"/>
    <s v="Cust 7099"/>
    <x v="3"/>
    <n v="3928.75"/>
    <n v="7"/>
    <n v="1178.6300000000001"/>
    <n v="0.05"/>
    <s v="Cust 7099"/>
    <s v="Arianne Irving"/>
    <x v="0"/>
    <s v="Philadelphia"/>
    <s v="Pennsylvania"/>
    <x v="1"/>
  </r>
  <r>
    <s v="REG100727"/>
    <x v="537"/>
    <s v="Cust 6333"/>
    <x v="4"/>
    <n v="155.61000000000001"/>
    <n v="5"/>
    <n v="46.68"/>
    <n v="0.1"/>
    <s v="Cust 6333"/>
    <s v="Michael Chen"/>
    <x v="2"/>
    <s v="North Las Vegas"/>
    <s v="Nevada"/>
    <x v="0"/>
  </r>
  <r>
    <s v="REG100728"/>
    <x v="538"/>
    <s v="Cust 4678"/>
    <x v="6"/>
    <n v="3746.78"/>
    <n v="9"/>
    <n v="1124.03"/>
    <n v="0.05"/>
    <s v="Cust 4678"/>
    <s v="Tom Boeckenhauer"/>
    <x v="4"/>
    <s v="Seattle"/>
    <s v="Washington"/>
    <x v="0"/>
  </r>
  <r>
    <s v="REG100729"/>
    <x v="539"/>
    <s v="Cust 6657"/>
    <x v="2"/>
    <n v="382.1"/>
    <n v="5"/>
    <n v="114.63"/>
    <n v="0.1"/>
    <s v="Cust 6657"/>
    <s v="Victoria Wilson"/>
    <x v="3"/>
    <s v="San Francisco"/>
    <s v="California"/>
    <x v="0"/>
  </r>
  <r>
    <s v="REG100730"/>
    <x v="540"/>
    <s v="Cust 1267"/>
    <x v="0"/>
    <n v="2029.29"/>
    <n v="7"/>
    <n v="608.79"/>
    <n v="0.1"/>
    <s v="Cust 1267"/>
    <s v="Paul Lucas"/>
    <x v="0"/>
    <s v="Chicago"/>
    <s v="Illinois"/>
    <x v="0"/>
  </r>
  <r>
    <s v="REG101471"/>
    <x v="50"/>
    <s v="Cust 8150"/>
    <x v="5"/>
    <n v="3217.44"/>
    <n v="6"/>
    <n v="965.23"/>
    <n v="0"/>
    <s v="Cust 8150"/>
    <s v="Gary Hwang"/>
    <x v="3"/>
    <s v="Tucson"/>
    <s v="Arizona"/>
    <x v="0"/>
  </r>
  <r>
    <s v="REG101101"/>
    <x v="541"/>
    <s v="Cust 8150"/>
    <x v="4"/>
    <n v="1194.25"/>
    <n v="10"/>
    <n v="358.28"/>
    <n v="0.15"/>
    <s v="Cust 8150"/>
    <s v="Gary Hwang"/>
    <x v="3"/>
    <s v="Tucson"/>
    <s v="Arizona"/>
    <x v="0"/>
  </r>
  <r>
    <s v="REG100901"/>
    <x v="542"/>
    <s v="Cust 8150"/>
    <x v="4"/>
    <n v="1073.73"/>
    <n v="8"/>
    <n v="322.12"/>
    <n v="0.05"/>
    <s v="Cust 8150"/>
    <s v="Gary Hwang"/>
    <x v="3"/>
    <s v="Tucson"/>
    <s v="Arizona"/>
    <x v="2"/>
  </r>
  <r>
    <s v="REG100731"/>
    <x v="543"/>
    <s v="Cust 8150"/>
    <x v="5"/>
    <n v="417.53"/>
    <n v="2"/>
    <n v="125.26"/>
    <n v="0.1"/>
    <s v="Cust 8150"/>
    <s v="Gary Hwang"/>
    <x v="3"/>
    <s v="Tucson"/>
    <s v="Arizona"/>
    <x v="2"/>
  </r>
  <r>
    <s v="REG100732"/>
    <x v="342"/>
    <s v="Cust 3668"/>
    <x v="3"/>
    <n v="3086.39"/>
    <n v="15"/>
    <n v="925.92"/>
    <n v="0.15"/>
    <s v="Cust 3668"/>
    <s v="Caroline Jumper"/>
    <x v="3"/>
    <s v="Allentown"/>
    <s v="Pennsylvania"/>
    <x v="0"/>
  </r>
  <r>
    <s v="REG100733"/>
    <x v="544"/>
    <s v="Cust 4803"/>
    <x v="0"/>
    <n v="91.24"/>
    <n v="2"/>
    <n v="27.37"/>
    <n v="0.05"/>
    <s v="Cust 4803"/>
    <s v="Mike Caudle"/>
    <x v="3"/>
    <s v="Newark"/>
    <s v="Delaware"/>
    <x v="0"/>
  </r>
  <r>
    <s v="REG100734"/>
    <x v="506"/>
    <s v="Cust 8633"/>
    <x v="3"/>
    <n v="480.85"/>
    <n v="1"/>
    <n v="144.26"/>
    <n v="0.1"/>
    <s v="Cust 8633"/>
    <s v="Benjamin Venier"/>
    <x v="3"/>
    <s v="Miami"/>
    <s v="Florida"/>
    <x v="1"/>
  </r>
  <r>
    <s v="REG100735"/>
    <x v="545"/>
    <s v="Cust 7235"/>
    <x v="6"/>
    <n v="250.28"/>
    <n v="3"/>
    <n v="75.08"/>
    <n v="0.15"/>
    <s v="Cust 7235"/>
    <s v="Jeremy Farry"/>
    <x v="4"/>
    <s v="Tempe"/>
    <s v="Arizona"/>
    <x v="1"/>
  </r>
  <r>
    <s v="REG100736"/>
    <x v="273"/>
    <s v="Cust 8992"/>
    <x v="3"/>
    <n v="705.09"/>
    <n v="12"/>
    <n v="211.53"/>
    <n v="0.05"/>
    <s v="Cust 8992"/>
    <s v="Ellis Ballard"/>
    <x v="1"/>
    <s v="New York City"/>
    <s v="New York"/>
    <x v="1"/>
  </r>
  <r>
    <s v="REG100737"/>
    <x v="546"/>
    <s v="Cust 1889"/>
    <x v="6"/>
    <n v="1449.04"/>
    <n v="6"/>
    <n v="434.71"/>
    <n v="0.1"/>
    <s v="Cust 1889"/>
    <s v="Mike Pelletier"/>
    <x v="4"/>
    <s v="Laguna Niguel"/>
    <s v="California"/>
    <x v="1"/>
  </r>
  <r>
    <s v="REG100738"/>
    <x v="244"/>
    <s v="Cust 5411"/>
    <x v="2"/>
    <n v="2010.31"/>
    <n v="4"/>
    <n v="603.09"/>
    <n v="0.05"/>
    <s v="Cust 5411"/>
    <s v="Jim Mitchum"/>
    <x v="3"/>
    <s v="Bridgeton"/>
    <s v="New Jersey"/>
    <x v="1"/>
  </r>
  <r>
    <s v="REG100739"/>
    <x v="204"/>
    <s v="Cust 3411"/>
    <x v="6"/>
    <n v="203.91"/>
    <n v="2"/>
    <n v="61.17"/>
    <n v="0.05"/>
    <s v="Cust 3411"/>
    <s v="Carl Ludwig"/>
    <x v="4"/>
    <s v="Everett"/>
    <s v="Massachusetts"/>
    <x v="1"/>
  </r>
  <r>
    <s v="REG100740"/>
    <x v="292"/>
    <s v="Cust 7449"/>
    <x v="6"/>
    <n v="475.91"/>
    <n v="1"/>
    <n v="142.77000000000001"/>
    <n v="0.05"/>
    <s v="Cust 7449"/>
    <s v="Chloris Kastensmidt"/>
    <x v="1"/>
    <s v="Columbus"/>
    <s v="Ohio"/>
    <x v="1"/>
  </r>
  <r>
    <s v="REG100347"/>
    <x v="315"/>
    <s v="Cust 7449"/>
    <x v="4"/>
    <n v="965.79"/>
    <n v="3"/>
    <n v="289.74"/>
    <n v="0.15"/>
    <s v="Cust 7449"/>
    <s v="Chloris Kastensmidt"/>
    <x v="1"/>
    <s v="Columbus"/>
    <s v="Ohio"/>
    <x v="2"/>
  </r>
  <r>
    <s v="REG100741"/>
    <x v="87"/>
    <s v="Cust 4788"/>
    <x v="4"/>
    <n v="8878.9500000000007"/>
    <n v="17"/>
    <n v="2663.68"/>
    <n v="0.05"/>
    <s v="Cust 4788"/>
    <s v="Deborah Brumfield"/>
    <x v="4"/>
    <s v="San Diego"/>
    <s v="California"/>
    <x v="2"/>
  </r>
  <r>
    <s v="REG100742"/>
    <x v="547"/>
    <s v="Cust 3564"/>
    <x v="0"/>
    <n v="166.75"/>
    <n v="3"/>
    <n v="50.03"/>
    <n v="0.05"/>
    <s v="Cust 3564"/>
    <s v="Pamela Coakley"/>
    <x v="2"/>
    <s v="Watertown"/>
    <s v="New York"/>
    <x v="0"/>
  </r>
  <r>
    <s v="REG100743"/>
    <x v="548"/>
    <s v="Cust 8018"/>
    <x v="3"/>
    <n v="7712.42"/>
    <n v="17"/>
    <n v="2313.73"/>
    <n v="0.1"/>
    <s v="Cust 8018"/>
    <s v="Victoria Brennan"/>
    <x v="1"/>
    <s v="San Antonio"/>
    <s v="Texas"/>
    <x v="0"/>
  </r>
  <r>
    <s v="REG100975"/>
    <x v="96"/>
    <s v="Cust 3045"/>
    <x v="6"/>
    <n v="1451.74"/>
    <n v="12"/>
    <n v="435.52"/>
    <n v="0.1"/>
    <s v="Cust 3045"/>
    <s v="Emily Phan"/>
    <x v="0"/>
    <s v="New York City"/>
    <s v="New York"/>
    <x v="0"/>
  </r>
  <r>
    <s v="REG100744"/>
    <x v="355"/>
    <s v="Cust 3045"/>
    <x v="5"/>
    <n v="7133.71"/>
    <n v="17"/>
    <n v="2140.11"/>
    <n v="0"/>
    <s v="Cust 3045"/>
    <s v="Emily Phan"/>
    <x v="0"/>
    <s v="New York City"/>
    <s v="New York"/>
    <x v="0"/>
  </r>
  <r>
    <s v="REG100745"/>
    <x v="549"/>
    <s v="Cust 7020"/>
    <x v="0"/>
    <n v="507.98"/>
    <n v="2"/>
    <n v="152.4"/>
    <n v="0.05"/>
    <s v="Cust 7020"/>
    <s v="Maria Etezadi"/>
    <x v="1"/>
    <s v="Houston"/>
    <s v="Texas"/>
    <x v="2"/>
  </r>
  <r>
    <s v="REG100746"/>
    <x v="436"/>
    <s v="Cust 1905"/>
    <x v="1"/>
    <n v="596.12"/>
    <n v="2"/>
    <n v="178.84"/>
    <n v="0"/>
    <s v="Cust 1905"/>
    <s v="Ivan Gibson"/>
    <x v="3"/>
    <s v="San Diego"/>
    <s v="California"/>
    <x v="2"/>
  </r>
  <r>
    <s v="REG100747"/>
    <x v="550"/>
    <s v="Cust 4592"/>
    <x v="6"/>
    <n v="1642.18"/>
    <n v="13"/>
    <n v="492.65"/>
    <n v="0.05"/>
    <s v="Cust 4592"/>
    <s v="Joni Sundaresam"/>
    <x v="3"/>
    <s v="Appleton"/>
    <s v="Wisconsin"/>
    <x v="2"/>
  </r>
  <r>
    <s v="REG100748"/>
    <x v="126"/>
    <s v="Cust 5482"/>
    <x v="3"/>
    <n v="6001.13"/>
    <n v="14"/>
    <n v="1800.34"/>
    <n v="0.1"/>
    <s v="Cust 5482"/>
    <s v="Bobby Odegard"/>
    <x v="4"/>
    <s v="Richmond"/>
    <s v="Kentucky"/>
    <x v="2"/>
  </r>
  <r>
    <s v="REG101060"/>
    <x v="266"/>
    <s v="Cust 1947"/>
    <x v="0"/>
    <n v="7076.65"/>
    <n v="18"/>
    <n v="2122.9899999999998"/>
    <n v="0.1"/>
    <s v="Cust 1947"/>
    <s v="Victoria Wilson"/>
    <x v="2"/>
    <s v="Bellevue"/>
    <s v="Washington"/>
    <x v="2"/>
  </r>
  <r>
    <s v="REG100749"/>
    <x v="397"/>
    <s v="Cust 1947"/>
    <x v="6"/>
    <n v="4482.18"/>
    <n v="16"/>
    <n v="1344.65"/>
    <n v="0.05"/>
    <s v="Cust 1947"/>
    <s v="Victoria Wilson"/>
    <x v="2"/>
    <s v="Bellevue"/>
    <s v="Washington"/>
    <x v="2"/>
  </r>
  <r>
    <s v="REG100560"/>
    <x v="451"/>
    <s v="Cust 1947"/>
    <x v="5"/>
    <n v="4528.62"/>
    <n v="9"/>
    <n v="1358.59"/>
    <n v="0"/>
    <s v="Cust 1947"/>
    <s v="Victoria Wilson"/>
    <x v="2"/>
    <s v="Bellevue"/>
    <s v="Washington"/>
    <x v="0"/>
  </r>
  <r>
    <s v="REG100750"/>
    <x v="222"/>
    <s v="Cust 2801"/>
    <x v="5"/>
    <n v="9625.8799999999992"/>
    <n v="19"/>
    <n v="2887.77"/>
    <n v="0.15"/>
    <s v="Cust 2801"/>
    <s v="Aimee Bixby"/>
    <x v="2"/>
    <s v="Long Beach"/>
    <s v="New York"/>
    <x v="0"/>
  </r>
  <r>
    <s v="REG100751"/>
    <x v="22"/>
    <s v="Cust 8206"/>
    <x v="2"/>
    <n v="1094.4000000000001"/>
    <n v="6"/>
    <n v="328.32"/>
    <n v="0"/>
    <s v="Cust 8206"/>
    <s v="Julia West"/>
    <x v="4"/>
    <s v="Philadelphia"/>
    <s v="Pennsylvania"/>
    <x v="2"/>
  </r>
  <r>
    <s v="REG100752"/>
    <x v="107"/>
    <s v="Cust 5277"/>
    <x v="0"/>
    <n v="3809.03"/>
    <n v="10"/>
    <n v="1142.71"/>
    <n v="0.05"/>
    <s v="Cust 5277"/>
    <s v="Jeremy Ellison"/>
    <x v="2"/>
    <s v="Seattle"/>
    <s v="Washington"/>
    <x v="0"/>
  </r>
  <r>
    <s v="REG100753"/>
    <x v="28"/>
    <s v="Cust 8900"/>
    <x v="2"/>
    <n v="2484.84"/>
    <n v="7"/>
    <n v="745.45"/>
    <n v="0.05"/>
    <s v="Cust 8900"/>
    <s v="Edward Becker"/>
    <x v="0"/>
    <s v="Seattle"/>
    <s v="Washington"/>
    <x v="1"/>
  </r>
  <r>
    <s v="REG100754"/>
    <x v="387"/>
    <s v="Cust 9387"/>
    <x v="2"/>
    <n v="2116.1799999999998"/>
    <n v="7"/>
    <n v="634.85"/>
    <n v="0.15"/>
    <s v="Cust 9387"/>
    <s v="Paul Knutson"/>
    <x v="4"/>
    <s v="San Francisco"/>
    <s v="California"/>
    <x v="0"/>
  </r>
  <r>
    <s v="REG100755"/>
    <x v="551"/>
    <s v="Cust 7013"/>
    <x v="6"/>
    <n v="2811.35"/>
    <n v="12"/>
    <n v="843.4"/>
    <n v="0.1"/>
    <s v="Cust 7013"/>
    <s v="Christopher Schild"/>
    <x v="2"/>
    <s v="Seattle"/>
    <s v="Washington"/>
    <x v="2"/>
  </r>
  <r>
    <s v="REG100756"/>
    <x v="131"/>
    <s v="Cust 4868"/>
    <x v="6"/>
    <n v="3153.42"/>
    <n v="10"/>
    <n v="946.02"/>
    <n v="0.15"/>
    <s v="Cust 4868"/>
    <s v="Sheri Gordon"/>
    <x v="4"/>
    <s v="New York City"/>
    <s v="New York"/>
    <x v="1"/>
  </r>
  <r>
    <s v="REG100757"/>
    <x v="552"/>
    <s v="Cust 5239"/>
    <x v="0"/>
    <n v="987.7"/>
    <n v="2"/>
    <n v="296.31"/>
    <n v="0.1"/>
    <s v="Cust 5239"/>
    <s v="Charlotte Melton"/>
    <x v="0"/>
    <s v="Philadelphia"/>
    <s v="Pennsylvania"/>
    <x v="0"/>
  </r>
  <r>
    <s v="REG100758"/>
    <x v="553"/>
    <s v="Cust 4703"/>
    <x v="4"/>
    <n v="2748.24"/>
    <n v="8"/>
    <n v="824.47"/>
    <n v="0"/>
    <s v="Cust 4703"/>
    <s v="Clay Ludtke"/>
    <x v="2"/>
    <s v="Columbia"/>
    <s v="South Carolina"/>
    <x v="0"/>
  </r>
  <r>
    <s v="REG100759"/>
    <x v="158"/>
    <s v="Cust 7224"/>
    <x v="6"/>
    <n v="5467.32"/>
    <n v="13"/>
    <n v="1640.2"/>
    <n v="0.15"/>
    <s v="Cust 7224"/>
    <s v="Jesus Ocampo"/>
    <x v="2"/>
    <s v="Seattle"/>
    <s v="Washington"/>
    <x v="2"/>
  </r>
  <r>
    <s v="REG100760"/>
    <x v="527"/>
    <s v="Cust 4751"/>
    <x v="0"/>
    <n v="296.62"/>
    <n v="9"/>
    <n v="88.99"/>
    <n v="0.1"/>
    <s v="Cust 4751"/>
    <s v="Anthony Witt"/>
    <x v="2"/>
    <s v="Allen"/>
    <s v="Texas"/>
    <x v="2"/>
  </r>
  <r>
    <s v="REG100761"/>
    <x v="554"/>
    <s v="Cust 1201"/>
    <x v="6"/>
    <n v="3026.8"/>
    <n v="14"/>
    <n v="908.04"/>
    <n v="0"/>
    <s v="Cust 1201"/>
    <s v="Dianna Vittorini"/>
    <x v="0"/>
    <s v="Los Angeles"/>
    <s v="California"/>
    <x v="2"/>
  </r>
  <r>
    <s v="REG100762"/>
    <x v="322"/>
    <s v="Cust 9584"/>
    <x v="0"/>
    <n v="1347.95"/>
    <n v="11"/>
    <n v="404.38"/>
    <n v="0.05"/>
    <s v="Cust 9584"/>
    <s v="Adam Hart"/>
    <x v="4"/>
    <s v="Atlanta"/>
    <s v="Georgia"/>
    <x v="1"/>
  </r>
  <r>
    <s v="REG100358"/>
    <x v="323"/>
    <s v="Cust 9584"/>
    <x v="5"/>
    <n v="8133.44"/>
    <n v="19"/>
    <n v="2440.0300000000002"/>
    <n v="0.1"/>
    <s v="Cust 9584"/>
    <s v="Adam Hart"/>
    <x v="4"/>
    <s v="Atlanta"/>
    <s v="Georgia"/>
    <x v="1"/>
  </r>
  <r>
    <s v="REG100763"/>
    <x v="180"/>
    <s v="Cust 6980"/>
    <x v="1"/>
    <n v="1712.08"/>
    <n v="11"/>
    <n v="513.62"/>
    <n v="0.15"/>
    <s v="Cust 6980"/>
    <s v="Sanjit Chand"/>
    <x v="0"/>
    <s v="Los Angeles"/>
    <s v="California"/>
    <x v="0"/>
  </r>
  <r>
    <s v="REG100764"/>
    <x v="136"/>
    <s v="Cust 2835"/>
    <x v="4"/>
    <n v="2904.58"/>
    <n v="11"/>
    <n v="871.37"/>
    <n v="0.05"/>
    <s v="Cust 2835"/>
    <s v="Mick Crebagga"/>
    <x v="0"/>
    <s v="El Paso"/>
    <s v="Texas"/>
    <x v="0"/>
  </r>
  <r>
    <s v="REG100765"/>
    <x v="555"/>
    <s v="Cust 4286"/>
    <x v="2"/>
    <n v="7369.26"/>
    <n v="14"/>
    <n v="2210.7800000000002"/>
    <n v="0.05"/>
    <s v="Cust 4286"/>
    <s v="Tonja Turnell"/>
    <x v="0"/>
    <s v="Aurora"/>
    <s v="Illinois"/>
    <x v="1"/>
  </r>
  <r>
    <s v="REG100766"/>
    <x v="408"/>
    <s v="Cust 7876"/>
    <x v="1"/>
    <n v="332.31"/>
    <n v="15"/>
    <n v="99.69"/>
    <n v="0.05"/>
    <s v="Cust 7876"/>
    <s v="Anne Pryor"/>
    <x v="3"/>
    <s v="Florence"/>
    <s v="Alabama"/>
    <x v="1"/>
  </r>
  <r>
    <s v="REG100767"/>
    <x v="29"/>
    <s v="Cust 5926"/>
    <x v="2"/>
    <n v="79.650000000000006"/>
    <n v="4"/>
    <n v="23.89"/>
    <n v="0.05"/>
    <s v="Cust 5926"/>
    <s v="Dan Lawera"/>
    <x v="0"/>
    <s v="New York City"/>
    <s v="New York"/>
    <x v="0"/>
  </r>
  <r>
    <s v="REG100768"/>
    <x v="143"/>
    <s v="Cust 4478"/>
    <x v="2"/>
    <n v="2262.16"/>
    <n v="18"/>
    <n v="678.65"/>
    <n v="0.05"/>
    <s v="Cust 4478"/>
    <s v="Naresj Patel"/>
    <x v="2"/>
    <s v="New York City"/>
    <s v="New York"/>
    <x v="0"/>
  </r>
  <r>
    <s v="REG100769"/>
    <x v="374"/>
    <s v="Cust 4711"/>
    <x v="1"/>
    <n v="3414.02"/>
    <n v="19"/>
    <n v="1024.2"/>
    <n v="0.1"/>
    <s v="Cust 4711"/>
    <s v="Vivek Grady"/>
    <x v="0"/>
    <s v="Virginia Beach"/>
    <s v="Virginia"/>
    <x v="0"/>
  </r>
  <r>
    <s v="REG100770"/>
    <x v="556"/>
    <s v="Cust 9227"/>
    <x v="1"/>
    <n v="4912"/>
    <n v="16"/>
    <n v="1473.6"/>
    <n v="0"/>
    <s v="Cust 9227"/>
    <s v="Muhammed Yedwab"/>
    <x v="4"/>
    <s v="Grapevine"/>
    <s v="Texas"/>
    <x v="0"/>
  </r>
  <r>
    <s v="REG100771"/>
    <x v="529"/>
    <s v="Cust 2830"/>
    <x v="6"/>
    <n v="268.54000000000002"/>
    <n v="1"/>
    <n v="80.56"/>
    <n v="0.15"/>
    <s v="Cust 2830"/>
    <s v="Rick Duston"/>
    <x v="0"/>
    <s v="Olympia"/>
    <s v="Washington"/>
    <x v="0"/>
  </r>
  <r>
    <s v="REG100772"/>
    <x v="557"/>
    <s v="Cust 3767"/>
    <x v="4"/>
    <n v="2984.85"/>
    <n v="5"/>
    <n v="895.46"/>
    <n v="0"/>
    <s v="Cust 3767"/>
    <s v="Jeremy Farry"/>
    <x v="4"/>
    <s v="Los Angeles"/>
    <s v="California"/>
    <x v="0"/>
  </r>
  <r>
    <s v="REG100773"/>
    <x v="419"/>
    <s v="Cust 1561"/>
    <x v="0"/>
    <n v="6088.23"/>
    <n v="17"/>
    <n v="1826.47"/>
    <n v="0.05"/>
    <s v="Cust 1561"/>
    <s v="Dennis Pardue"/>
    <x v="2"/>
    <s v="Peoria"/>
    <s v="Illinois"/>
    <x v="0"/>
  </r>
  <r>
    <s v="REG100774"/>
    <x v="558"/>
    <s v="Cust 8569"/>
    <x v="4"/>
    <n v="1126.6600000000001"/>
    <n v="6"/>
    <n v="338"/>
    <n v="0.1"/>
    <s v="Cust 8569"/>
    <s v="Maribeth Dona"/>
    <x v="3"/>
    <s v="Columbus"/>
    <s v="Ohio"/>
    <x v="0"/>
  </r>
  <r>
    <s v="REG100775"/>
    <x v="559"/>
    <s v="Cust 1254"/>
    <x v="3"/>
    <n v="2154.7399999999998"/>
    <n v="7"/>
    <n v="646.41999999999996"/>
    <n v="0"/>
    <s v="Cust 1254"/>
    <s v="Maribeth Yedwab"/>
    <x v="0"/>
    <s v="New York City"/>
    <s v="New York"/>
    <x v="0"/>
  </r>
  <r>
    <s v="REG100776"/>
    <x v="173"/>
    <s v="Cust 8556"/>
    <x v="6"/>
    <n v="4723.63"/>
    <n v="13"/>
    <n v="1417.09"/>
    <n v="0.05"/>
    <s v="Cust 8556"/>
    <s v="Aimee Bixby"/>
    <x v="3"/>
    <s v="Carrollton"/>
    <s v="Texas"/>
    <x v="2"/>
  </r>
  <r>
    <s v="REG100777"/>
    <x v="347"/>
    <s v="Cust 7204"/>
    <x v="2"/>
    <n v="1692.27"/>
    <n v="9"/>
    <n v="507.68"/>
    <n v="0"/>
    <s v="Cust 7204"/>
    <s v="George Bell"/>
    <x v="1"/>
    <s v="Dover"/>
    <s v="Delaware"/>
    <x v="2"/>
  </r>
  <r>
    <s v="REG100778"/>
    <x v="560"/>
    <s v="Cust 7725"/>
    <x v="2"/>
    <n v="3441.56"/>
    <n v="17"/>
    <n v="1032.47"/>
    <n v="0.15"/>
    <s v="Cust 7725"/>
    <s v="Cynthia Arntzen"/>
    <x v="0"/>
    <s v="Smyrna"/>
    <s v="Tennessee"/>
    <x v="2"/>
  </r>
  <r>
    <s v="REG100779"/>
    <x v="158"/>
    <s v="Cust 9210"/>
    <x v="4"/>
    <n v="4056.39"/>
    <n v="10"/>
    <n v="1216.92"/>
    <n v="0.1"/>
    <s v="Cust 9210"/>
    <s v="Max Engle"/>
    <x v="2"/>
    <s v="Newark"/>
    <s v="Delaware"/>
    <x v="2"/>
  </r>
  <r>
    <s v="REG100780"/>
    <x v="256"/>
    <s v="Cust 9085"/>
    <x v="5"/>
    <n v="744.05"/>
    <n v="2"/>
    <n v="223.21"/>
    <n v="0.1"/>
    <s v="Cust 9085"/>
    <s v="Jas O'Carroll"/>
    <x v="3"/>
    <s v="Los Angeles"/>
    <s v="California"/>
    <x v="1"/>
  </r>
  <r>
    <s v="REG100449"/>
    <x v="391"/>
    <s v="Cust 9085"/>
    <x v="1"/>
    <n v="6261.85"/>
    <n v="16"/>
    <n v="1878.55"/>
    <n v="0.15"/>
    <s v="Cust 9085"/>
    <s v="Jas O'Carroll"/>
    <x v="3"/>
    <s v="Los Angeles"/>
    <s v="California"/>
    <x v="1"/>
  </r>
  <r>
    <s v="REG100781"/>
    <x v="559"/>
    <s v="Cust 4937"/>
    <x v="1"/>
    <n v="9124.07"/>
    <n v="20"/>
    <n v="2737.22"/>
    <n v="0.15"/>
    <s v="Cust 4937"/>
    <s v="Marina Lichtenstein"/>
    <x v="1"/>
    <s v="Los Angeles"/>
    <s v="California"/>
    <x v="1"/>
  </r>
  <r>
    <s v="REG100782"/>
    <x v="54"/>
    <s v="Cust 3606"/>
    <x v="1"/>
    <n v="980.5"/>
    <n v="5"/>
    <n v="294.14999999999998"/>
    <n v="0.05"/>
    <s v="Cust 3606"/>
    <s v="Yana Sorensen"/>
    <x v="4"/>
    <s v="Oakland"/>
    <s v="California"/>
    <x v="1"/>
  </r>
  <r>
    <s v="REG100783"/>
    <x v="561"/>
    <s v="Cust 5865"/>
    <x v="4"/>
    <n v="873.22"/>
    <n v="4"/>
    <n v="261.97000000000003"/>
    <n v="0.15"/>
    <s v="Cust 5865"/>
    <s v="Paul Lucas"/>
    <x v="0"/>
    <s v="Philadelphia"/>
    <s v="Pennsylvania"/>
    <x v="1"/>
  </r>
  <r>
    <s v="REG100949"/>
    <x v="414"/>
    <s v="Cust 7195"/>
    <x v="1"/>
    <n v="1767.74"/>
    <n v="13"/>
    <n v="530.32000000000005"/>
    <n v="0"/>
    <s v="Cust 7195"/>
    <s v="Julie Kriz"/>
    <x v="1"/>
    <s v="Eagan"/>
    <s v="Minnesota"/>
    <x v="1"/>
  </r>
  <r>
    <s v="REG100784"/>
    <x v="279"/>
    <s v="Cust 7195"/>
    <x v="5"/>
    <n v="247.04"/>
    <n v="1"/>
    <n v="74.11"/>
    <n v="0"/>
    <s v="Cust 7195"/>
    <s v="Julie Kriz"/>
    <x v="1"/>
    <s v="Eagan"/>
    <s v="Minnesota"/>
    <x v="1"/>
  </r>
  <r>
    <s v="REG100785"/>
    <x v="536"/>
    <s v="Cust 6113"/>
    <x v="6"/>
    <n v="1487.62"/>
    <n v="3"/>
    <n v="446.29"/>
    <n v="0.15"/>
    <s v="Cust 6113"/>
    <s v="Parhena Norris"/>
    <x v="1"/>
    <s v="New York City"/>
    <s v="New York"/>
    <x v="0"/>
  </r>
  <r>
    <s v="REG101349"/>
    <x v="562"/>
    <s v="Cust 9878"/>
    <x v="6"/>
    <n v="638.28"/>
    <n v="9"/>
    <n v="191.48"/>
    <n v="0.1"/>
    <s v="Cust 9878"/>
    <s v="Jenna Caffey"/>
    <x v="2"/>
    <s v="Kent"/>
    <s v="Washington"/>
    <x v="0"/>
  </r>
  <r>
    <s v="REG100786"/>
    <x v="563"/>
    <s v="Cust 9878"/>
    <x v="6"/>
    <n v="3772.25"/>
    <n v="13"/>
    <n v="1131.67"/>
    <n v="0.15"/>
    <s v="Cust 9878"/>
    <s v="Jenna Caffey"/>
    <x v="2"/>
    <s v="Kent"/>
    <s v="Washington"/>
    <x v="0"/>
  </r>
  <r>
    <s v="REG100787"/>
    <x v="543"/>
    <s v="Cust 3936"/>
    <x v="3"/>
    <n v="4312.53"/>
    <n v="19"/>
    <n v="1293.76"/>
    <n v="0.15"/>
    <s v="Cust 3936"/>
    <s v="James Galang"/>
    <x v="4"/>
    <s v="Los Angeles"/>
    <s v="California"/>
    <x v="0"/>
  </r>
  <r>
    <s v="REG100788"/>
    <x v="368"/>
    <s v="Cust 3937"/>
    <x v="4"/>
    <n v="543.83000000000004"/>
    <n v="7"/>
    <n v="163.15"/>
    <n v="0"/>
    <s v="Cust 3937"/>
    <s v="Philisse Overcash"/>
    <x v="1"/>
    <s v="New York City"/>
    <s v="New York"/>
    <x v="1"/>
  </r>
  <r>
    <s v="REG100789"/>
    <x v="564"/>
    <s v="Cust 5262"/>
    <x v="1"/>
    <n v="6248.6"/>
    <n v="20"/>
    <n v="1874.58"/>
    <n v="0"/>
    <s v="Cust 5262"/>
    <s v="Marc Crier"/>
    <x v="0"/>
    <s v="Lafayette"/>
    <s v="Louisiana"/>
    <x v="0"/>
  </r>
  <r>
    <s v="REG101023"/>
    <x v="565"/>
    <s v="Cust 3892"/>
    <x v="3"/>
    <n v="3566.43"/>
    <n v="10"/>
    <n v="1069.93"/>
    <n v="0.15"/>
    <s v="Cust 3892"/>
    <s v="Alan Shonely"/>
    <x v="3"/>
    <s v="Cleveland"/>
    <s v="Ohio"/>
    <x v="0"/>
  </r>
  <r>
    <s v="REG100790"/>
    <x v="324"/>
    <s v="Cust 3892"/>
    <x v="5"/>
    <n v="254.51"/>
    <n v="19"/>
    <n v="76.349999999999994"/>
    <n v="0.05"/>
    <s v="Cust 3892"/>
    <s v="Alan Shonely"/>
    <x v="3"/>
    <s v="Cleveland"/>
    <s v="Ohio"/>
    <x v="2"/>
  </r>
  <r>
    <s v="REG100791"/>
    <x v="99"/>
    <s v="Cust 8826"/>
    <x v="6"/>
    <n v="4309.3"/>
    <n v="17"/>
    <n v="1292.79"/>
    <n v="0.05"/>
    <s v="Cust 8826"/>
    <s v="Clay Ludtke"/>
    <x v="4"/>
    <s v="Cleveland"/>
    <s v="Ohio"/>
    <x v="2"/>
  </r>
  <r>
    <s v="REG100792"/>
    <x v="558"/>
    <s v="Cust 1119"/>
    <x v="4"/>
    <n v="4714.09"/>
    <n v="20"/>
    <n v="1414.23"/>
    <n v="0.05"/>
    <s v="Cust 1119"/>
    <s v="Natalie Webber"/>
    <x v="1"/>
    <s v="Tigard"/>
    <s v="Oregon"/>
    <x v="0"/>
  </r>
  <r>
    <s v="REG100793"/>
    <x v="131"/>
    <s v="Cust 2685"/>
    <x v="3"/>
    <n v="1504.61"/>
    <n v="5"/>
    <n v="451.38"/>
    <n v="0.05"/>
    <s v="Cust 2685"/>
    <s v="Toby Braunhardt"/>
    <x v="4"/>
    <s v="Washington"/>
    <s v="District of Columbia"/>
    <x v="0"/>
  </r>
  <r>
    <s v="REG100636"/>
    <x v="494"/>
    <s v="Cust 2685"/>
    <x v="4"/>
    <n v="124.33"/>
    <n v="1"/>
    <n v="37.299999999999997"/>
    <n v="0.05"/>
    <s v="Cust 2685"/>
    <s v="Toby Braunhardt"/>
    <x v="4"/>
    <s v="Washington"/>
    <s v="District of Columbia"/>
    <x v="0"/>
  </r>
  <r>
    <s v="REG100794"/>
    <x v="131"/>
    <s v="Cust 5939"/>
    <x v="0"/>
    <n v="305.32"/>
    <n v="2"/>
    <n v="91.59"/>
    <n v="0.1"/>
    <s v="Cust 5939"/>
    <s v="Bill Stewart"/>
    <x v="1"/>
    <s v="Skokie"/>
    <s v="Illinois"/>
    <x v="0"/>
  </r>
  <r>
    <s v="REG100795"/>
    <x v="492"/>
    <s v="Cust 1791"/>
    <x v="0"/>
    <n v="571.39"/>
    <n v="19"/>
    <n v="171.42"/>
    <n v="0.15"/>
    <s v="Cust 1791"/>
    <s v="Fred Hopkins"/>
    <x v="2"/>
    <s v="Seattle"/>
    <s v="Washington"/>
    <x v="2"/>
  </r>
  <r>
    <s v="REG100796"/>
    <x v="414"/>
    <s v="Cust 8530"/>
    <x v="3"/>
    <n v="713.02"/>
    <n v="3"/>
    <n v="213.9"/>
    <n v="0.1"/>
    <s v="Cust 8530"/>
    <s v="Valerie Mitchum"/>
    <x v="4"/>
    <s v="Philadelphia"/>
    <s v="Pennsylvania"/>
    <x v="2"/>
  </r>
  <r>
    <s v="REG100797"/>
    <x v="116"/>
    <s v="Cust 4522"/>
    <x v="6"/>
    <n v="584.63"/>
    <n v="5"/>
    <n v="175.39"/>
    <n v="0.15"/>
    <s v="Cust 4522"/>
    <s v="Sarah Foster"/>
    <x v="0"/>
    <s v="Philadelphia"/>
    <s v="Pennsylvania"/>
    <x v="2"/>
  </r>
  <r>
    <s v="REG100104"/>
    <x v="117"/>
    <s v="Cust 4522"/>
    <x v="5"/>
    <n v="2222.3000000000002"/>
    <n v="14"/>
    <n v="666.69"/>
    <n v="0.05"/>
    <s v="Cust 4522"/>
    <s v="Sarah Foster"/>
    <x v="0"/>
    <s v="Philadelphia"/>
    <s v="Pennsylvania"/>
    <x v="2"/>
  </r>
  <r>
    <s v="REG100798"/>
    <x v="235"/>
    <s v="Cust 9619"/>
    <x v="0"/>
    <n v="1073.92"/>
    <n v="8"/>
    <n v="322.18"/>
    <n v="0.15"/>
    <s v="Cust 9619"/>
    <s v="Hilary Holden"/>
    <x v="3"/>
    <s v="San Francisco"/>
    <s v="California"/>
    <x v="1"/>
  </r>
  <r>
    <s v="REG100799"/>
    <x v="258"/>
    <s v="Cust 1637"/>
    <x v="2"/>
    <n v="723.1"/>
    <n v="6"/>
    <n v="216.93"/>
    <n v="0.05"/>
    <s v="Cust 1637"/>
    <s v="Christina DeMoss"/>
    <x v="2"/>
    <s v="Seattle"/>
    <s v="Washington"/>
    <x v="1"/>
  </r>
  <r>
    <s v="REG100800"/>
    <x v="345"/>
    <s v="Cust 6914"/>
    <x v="3"/>
    <n v="3420.71"/>
    <n v="15"/>
    <n v="1026.21"/>
    <n v="0.05"/>
    <s v="Cust 6914"/>
    <s v="Hunter Lopez"/>
    <x v="2"/>
    <s v="Milwaukee"/>
    <s v="Wisconsin"/>
    <x v="1"/>
  </r>
  <r>
    <s v="REG100698"/>
    <x v="47"/>
    <s v="Cust 6914"/>
    <x v="2"/>
    <n v="4186.5600000000004"/>
    <n v="12"/>
    <n v="1255.97"/>
    <n v="0"/>
    <s v="Cust 6914"/>
    <s v="Hunter Lopez"/>
    <x v="2"/>
    <s v="Milwaukee"/>
    <s v="Wisconsin"/>
    <x v="1"/>
  </r>
  <r>
    <s v="REG100801"/>
    <x v="380"/>
    <s v="Cust 5737"/>
    <x v="6"/>
    <n v="101.6"/>
    <n v="3"/>
    <n v="30.48"/>
    <n v="0.1"/>
    <s v="Cust 5737"/>
    <s v="Thea Hendricks"/>
    <x v="1"/>
    <s v="Los Angeles"/>
    <s v="California"/>
    <x v="1"/>
  </r>
  <r>
    <s v="REG100802"/>
    <x v="8"/>
    <s v="Cust 5301"/>
    <x v="3"/>
    <n v="4599.2700000000004"/>
    <n v="13"/>
    <n v="1379.78"/>
    <n v="0.1"/>
    <s v="Cust 5301"/>
    <s v="Michelle Moray"/>
    <x v="0"/>
    <s v="Seattle"/>
    <s v="Washington"/>
    <x v="1"/>
  </r>
  <r>
    <s v="REG100007"/>
    <x v="9"/>
    <s v="Cust 5301"/>
    <x v="3"/>
    <n v="842.06"/>
    <n v="3"/>
    <n v="252.62"/>
    <n v="0.15"/>
    <s v="Cust 5301"/>
    <s v="Michelle Moray"/>
    <x v="0"/>
    <s v="Seattle"/>
    <s v="Washington"/>
    <x v="0"/>
  </r>
  <r>
    <s v="REG100803"/>
    <x v="566"/>
    <s v="Cust 2524"/>
    <x v="3"/>
    <n v="712.81"/>
    <n v="10"/>
    <n v="213.84"/>
    <n v="0.15"/>
    <s v="Cust 2524"/>
    <s v="Quincy Jones"/>
    <x v="2"/>
    <s v="Philadelphia"/>
    <s v="Pennsylvania"/>
    <x v="0"/>
  </r>
  <r>
    <s v="REG100804"/>
    <x v="292"/>
    <s v="Cust 8480"/>
    <x v="2"/>
    <n v="1100.7"/>
    <n v="10"/>
    <n v="330.21"/>
    <n v="0"/>
    <s v="Cust 8480"/>
    <s v="Neola Schneider"/>
    <x v="3"/>
    <s v="Dallas"/>
    <s v="Texas"/>
    <x v="0"/>
  </r>
  <r>
    <s v="REG100805"/>
    <x v="344"/>
    <s v="Cust 2595"/>
    <x v="1"/>
    <n v="1473.8"/>
    <n v="6"/>
    <n v="442.14"/>
    <n v="0.15"/>
    <s v="Cust 2595"/>
    <s v="Michael Moore"/>
    <x v="0"/>
    <s v="New York City"/>
    <s v="New York"/>
    <x v="0"/>
  </r>
  <r>
    <s v="REG100806"/>
    <x v="567"/>
    <s v="Cust 7132"/>
    <x v="2"/>
    <n v="4511.3999999999996"/>
    <n v="10"/>
    <n v="1353.42"/>
    <n v="0"/>
    <s v="Cust 7132"/>
    <s v="Rick Duston"/>
    <x v="3"/>
    <s v="Houston"/>
    <s v="Texas"/>
    <x v="2"/>
  </r>
  <r>
    <s v="REG100807"/>
    <x v="0"/>
    <s v="Cust 4240"/>
    <x v="4"/>
    <n v="8145.28"/>
    <n v="16"/>
    <n v="2443.58"/>
    <n v="0"/>
    <s v="Cust 4240"/>
    <s v="Robert Barroso"/>
    <x v="4"/>
    <s v="North Las Vegas"/>
    <s v="Nevada"/>
    <x v="2"/>
  </r>
  <r>
    <s v="REG100420"/>
    <x v="369"/>
    <s v="Cust 4240"/>
    <x v="0"/>
    <n v="4598.42"/>
    <n v="12"/>
    <n v="1379.53"/>
    <n v="0.1"/>
    <s v="Cust 4240"/>
    <s v="Robert Barroso"/>
    <x v="4"/>
    <s v="North Las Vegas"/>
    <s v="Nevada"/>
    <x v="2"/>
  </r>
  <r>
    <s v="REG100808"/>
    <x v="568"/>
    <s v="Cust 4644"/>
    <x v="4"/>
    <n v="2214.37"/>
    <n v="4"/>
    <n v="664.31"/>
    <n v="0.05"/>
    <s v="Cust 4644"/>
    <s v="Rob Dowd"/>
    <x v="3"/>
    <s v="Plano"/>
    <s v="Texas"/>
    <x v="2"/>
  </r>
  <r>
    <s v="REG100809"/>
    <x v="569"/>
    <s v="Cust 5133"/>
    <x v="1"/>
    <n v="1037.1600000000001"/>
    <n v="9"/>
    <n v="311.14999999999998"/>
    <n v="0"/>
    <s v="Cust 5133"/>
    <s v="Shaun Weien"/>
    <x v="1"/>
    <s v="Suffolk"/>
    <s v="Virginia"/>
    <x v="2"/>
  </r>
  <r>
    <s v="REG100810"/>
    <x v="427"/>
    <s v="Cust 1731"/>
    <x v="5"/>
    <n v="7124.67"/>
    <n v="14"/>
    <n v="2137.4"/>
    <n v="0.1"/>
    <s v="Cust 1731"/>
    <s v="Sylvia Foulston"/>
    <x v="2"/>
    <s v="Houston"/>
    <s v="Texas"/>
    <x v="0"/>
  </r>
  <r>
    <s v="REG100811"/>
    <x v="88"/>
    <s v="Cust 3739"/>
    <x v="1"/>
    <n v="1336.94"/>
    <n v="11"/>
    <n v="401.08"/>
    <n v="0"/>
    <s v="Cust 3739"/>
    <s v="Eric Barreto"/>
    <x v="2"/>
    <s v="San Francisco"/>
    <s v="California"/>
    <x v="0"/>
  </r>
  <r>
    <s v="REG100812"/>
    <x v="570"/>
    <s v="Cust 3853"/>
    <x v="4"/>
    <n v="1297.22"/>
    <n v="9"/>
    <n v="389.16"/>
    <n v="0.1"/>
    <s v="Cust 3853"/>
    <s v="Sean Braxton"/>
    <x v="0"/>
    <s v="Philadelphia"/>
    <s v="Pennsylvania"/>
    <x v="0"/>
  </r>
  <r>
    <s v="REG100813"/>
    <x v="428"/>
    <s v="Cust 6830"/>
    <x v="2"/>
    <n v="2336.2800000000002"/>
    <n v="14"/>
    <n v="700.88"/>
    <n v="0.05"/>
    <s v="Cust 6830"/>
    <s v="Pamela Stobb"/>
    <x v="0"/>
    <s v="Los Angeles"/>
    <s v="California"/>
    <x v="0"/>
  </r>
  <r>
    <s v="REG101448"/>
    <x v="571"/>
    <s v="Cust 5351"/>
    <x v="6"/>
    <n v="1837.34"/>
    <n v="11"/>
    <n v="551.20000000000005"/>
    <n v="0.1"/>
    <s v="Cust 5351"/>
    <s v="Claudia Bergmann"/>
    <x v="1"/>
    <s v="San Francisco"/>
    <s v="California"/>
    <x v="0"/>
  </r>
  <r>
    <s v="REG100814"/>
    <x v="283"/>
    <s v="Cust 5351"/>
    <x v="6"/>
    <n v="1248.21"/>
    <n v="3"/>
    <n v="374.46"/>
    <n v="0.05"/>
    <s v="Cust 5351"/>
    <s v="Claudia Bergmann"/>
    <x v="1"/>
    <s v="San Francisco"/>
    <s v="California"/>
    <x v="0"/>
  </r>
  <r>
    <s v="REG100815"/>
    <x v="229"/>
    <s v="Cust 5845"/>
    <x v="4"/>
    <n v="4198.22"/>
    <n v="12"/>
    <n v="1259.47"/>
    <n v="0.15"/>
    <s v="Cust 5845"/>
    <s v="Damala Kotsonis"/>
    <x v="1"/>
    <s v="Philadelphia"/>
    <s v="Pennsylvania"/>
    <x v="0"/>
  </r>
  <r>
    <s v="REG100816"/>
    <x v="105"/>
    <s v="Cust 7004"/>
    <x v="0"/>
    <n v="163.29"/>
    <n v="1"/>
    <n v="48.99"/>
    <n v="0"/>
    <s v="Cust 7004"/>
    <s v="Anthony Witt"/>
    <x v="1"/>
    <s v="Philadelphia"/>
    <s v="Pennsylvania"/>
    <x v="0"/>
  </r>
  <r>
    <s v="REG100817"/>
    <x v="572"/>
    <s v="Cust 4095"/>
    <x v="2"/>
    <n v="2557.9699999999998"/>
    <n v="5"/>
    <n v="767.39"/>
    <n v="0.05"/>
    <s v="Cust 4095"/>
    <s v="Troy Staebel"/>
    <x v="3"/>
    <s v="Philadelphia"/>
    <s v="Pennsylvania"/>
    <x v="1"/>
  </r>
  <r>
    <s v="REG100818"/>
    <x v="154"/>
    <s v="Cust 7833"/>
    <x v="1"/>
    <n v="2533.91"/>
    <n v="11"/>
    <n v="760.17"/>
    <n v="0.1"/>
    <s v="Cust 7833"/>
    <s v="Herbert Flentye"/>
    <x v="1"/>
    <s v="Indianapolis"/>
    <s v="Indiana"/>
    <x v="2"/>
  </r>
  <r>
    <s v="REG100819"/>
    <x v="371"/>
    <s v="Cust 5826"/>
    <x v="2"/>
    <n v="1828.39"/>
    <n v="7"/>
    <n v="548.52"/>
    <n v="0.1"/>
    <s v="Cust 5826"/>
    <s v="Henia Zydlo"/>
    <x v="1"/>
    <s v="Columbus"/>
    <s v="Ohio"/>
    <x v="1"/>
  </r>
  <r>
    <s v="REG100820"/>
    <x v="88"/>
    <s v="Cust 9410"/>
    <x v="3"/>
    <n v="3581.1"/>
    <n v="20"/>
    <n v="1074.33"/>
    <n v="0.1"/>
    <s v="Cust 9410"/>
    <s v="Alejandro Ballentine"/>
    <x v="2"/>
    <s v="Plano"/>
    <s v="Texas"/>
    <x v="0"/>
  </r>
  <r>
    <s v="REG100821"/>
    <x v="292"/>
    <s v="Cust 9397"/>
    <x v="4"/>
    <n v="5395.89"/>
    <n v="11"/>
    <n v="1618.77"/>
    <n v="0.15"/>
    <s v="Cust 9397"/>
    <s v="Phillina Ober"/>
    <x v="2"/>
    <s v="Bayonne"/>
    <s v="New Jersey"/>
    <x v="2"/>
  </r>
  <r>
    <s v="REG100312"/>
    <x v="293"/>
    <s v="Cust 9397"/>
    <x v="1"/>
    <n v="8447.1"/>
    <n v="17"/>
    <n v="2534.13"/>
    <n v="0.05"/>
    <s v="Cust 9397"/>
    <s v="Phillina Ober"/>
    <x v="2"/>
    <s v="Bayonne"/>
    <s v="New Jersey"/>
    <x v="2"/>
  </r>
  <r>
    <s v="REG100822"/>
    <x v="469"/>
    <s v="Cust 6665"/>
    <x v="4"/>
    <n v="450.9"/>
    <n v="10"/>
    <n v="135.27000000000001"/>
    <n v="0.1"/>
    <s v="Cust 6665"/>
    <s v="Arthur Gainer"/>
    <x v="3"/>
    <s v="Los Angeles"/>
    <s v="California"/>
    <x v="2"/>
  </r>
  <r>
    <s v="REG100595"/>
    <x v="470"/>
    <s v="Cust 6665"/>
    <x v="4"/>
    <n v="832.13"/>
    <n v="11"/>
    <n v="249.64"/>
    <n v="0.05"/>
    <s v="Cust 6665"/>
    <s v="Arthur Gainer"/>
    <x v="3"/>
    <s v="Los Angeles"/>
    <s v="California"/>
    <x v="2"/>
  </r>
  <r>
    <s v="REG100823"/>
    <x v="573"/>
    <s v="Cust 2590"/>
    <x v="4"/>
    <n v="8955.18"/>
    <n v="19"/>
    <n v="2686.55"/>
    <n v="0.15"/>
    <s v="Cust 2590"/>
    <s v="Steven Cartwright"/>
    <x v="3"/>
    <s v="Seattle"/>
    <s v="Washington"/>
    <x v="2"/>
  </r>
  <r>
    <s v="REG100824"/>
    <x v="574"/>
    <s v="Cust 4599"/>
    <x v="0"/>
    <n v="1642.34"/>
    <n v="14"/>
    <n v="492.7"/>
    <n v="0"/>
    <s v="Cust 4599"/>
    <s v="Natalie DeCherney"/>
    <x v="2"/>
    <s v="New York City"/>
    <s v="New York"/>
    <x v="2"/>
  </r>
  <r>
    <s v="REG100825"/>
    <x v="101"/>
    <s v="Cust 7166"/>
    <x v="6"/>
    <n v="581.94000000000005"/>
    <n v="3"/>
    <n v="174.58"/>
    <n v="0"/>
    <s v="Cust 7166"/>
    <s v="Cynthia Delaney"/>
    <x v="3"/>
    <s v="San Diego"/>
    <s v="California"/>
    <x v="0"/>
  </r>
  <r>
    <s v="REG100826"/>
    <x v="575"/>
    <s v="Cust 6177"/>
    <x v="1"/>
    <n v="7350.34"/>
    <n v="20"/>
    <n v="2205.1"/>
    <n v="0.05"/>
    <s v="Cust 6177"/>
    <s v="Patrick Gardner"/>
    <x v="1"/>
    <s v="Glendale"/>
    <s v="Arizona"/>
    <x v="0"/>
  </r>
  <r>
    <s v="REG100827"/>
    <x v="530"/>
    <s v="Cust 6229"/>
    <x v="3"/>
    <n v="975.96"/>
    <n v="12"/>
    <n v="292.79000000000002"/>
    <n v="0"/>
    <s v="Cust 6229"/>
    <s v="Irene Maddox"/>
    <x v="2"/>
    <s v="Philadelphia"/>
    <s v="Pennsylvania"/>
    <x v="0"/>
  </r>
  <r>
    <s v="REG100724"/>
    <x v="55"/>
    <s v="Cust 6229"/>
    <x v="5"/>
    <n v="6512.02"/>
    <n v="19"/>
    <n v="1953.61"/>
    <n v="0.1"/>
    <s v="Cust 6229"/>
    <s v="Irene Maddox"/>
    <x v="2"/>
    <s v="Philadelphia"/>
    <s v="Pennsylvania"/>
    <x v="0"/>
  </r>
  <r>
    <s v="REG100828"/>
    <x v="131"/>
    <s v="Cust 2899"/>
    <x v="4"/>
    <n v="2340.2600000000002"/>
    <n v="5"/>
    <n v="702.08"/>
    <n v="0.15"/>
    <s v="Cust 2899"/>
    <s v="Jamie Kunitz"/>
    <x v="0"/>
    <s v="San Francisco"/>
    <s v="California"/>
    <x v="2"/>
  </r>
  <r>
    <s v="REG100829"/>
    <x v="354"/>
    <s v="Cust 5322"/>
    <x v="4"/>
    <n v="1800.86"/>
    <n v="4"/>
    <n v="540.26"/>
    <n v="0.05"/>
    <s v="Cust 5322"/>
    <s v="Jeremy Pistek"/>
    <x v="4"/>
    <s v="Houston"/>
    <s v="Texas"/>
    <x v="2"/>
  </r>
  <r>
    <s v="REG100705"/>
    <x v="98"/>
    <s v="Cust 5322"/>
    <x v="6"/>
    <n v="532.20000000000005"/>
    <n v="6"/>
    <n v="159.66"/>
    <n v="0"/>
    <s v="Cust 5322"/>
    <s v="Jeremy Pistek"/>
    <x v="4"/>
    <s v="Houston"/>
    <s v="Texas"/>
    <x v="0"/>
  </r>
  <r>
    <s v="REG100830"/>
    <x v="421"/>
    <s v="Cust 7063"/>
    <x v="6"/>
    <n v="479.18"/>
    <n v="19"/>
    <n v="143.75"/>
    <n v="0"/>
    <s v="Cust 7063"/>
    <s v="Michelle Moray"/>
    <x v="4"/>
    <s v="Chicago"/>
    <s v="Illinois"/>
    <x v="1"/>
  </r>
  <r>
    <s v="REG100831"/>
    <x v="526"/>
    <s v="Cust 7487"/>
    <x v="1"/>
    <n v="874.08"/>
    <n v="2"/>
    <n v="262.22000000000003"/>
    <n v="0"/>
    <s v="Cust 7487"/>
    <s v="Debra Catini"/>
    <x v="2"/>
    <s v="San Francisco"/>
    <s v="California"/>
    <x v="0"/>
  </r>
  <r>
    <s v="REG100832"/>
    <x v="333"/>
    <s v="Cust 5481"/>
    <x v="2"/>
    <n v="1907.66"/>
    <n v="5"/>
    <n v="572.29999999999995"/>
    <n v="0.15"/>
    <s v="Cust 5481"/>
    <s v="John Lee"/>
    <x v="4"/>
    <s v="New York City"/>
    <s v="New York"/>
    <x v="1"/>
  </r>
  <r>
    <s v="REG101068"/>
    <x v="160"/>
    <s v="Cust 3150"/>
    <x v="1"/>
    <n v="183.43"/>
    <n v="1"/>
    <n v="55.03"/>
    <n v="0.05"/>
    <s v="Cust 3150"/>
    <s v="Bradley Nguyen"/>
    <x v="3"/>
    <s v="New York City"/>
    <s v="New York"/>
    <x v="0"/>
  </r>
  <r>
    <s v="REG100833"/>
    <x v="436"/>
    <s v="Cust 3150"/>
    <x v="1"/>
    <n v="4199.16"/>
    <n v="14"/>
    <n v="1259.75"/>
    <n v="0"/>
    <s v="Cust 3150"/>
    <s v="Bradley Nguyen"/>
    <x v="3"/>
    <s v="New York City"/>
    <s v="New York"/>
    <x v="0"/>
  </r>
  <r>
    <s v="REG100834"/>
    <x v="576"/>
    <s v="Cust 5099"/>
    <x v="0"/>
    <n v="1524.42"/>
    <n v="8"/>
    <n v="457.33"/>
    <n v="0.15"/>
    <s v="Cust 5099"/>
    <s v="Katherine Ducich"/>
    <x v="3"/>
    <s v="Chicago"/>
    <s v="Illinois"/>
    <x v="0"/>
  </r>
  <r>
    <s v="REG100835"/>
    <x v="577"/>
    <s v="Cust 6615"/>
    <x v="2"/>
    <n v="1867.83"/>
    <n v="6"/>
    <n v="560.35"/>
    <n v="0.05"/>
    <s v="Cust 6615"/>
    <s v="Jay Kimmel"/>
    <x v="4"/>
    <s v="Philadelphia"/>
    <s v="Pennsylvania"/>
    <x v="0"/>
  </r>
  <r>
    <s v="REG100836"/>
    <x v="578"/>
    <s v="Cust 6924"/>
    <x v="1"/>
    <n v="3285.25"/>
    <n v="8"/>
    <n v="985.58"/>
    <n v="0.05"/>
    <s v="Cust 6924"/>
    <s v="Filia McAdams"/>
    <x v="0"/>
    <s v="Dublin"/>
    <s v="Ohio"/>
    <x v="2"/>
  </r>
  <r>
    <s v="REG100837"/>
    <x v="184"/>
    <s v="Cust 2411"/>
    <x v="5"/>
    <n v="849.93"/>
    <n v="4"/>
    <n v="254.98"/>
    <n v="0.15"/>
    <s v="Cust 2411"/>
    <s v="Christina Anderson"/>
    <x v="2"/>
    <s v="Springfield"/>
    <s v="Virginia"/>
    <x v="2"/>
  </r>
  <r>
    <s v="REG100838"/>
    <x v="579"/>
    <s v="Cust 9648"/>
    <x v="4"/>
    <n v="2312.29"/>
    <n v="14"/>
    <n v="693.69"/>
    <n v="0.15"/>
    <s v="Cust 9648"/>
    <s v="Keith Dawkins"/>
    <x v="1"/>
    <s v="Fayetteville"/>
    <s v="North Carolina"/>
    <x v="2"/>
  </r>
  <r>
    <s v="REG100839"/>
    <x v="580"/>
    <s v="Cust 1974"/>
    <x v="1"/>
    <n v="346.45"/>
    <n v="5"/>
    <n v="103.94"/>
    <n v="0"/>
    <s v="Cust 1974"/>
    <s v="Logan Haushalter"/>
    <x v="4"/>
    <s v="Dallas"/>
    <s v="Texas"/>
    <x v="0"/>
  </r>
  <r>
    <s v="REG100840"/>
    <x v="581"/>
    <s v="Cust 9452"/>
    <x v="4"/>
    <n v="4603.6499999999996"/>
    <n v="15"/>
    <n v="1381.1"/>
    <n v="0"/>
    <s v="Cust 9452"/>
    <s v="Anna Gayman"/>
    <x v="1"/>
    <s v="Jacksonville"/>
    <s v="North Carolina"/>
    <x v="1"/>
  </r>
  <r>
    <s v="REG100841"/>
    <x v="83"/>
    <s v="Cust 4558"/>
    <x v="2"/>
    <n v="1327.02"/>
    <n v="4"/>
    <n v="398.11"/>
    <n v="0.15"/>
    <s v="Cust 4558"/>
    <s v="David Bremer"/>
    <x v="2"/>
    <s v="San Francisco"/>
    <s v="California"/>
    <x v="1"/>
  </r>
  <r>
    <s v="REG100842"/>
    <x v="159"/>
    <s v="Cust 8811"/>
    <x v="1"/>
    <n v="432.81"/>
    <n v="7"/>
    <n v="129.84"/>
    <n v="0"/>
    <s v="Cust 8811"/>
    <s v="Emily Ducich"/>
    <x v="2"/>
    <s v="San Diego"/>
    <s v="California"/>
    <x v="2"/>
  </r>
  <r>
    <s v="REG100843"/>
    <x v="356"/>
    <s v="Cust 7788"/>
    <x v="5"/>
    <n v="554.08000000000004"/>
    <n v="7"/>
    <n v="166.22"/>
    <n v="0.05"/>
    <s v="Cust 7788"/>
    <s v="Mick Crebagga"/>
    <x v="4"/>
    <s v="Philadelphia"/>
    <s v="Pennsylvania"/>
    <x v="0"/>
  </r>
  <r>
    <s v="REG100844"/>
    <x v="539"/>
    <s v="Cust 2788"/>
    <x v="5"/>
    <n v="2139.63"/>
    <n v="4"/>
    <n v="641.89"/>
    <n v="0.05"/>
    <s v="Cust 2788"/>
    <s v="Bryan Mills"/>
    <x v="4"/>
    <s v="Rochester"/>
    <s v="New York"/>
    <x v="0"/>
  </r>
  <r>
    <s v="REG100845"/>
    <x v="582"/>
    <s v="Cust 6621"/>
    <x v="1"/>
    <n v="2832.67"/>
    <n v="13"/>
    <n v="849.8"/>
    <n v="0.15"/>
    <s v="Cust 6621"/>
    <s v="Erin Mull"/>
    <x v="2"/>
    <s v="Jacksonville"/>
    <s v="North Carolina"/>
    <x v="0"/>
  </r>
  <r>
    <s v="REG100846"/>
    <x v="583"/>
    <s v="Cust 8575"/>
    <x v="4"/>
    <n v="2592.87"/>
    <n v="9"/>
    <n v="777.86"/>
    <n v="0.05"/>
    <s v="Cust 8575"/>
    <s v="Dianna Arnett"/>
    <x v="3"/>
    <s v="Houston"/>
    <s v="Texas"/>
    <x v="1"/>
  </r>
  <r>
    <s v="REG100847"/>
    <x v="194"/>
    <s v="Cust 8799"/>
    <x v="3"/>
    <n v="3369.67"/>
    <n v="9"/>
    <n v="1010.9"/>
    <n v="0.15"/>
    <s v="Cust 8799"/>
    <s v="Meg O'Connel"/>
    <x v="2"/>
    <s v="San Antonio"/>
    <s v="Texas"/>
    <x v="1"/>
  </r>
  <r>
    <s v="REG100848"/>
    <x v="277"/>
    <s v="Cust 1699"/>
    <x v="2"/>
    <n v="7578.39"/>
    <n v="17"/>
    <n v="2273.52"/>
    <n v="0.05"/>
    <s v="Cust 1699"/>
    <s v="Joni Wasserman"/>
    <x v="0"/>
    <s v="Oakland"/>
    <s v="California"/>
    <x v="0"/>
  </r>
  <r>
    <s v="REG100849"/>
    <x v="209"/>
    <s v="Cust 5606"/>
    <x v="3"/>
    <n v="7523.93"/>
    <n v="18"/>
    <n v="2257.1799999999998"/>
    <n v="0.15"/>
    <s v="Cust 5606"/>
    <s v="Victoria Wilson"/>
    <x v="1"/>
    <s v="San Francisco"/>
    <s v="California"/>
    <x v="0"/>
  </r>
  <r>
    <s v="REG100850"/>
    <x v="332"/>
    <s v="Cust 4933"/>
    <x v="3"/>
    <n v="8398.1200000000008"/>
    <n v="19"/>
    <n v="2519.44"/>
    <n v="0.05"/>
    <s v="Cust 4933"/>
    <s v="Tonja Turnell"/>
    <x v="3"/>
    <s v="Fort Worth"/>
    <s v="Texas"/>
    <x v="0"/>
  </r>
  <r>
    <s v="REG100851"/>
    <x v="584"/>
    <s v="Cust 9517"/>
    <x v="3"/>
    <n v="6186.24"/>
    <n v="18"/>
    <n v="1855.87"/>
    <n v="0"/>
    <s v="Cust 9517"/>
    <s v="Sara Luxemburg"/>
    <x v="0"/>
    <s v="Houston"/>
    <s v="Texas"/>
    <x v="0"/>
  </r>
  <r>
    <s v="REG100852"/>
    <x v="585"/>
    <s v="Cust 6740"/>
    <x v="2"/>
    <n v="6284.38"/>
    <n v="14"/>
    <n v="1885.31"/>
    <n v="0.05"/>
    <s v="Cust 6740"/>
    <s v="Raymond Messe"/>
    <x v="2"/>
    <s v="Houston"/>
    <s v="Texas"/>
    <x v="2"/>
  </r>
  <r>
    <s v="REG100853"/>
    <x v="257"/>
    <s v="Cust 1301"/>
    <x v="0"/>
    <n v="2565.36"/>
    <n v="20"/>
    <n v="769.61"/>
    <n v="0.1"/>
    <s v="Cust 1301"/>
    <s v="Mick Brown"/>
    <x v="4"/>
    <s v="Philadelphia"/>
    <s v="Pennsylvania"/>
    <x v="0"/>
  </r>
  <r>
    <s v="REG100854"/>
    <x v="186"/>
    <s v="Cust 1736"/>
    <x v="1"/>
    <n v="29.85"/>
    <n v="1"/>
    <n v="8.9499999999999993"/>
    <n v="0.05"/>
    <s v="Cust 1736"/>
    <s v="Arthur Gainer"/>
    <x v="0"/>
    <s v="San Diego"/>
    <s v="California"/>
    <x v="0"/>
  </r>
  <r>
    <s v="REG100185"/>
    <x v="187"/>
    <s v="Cust 1736"/>
    <x v="2"/>
    <n v="6458.54"/>
    <n v="15"/>
    <n v="1937.56"/>
    <n v="0.1"/>
    <s v="Cust 1736"/>
    <s v="Arthur Gainer"/>
    <x v="0"/>
    <s v="San Diego"/>
    <s v="California"/>
    <x v="0"/>
  </r>
  <r>
    <s v="REG100855"/>
    <x v="367"/>
    <s v="Cust 6864"/>
    <x v="6"/>
    <n v="8269.59"/>
    <n v="17"/>
    <n v="2480.88"/>
    <n v="0.15"/>
    <s v="Cust 6864"/>
    <s v="Max Ludwig"/>
    <x v="2"/>
    <s v="Suffolk"/>
    <s v="Virginia"/>
    <x v="0"/>
  </r>
  <r>
    <s v="REG100856"/>
    <x v="85"/>
    <s v="Cust 5207"/>
    <x v="2"/>
    <n v="5404.32"/>
    <n v="18"/>
    <n v="1621.3"/>
    <n v="0.1"/>
    <s v="Cust 5207"/>
    <s v="Craig Carroll"/>
    <x v="0"/>
    <s v="Greensboro"/>
    <s v="North Carolina"/>
    <x v="0"/>
  </r>
  <r>
    <s v="REG100857"/>
    <x v="457"/>
    <s v="Cust 6525"/>
    <x v="3"/>
    <n v="695.16"/>
    <n v="9"/>
    <n v="208.55"/>
    <n v="0.15"/>
    <s v="Cust 6525"/>
    <s v="Stewart Carmichael"/>
    <x v="2"/>
    <s v="Dallas"/>
    <s v="Texas"/>
    <x v="0"/>
  </r>
  <r>
    <s v="REG100858"/>
    <x v="586"/>
    <s v="Cust 8298"/>
    <x v="6"/>
    <n v="5032.4399999999996"/>
    <n v="9"/>
    <n v="1509.73"/>
    <n v="0.05"/>
    <s v="Cust 8298"/>
    <s v="Greg Guthrie"/>
    <x v="3"/>
    <s v="Chicago"/>
    <s v="Illinois"/>
    <x v="0"/>
  </r>
  <r>
    <s v="REG100859"/>
    <x v="161"/>
    <s v="Cust 8204"/>
    <x v="3"/>
    <n v="2621.09"/>
    <n v="18"/>
    <n v="786.33"/>
    <n v="0.05"/>
    <s v="Cust 8204"/>
    <s v="Muhammed Yedwab"/>
    <x v="1"/>
    <s v="Baltimore"/>
    <s v="Maryland"/>
    <x v="0"/>
  </r>
  <r>
    <s v="REG100860"/>
    <x v="587"/>
    <s v="Cust 4035"/>
    <x v="4"/>
    <n v="2817.32"/>
    <n v="17"/>
    <n v="845.19"/>
    <n v="0.15"/>
    <s v="Cust 4035"/>
    <s v="Darren Powers"/>
    <x v="2"/>
    <s v="Los Angeles"/>
    <s v="California"/>
    <x v="0"/>
  </r>
  <r>
    <s v="REG100861"/>
    <x v="588"/>
    <s v="Cust 1654"/>
    <x v="5"/>
    <n v="1838.05"/>
    <n v="5"/>
    <n v="551.41999999999996"/>
    <n v="0"/>
    <s v="Cust 1654"/>
    <s v="Bryan Davis"/>
    <x v="0"/>
    <s v="New York City"/>
    <s v="New York"/>
    <x v="0"/>
  </r>
  <r>
    <s v="REG100862"/>
    <x v="20"/>
    <s v="Cust 1823"/>
    <x v="0"/>
    <n v="9294.33"/>
    <n v="17"/>
    <n v="2788.3"/>
    <n v="0.05"/>
    <s v="Cust 1823"/>
    <s v="Claudia Bergmann"/>
    <x v="0"/>
    <s v="Franklin"/>
    <s v="Massachusetts"/>
    <x v="0"/>
  </r>
  <r>
    <s v="REG100863"/>
    <x v="456"/>
    <s v="Cust 1423"/>
    <x v="3"/>
    <n v="585.1"/>
    <n v="3"/>
    <n v="175.53"/>
    <n v="0.15"/>
    <s v="Cust 1423"/>
    <s v="Jim Epp"/>
    <x v="4"/>
    <s v="Milwaukee"/>
    <s v="Wisconsin"/>
    <x v="0"/>
  </r>
  <r>
    <s v="REG100864"/>
    <x v="589"/>
    <s v="Cust 7282"/>
    <x v="3"/>
    <n v="1174.8900000000001"/>
    <n v="3"/>
    <n v="352.47"/>
    <n v="0"/>
    <s v="Cust 7282"/>
    <s v="Roy Phan"/>
    <x v="3"/>
    <s v="Kenosha"/>
    <s v="Wisconsin"/>
    <x v="0"/>
  </r>
  <r>
    <s v="REG100865"/>
    <x v="590"/>
    <s v="Cust 8437"/>
    <x v="0"/>
    <n v="909.23"/>
    <n v="15"/>
    <n v="272.77"/>
    <n v="0.1"/>
    <s v="Cust 8437"/>
    <s v="Russell Applegate"/>
    <x v="3"/>
    <s v="New York City"/>
    <s v="New York"/>
    <x v="0"/>
  </r>
  <r>
    <s v="REG100866"/>
    <x v="146"/>
    <s v="Cust 9508"/>
    <x v="0"/>
    <n v="2314.69"/>
    <n v="6"/>
    <n v="694.41"/>
    <n v="0.15"/>
    <s v="Cust 9508"/>
    <s v="Resi PÃƒÂ¶lking"/>
    <x v="3"/>
    <s v="Madison"/>
    <s v="Wisconsin"/>
    <x v="2"/>
  </r>
  <r>
    <s v="REG101441"/>
    <x v="308"/>
    <s v="Cust 1186"/>
    <x v="0"/>
    <n v="1610.03"/>
    <n v="7"/>
    <n v="483.01"/>
    <n v="0.05"/>
    <s v="Cust 1186"/>
    <s v="Thomas Boland"/>
    <x v="1"/>
    <s v="Houston"/>
    <s v="Texas"/>
    <x v="1"/>
  </r>
  <r>
    <s v="REG100867"/>
    <x v="591"/>
    <s v="Cust 1186"/>
    <x v="6"/>
    <n v="10216.299999999999"/>
    <n v="19"/>
    <n v="3064.89"/>
    <n v="0"/>
    <s v="Cust 1186"/>
    <s v="Thomas Boland"/>
    <x v="1"/>
    <s v="Houston"/>
    <s v="Texas"/>
    <x v="1"/>
  </r>
  <r>
    <s v="REG100868"/>
    <x v="497"/>
    <s v="Cust 4362"/>
    <x v="1"/>
    <n v="154.66"/>
    <n v="5"/>
    <n v="46.4"/>
    <n v="0.05"/>
    <s v="Cust 4362"/>
    <s v="Brad Eason"/>
    <x v="2"/>
    <s v="Olathe"/>
    <s v="Kansas"/>
    <x v="1"/>
  </r>
  <r>
    <s v="REG100869"/>
    <x v="261"/>
    <s v="Cust 9388"/>
    <x v="0"/>
    <n v="393.4"/>
    <n v="2"/>
    <n v="118.02"/>
    <n v="0"/>
    <s v="Cust 9388"/>
    <s v="Mathew Reese"/>
    <x v="3"/>
    <s v="New York City"/>
    <s v="New York"/>
    <x v="1"/>
  </r>
  <r>
    <s v="REG100870"/>
    <x v="276"/>
    <s v="Cust 4015"/>
    <x v="1"/>
    <n v="3990.06"/>
    <n v="12"/>
    <n v="1197.02"/>
    <n v="0.1"/>
    <s v="Cust 4015"/>
    <s v="Raymond Messe"/>
    <x v="1"/>
    <s v="San Jose"/>
    <s v="California"/>
    <x v="0"/>
  </r>
  <r>
    <s v="REG100548"/>
    <x v="444"/>
    <s v="Cust 4015"/>
    <x v="3"/>
    <n v="3377.82"/>
    <n v="10"/>
    <n v="1013.34"/>
    <n v="0.15"/>
    <s v="Cust 4015"/>
    <s v="Raymond Messe"/>
    <x v="1"/>
    <s v="San Jose"/>
    <s v="California"/>
    <x v="0"/>
  </r>
  <r>
    <s v="REG100871"/>
    <x v="592"/>
    <s v="Cust 6428"/>
    <x v="6"/>
    <n v="1855.99"/>
    <n v="12"/>
    <n v="556.79999999999995"/>
    <n v="0.15"/>
    <s v="Cust 6428"/>
    <s v="Jill Fjeld"/>
    <x v="0"/>
    <s v="Dallas"/>
    <s v="Texas"/>
    <x v="0"/>
  </r>
  <r>
    <s v="REG100872"/>
    <x v="593"/>
    <s v="Cust 2570"/>
    <x v="2"/>
    <n v="81.78"/>
    <n v="3"/>
    <n v="24.53"/>
    <n v="0.15"/>
    <s v="Cust 2570"/>
    <s v="Adrian Shami"/>
    <x v="0"/>
    <s v="Auburn"/>
    <s v="Washington"/>
    <x v="0"/>
  </r>
  <r>
    <s v="REG100873"/>
    <x v="252"/>
    <s v="Cust 5132"/>
    <x v="0"/>
    <n v="509.11"/>
    <n v="15"/>
    <n v="152.72999999999999"/>
    <n v="0.15"/>
    <s v="Cust 5132"/>
    <s v="Joseph Airdo"/>
    <x v="0"/>
    <s v="Philadelphia"/>
    <s v="Pennsylvania"/>
    <x v="2"/>
  </r>
  <r>
    <s v="REG100874"/>
    <x v="516"/>
    <s v="Cust 4929"/>
    <x v="1"/>
    <n v="2227.86"/>
    <n v="7"/>
    <n v="668.36"/>
    <n v="0.15"/>
    <s v="Cust 4929"/>
    <s v="Grace Kelly"/>
    <x v="2"/>
    <s v="Los Angeles"/>
    <s v="California"/>
    <x v="2"/>
  </r>
  <r>
    <s v="REG101415"/>
    <x v="527"/>
    <s v="Cust 4018"/>
    <x v="0"/>
    <n v="4826.57"/>
    <n v="19"/>
    <n v="1447.97"/>
    <n v="0"/>
    <s v="Cust 4018"/>
    <s v="Phillip Breyer"/>
    <x v="0"/>
    <s v="Tulsa"/>
    <s v="Oklahoma"/>
    <x v="2"/>
  </r>
  <r>
    <s v="REG100875"/>
    <x v="459"/>
    <s v="Cust 4018"/>
    <x v="4"/>
    <n v="203.74"/>
    <n v="2"/>
    <n v="61.12"/>
    <n v="0"/>
    <s v="Cust 4018"/>
    <s v="Phillip Breyer"/>
    <x v="0"/>
    <s v="Tulsa"/>
    <s v="Oklahoma"/>
    <x v="2"/>
  </r>
  <r>
    <s v="REG100876"/>
    <x v="594"/>
    <s v="Cust 8069"/>
    <x v="6"/>
    <n v="4241.6099999999997"/>
    <n v="13"/>
    <n v="1272.48"/>
    <n v="0.05"/>
    <s v="Cust 8069"/>
    <s v="Heather Kirkland"/>
    <x v="3"/>
    <s v="Chicago"/>
    <s v="Illinois"/>
    <x v="1"/>
  </r>
  <r>
    <s v="REG100877"/>
    <x v="369"/>
    <s v="Cust 6741"/>
    <x v="4"/>
    <n v="2161.65"/>
    <n v="15"/>
    <n v="648.5"/>
    <n v="0"/>
    <s v="Cust 6741"/>
    <s v="Frank Olsen"/>
    <x v="3"/>
    <s v="Harrisonburg"/>
    <s v="Virginia"/>
    <x v="1"/>
  </r>
  <r>
    <s v="REG100878"/>
    <x v="595"/>
    <s v="Cust 8050"/>
    <x v="3"/>
    <n v="6176.3"/>
    <n v="18"/>
    <n v="1852.89"/>
    <n v="0.15"/>
    <s v="Cust 8050"/>
    <s v="Brian Thompson"/>
    <x v="4"/>
    <s v="Newark"/>
    <s v="Ohio"/>
    <x v="1"/>
  </r>
  <r>
    <s v="REG100879"/>
    <x v="454"/>
    <s v="Cust 2434"/>
    <x v="4"/>
    <n v="4366.78"/>
    <n v="14"/>
    <n v="1310.03"/>
    <n v="0.1"/>
    <s v="Cust 2434"/>
    <s v="Stefania Perrino"/>
    <x v="0"/>
    <s v="Los Angeles"/>
    <s v="California"/>
    <x v="1"/>
  </r>
  <r>
    <s v="REG100880"/>
    <x v="596"/>
    <s v="Cust 9089"/>
    <x v="4"/>
    <n v="2749.53"/>
    <n v="7"/>
    <n v="824.86"/>
    <n v="0"/>
    <s v="Cust 9089"/>
    <s v="Lauren Leatherbury"/>
    <x v="2"/>
    <s v="Seattle"/>
    <s v="Washington"/>
    <x v="1"/>
  </r>
  <r>
    <s v="REG100881"/>
    <x v="82"/>
    <s v="Cust 1091"/>
    <x v="4"/>
    <n v="1076.6199999999999"/>
    <n v="16"/>
    <n v="322.98"/>
    <n v="0.05"/>
    <s v="Cust 1091"/>
    <s v="Matt Collins"/>
    <x v="4"/>
    <s v="Los Angeles"/>
    <s v="California"/>
    <x v="0"/>
  </r>
  <r>
    <s v="REG100882"/>
    <x v="267"/>
    <s v="Cust 6138"/>
    <x v="5"/>
    <n v="4938.66"/>
    <n v="20"/>
    <n v="1481.6"/>
    <n v="0.1"/>
    <s v="Cust 6138"/>
    <s v="Janet Lee"/>
    <x v="3"/>
    <s v="Chicago"/>
    <s v="Illinois"/>
    <x v="0"/>
  </r>
  <r>
    <s v="REG100278"/>
    <x v="268"/>
    <s v="Cust 6138"/>
    <x v="2"/>
    <n v="971.04"/>
    <n v="16"/>
    <n v="291.31"/>
    <n v="0"/>
    <s v="Cust 6138"/>
    <s v="Janet Lee"/>
    <x v="3"/>
    <s v="Chicago"/>
    <s v="Illinois"/>
    <x v="0"/>
  </r>
  <r>
    <s v="REG100883"/>
    <x v="447"/>
    <s v="Cust 6326"/>
    <x v="2"/>
    <n v="177.57"/>
    <n v="10"/>
    <n v="53.27"/>
    <n v="0.1"/>
    <s v="Cust 6326"/>
    <s v="Erin Ashbrook"/>
    <x v="3"/>
    <s v="Chicago"/>
    <s v="Illinois"/>
    <x v="2"/>
  </r>
  <r>
    <s v="REG100884"/>
    <x v="597"/>
    <s v="Cust 1327"/>
    <x v="4"/>
    <n v="4424.34"/>
    <n v="10"/>
    <n v="1327.3"/>
    <n v="0.05"/>
    <s v="Cust 1327"/>
    <s v="Sue Ann Reed"/>
    <x v="3"/>
    <s v="Redmond"/>
    <s v="Oregon"/>
    <x v="0"/>
  </r>
  <r>
    <s v="REG100885"/>
    <x v="554"/>
    <s v="Cust 8602"/>
    <x v="5"/>
    <n v="1061.4000000000001"/>
    <n v="19"/>
    <n v="318.42"/>
    <n v="0.1"/>
    <s v="Cust 8602"/>
    <s v="Cathy Hwang"/>
    <x v="3"/>
    <s v="Raleigh"/>
    <s v="North Carolina"/>
    <x v="0"/>
  </r>
  <r>
    <s v="REG100886"/>
    <x v="2"/>
    <s v="Cust 9131"/>
    <x v="6"/>
    <n v="5530.14"/>
    <n v="11"/>
    <n v="1659.04"/>
    <n v="0.05"/>
    <s v="Cust 9131"/>
    <s v="Neil Ducich"/>
    <x v="3"/>
    <s v="Macon"/>
    <s v="Georgia"/>
    <x v="0"/>
  </r>
  <r>
    <s v="REG101408"/>
    <x v="543"/>
    <s v="Cust 6716"/>
    <x v="6"/>
    <n v="6319.67"/>
    <n v="19"/>
    <n v="1895.9"/>
    <n v="0.05"/>
    <s v="Cust 6716"/>
    <s v="Bruce Stewart"/>
    <x v="1"/>
    <s v="Cleveland"/>
    <s v="Ohio"/>
    <x v="2"/>
  </r>
  <r>
    <s v="REG100887"/>
    <x v="104"/>
    <s v="Cust 6716"/>
    <x v="5"/>
    <n v="2440.0500000000002"/>
    <n v="7"/>
    <n v="732.02"/>
    <n v="0.1"/>
    <s v="Cust 6716"/>
    <s v="Bruce Stewart"/>
    <x v="1"/>
    <s v="Cleveland"/>
    <s v="Ohio"/>
    <x v="0"/>
  </r>
  <r>
    <s v="REG100888"/>
    <x v="598"/>
    <s v="Cust 2071"/>
    <x v="1"/>
    <n v="152.75"/>
    <n v="1"/>
    <n v="45.83"/>
    <n v="0"/>
    <s v="Cust 2071"/>
    <s v="Sara Luxemburg"/>
    <x v="1"/>
    <s v="Muskogee"/>
    <s v="Oklahoma"/>
    <x v="0"/>
  </r>
  <r>
    <s v="REG100889"/>
    <x v="297"/>
    <s v="Cust 4472"/>
    <x v="3"/>
    <n v="521.86"/>
    <n v="8"/>
    <n v="156.56"/>
    <n v="0.1"/>
    <s v="Cust 4472"/>
    <s v="George Bell"/>
    <x v="1"/>
    <s v="Monroe"/>
    <s v="North Carolina"/>
    <x v="1"/>
  </r>
  <r>
    <s v="REG100890"/>
    <x v="215"/>
    <s v="Cust 3899"/>
    <x v="1"/>
    <n v="698.72"/>
    <n v="4"/>
    <n v="209.62"/>
    <n v="0.1"/>
    <s v="Cust 3899"/>
    <s v="Aaron Smayling"/>
    <x v="0"/>
    <s v="Austin"/>
    <s v="Texas"/>
    <x v="1"/>
  </r>
  <r>
    <s v="REG100891"/>
    <x v="599"/>
    <s v="Cust 9467"/>
    <x v="1"/>
    <n v="454.01"/>
    <n v="3"/>
    <n v="136.19999999999999"/>
    <n v="0.05"/>
    <s v="Cust 9467"/>
    <s v="Raymond Messe"/>
    <x v="1"/>
    <s v="Meriden"/>
    <s v="Connecticut"/>
    <x v="2"/>
  </r>
  <r>
    <s v="REG100892"/>
    <x v="504"/>
    <s v="Cust 3824"/>
    <x v="5"/>
    <n v="1092.1300000000001"/>
    <n v="4"/>
    <n v="327.64"/>
    <n v="0.1"/>
    <s v="Cust 3824"/>
    <s v="Nicole Hansen"/>
    <x v="2"/>
    <s v="Roswell"/>
    <s v="Georgia"/>
    <x v="0"/>
  </r>
  <r>
    <s v="REG100893"/>
    <x v="600"/>
    <s v="Cust 3511"/>
    <x v="3"/>
    <n v="7804.22"/>
    <n v="16"/>
    <n v="2341.27"/>
    <n v="0.1"/>
    <s v="Cust 3511"/>
    <s v="Barbara Fisher"/>
    <x v="4"/>
    <s v="Charlotte"/>
    <s v="North Carolina"/>
    <x v="0"/>
  </r>
  <r>
    <s v="REG100894"/>
    <x v="601"/>
    <s v="Cust 3356"/>
    <x v="2"/>
    <n v="290.99"/>
    <n v="7"/>
    <n v="87.3"/>
    <n v="0"/>
    <s v="Cust 3356"/>
    <s v="Katharine Harms"/>
    <x v="4"/>
    <s v="Bowling Green"/>
    <s v="Kentucky"/>
    <x v="0"/>
  </r>
  <r>
    <s v="REG100895"/>
    <x v="279"/>
    <s v="Cust 2840"/>
    <x v="5"/>
    <n v="2961.26"/>
    <n v="16"/>
    <n v="888.38"/>
    <n v="0.15"/>
    <s v="Cust 2840"/>
    <s v="Frank Atkinson"/>
    <x v="1"/>
    <s v="San Antonio"/>
    <s v="Texas"/>
    <x v="0"/>
  </r>
  <r>
    <s v="REG100896"/>
    <x v="602"/>
    <s v="Cust 3811"/>
    <x v="4"/>
    <n v="287.55"/>
    <n v="15"/>
    <n v="86.27"/>
    <n v="0"/>
    <s v="Cust 3811"/>
    <s v="Giulietta Weimer"/>
    <x v="2"/>
    <s v="Seattle"/>
    <s v="Washington"/>
    <x v="1"/>
  </r>
  <r>
    <s v="REG100897"/>
    <x v="457"/>
    <s v="Cust 9960"/>
    <x v="5"/>
    <n v="3960.09"/>
    <n v="15"/>
    <n v="1188.03"/>
    <n v="0.1"/>
    <s v="Cust 9960"/>
    <s v="Dianna Arnett"/>
    <x v="3"/>
    <s v="Washington"/>
    <s v="District of Columbia"/>
    <x v="1"/>
  </r>
  <r>
    <s v="REG100898"/>
    <x v="603"/>
    <s v="Cust 5906"/>
    <x v="4"/>
    <n v="3314.2"/>
    <n v="18"/>
    <n v="994.26"/>
    <n v="0.1"/>
    <s v="Cust 5906"/>
    <s v="Frank Hawley"/>
    <x v="1"/>
    <s v="Los Angeles"/>
    <s v="California"/>
    <x v="1"/>
  </r>
  <r>
    <s v="REG100899"/>
    <x v="604"/>
    <s v="Cust 6579"/>
    <x v="4"/>
    <n v="4138.3999999999996"/>
    <n v="15"/>
    <n v="1241.52"/>
    <n v="0.15"/>
    <s v="Cust 6579"/>
    <s v="Ralph Kennedy"/>
    <x v="0"/>
    <s v="South Bend"/>
    <s v="Indiana"/>
    <x v="2"/>
  </r>
  <r>
    <s v="REG100900"/>
    <x v="255"/>
    <s v="Cust 1756"/>
    <x v="1"/>
    <n v="4113.22"/>
    <n v="11"/>
    <n v="1233.97"/>
    <n v="0.05"/>
    <s v="Cust 1756"/>
    <s v="Filia McAdams"/>
    <x v="1"/>
    <s v="Los Angeles"/>
    <s v="California"/>
    <x v="2"/>
  </r>
  <r>
    <s v="REG101471"/>
    <x v="50"/>
    <s v="Cust 8150"/>
    <x v="5"/>
    <n v="3217.44"/>
    <n v="6"/>
    <n v="965.23"/>
    <n v="0"/>
    <s v="Cust 8150"/>
    <s v="Alyssa Crouse"/>
    <x v="2"/>
    <s v="Houston"/>
    <s v="Texas"/>
    <x v="2"/>
  </r>
  <r>
    <s v="REG101101"/>
    <x v="541"/>
    <s v="Cust 8150"/>
    <x v="4"/>
    <n v="1194.25"/>
    <n v="10"/>
    <n v="358.28"/>
    <n v="0.15"/>
    <s v="Cust 8150"/>
    <s v="Alyssa Crouse"/>
    <x v="2"/>
    <s v="Houston"/>
    <s v="Texas"/>
    <x v="2"/>
  </r>
  <r>
    <s v="REG100901"/>
    <x v="542"/>
    <s v="Cust 8150"/>
    <x v="4"/>
    <n v="1073.73"/>
    <n v="8"/>
    <n v="322.12"/>
    <n v="0.05"/>
    <s v="Cust 8150"/>
    <s v="Alyssa Crouse"/>
    <x v="2"/>
    <s v="Houston"/>
    <s v="Texas"/>
    <x v="1"/>
  </r>
  <r>
    <s v="REG100731"/>
    <x v="543"/>
    <s v="Cust 8150"/>
    <x v="5"/>
    <n v="417.53"/>
    <n v="2"/>
    <n v="125.26"/>
    <n v="0.1"/>
    <s v="Cust 8150"/>
    <s v="Alyssa Crouse"/>
    <x v="2"/>
    <s v="Houston"/>
    <s v="Texas"/>
    <x v="1"/>
  </r>
  <r>
    <s v="REG100902"/>
    <x v="174"/>
    <s v="Cust 8999"/>
    <x v="1"/>
    <n v="2515.42"/>
    <n v="13"/>
    <n v="754.63"/>
    <n v="0.15"/>
    <s v="Cust 8999"/>
    <s v="Jennifer Braxton"/>
    <x v="4"/>
    <s v="Bristol"/>
    <s v="Connecticut"/>
    <x v="2"/>
  </r>
  <r>
    <s v="REG100903"/>
    <x v="349"/>
    <s v="Cust 4277"/>
    <x v="0"/>
    <n v="5832.3"/>
    <n v="19"/>
    <n v="1749.69"/>
    <n v="0.1"/>
    <s v="Cust 4277"/>
    <s v="Gary McGarr"/>
    <x v="3"/>
    <s v="New York City"/>
    <s v="New York"/>
    <x v="0"/>
  </r>
  <r>
    <s v="REG100904"/>
    <x v="520"/>
    <s v="Cust 8751"/>
    <x v="1"/>
    <n v="6166.45"/>
    <n v="20"/>
    <n v="1849.94"/>
    <n v="0.05"/>
    <s v="Cust 8751"/>
    <s v="Roy FranzÃƒÂ¶sisch"/>
    <x v="3"/>
    <s v="San Antonio"/>
    <s v="Texas"/>
    <x v="1"/>
  </r>
  <r>
    <s v="REG100905"/>
    <x v="486"/>
    <s v="Cust 2482"/>
    <x v="2"/>
    <n v="4335.41"/>
    <n v="16"/>
    <n v="1300.6199999999999"/>
    <n v="0.1"/>
    <s v="Cust 2482"/>
    <s v="Noah Childs"/>
    <x v="4"/>
    <s v="Aurora"/>
    <s v="Colorado"/>
    <x v="1"/>
  </r>
  <r>
    <s v="REG100906"/>
    <x v="605"/>
    <s v="Cust 4078"/>
    <x v="5"/>
    <n v="3708.64"/>
    <n v="13"/>
    <n v="1112.5899999999999"/>
    <n v="0"/>
    <s v="Cust 4078"/>
    <s v="Nat Gilpin"/>
    <x v="1"/>
    <s v="Newark"/>
    <s v="Ohio"/>
    <x v="1"/>
  </r>
  <r>
    <s v="REG100907"/>
    <x v="452"/>
    <s v="Cust 9091"/>
    <x v="1"/>
    <n v="270.60000000000002"/>
    <n v="15"/>
    <n v="81.180000000000007"/>
    <n v="0"/>
    <s v="Cust 9091"/>
    <s v="Adam Hart"/>
    <x v="1"/>
    <s v="Henderson"/>
    <s v="Nevada"/>
    <x v="1"/>
  </r>
  <r>
    <s v="REG101020"/>
    <x v="606"/>
    <s v="Cust 8706"/>
    <x v="4"/>
    <n v="2249.5"/>
    <n v="11"/>
    <n v="674.85"/>
    <n v="0"/>
    <s v="Cust 8706"/>
    <s v="Cathy Hwang"/>
    <x v="0"/>
    <s v="Philadelphia"/>
    <s v="Pennsylvania"/>
    <x v="1"/>
  </r>
  <r>
    <s v="REG100908"/>
    <x v="121"/>
    <s v="Cust 8706"/>
    <x v="4"/>
    <n v="5449.84"/>
    <n v="11"/>
    <n v="1634.95"/>
    <n v="0"/>
    <s v="Cust 8706"/>
    <s v="Cathy Hwang"/>
    <x v="0"/>
    <s v="Philadelphia"/>
    <s v="Pennsylvania"/>
    <x v="1"/>
  </r>
  <r>
    <s v="REG100909"/>
    <x v="607"/>
    <s v="Cust 5042"/>
    <x v="0"/>
    <n v="2819.48"/>
    <n v="12"/>
    <n v="845.85"/>
    <n v="0.15"/>
    <s v="Cust 5042"/>
    <s v="Charles Crestani"/>
    <x v="2"/>
    <s v="Seattle"/>
    <s v="Washington"/>
    <x v="0"/>
  </r>
  <r>
    <s v="REG100910"/>
    <x v="608"/>
    <s v="Cust 3319"/>
    <x v="2"/>
    <n v="1358.5"/>
    <n v="7"/>
    <n v="407.55"/>
    <n v="0.15"/>
    <s v="Cust 3319"/>
    <s v="Michelle Ellison"/>
    <x v="3"/>
    <s v="San Francisco"/>
    <s v="California"/>
    <x v="0"/>
  </r>
  <r>
    <s v="REG100911"/>
    <x v="483"/>
    <s v="Cust 4139"/>
    <x v="5"/>
    <n v="448.37"/>
    <n v="1"/>
    <n v="134.51"/>
    <n v="0.1"/>
    <s v="Cust 4139"/>
    <s v="Benjamin Patterson"/>
    <x v="3"/>
    <s v="Spokane"/>
    <s v="Washington"/>
    <x v="2"/>
  </r>
  <r>
    <s v="REG100912"/>
    <x v="609"/>
    <s v="Cust 6993"/>
    <x v="2"/>
    <n v="6088.45"/>
    <n v="18"/>
    <n v="1826.53"/>
    <n v="0.1"/>
    <s v="Cust 6993"/>
    <s v="Mark Packer"/>
    <x v="2"/>
    <s v="Columbus"/>
    <s v="Ohio"/>
    <x v="2"/>
  </r>
  <r>
    <s v="REG100913"/>
    <x v="610"/>
    <s v="Cust 8397"/>
    <x v="3"/>
    <n v="2346.48"/>
    <n v="18"/>
    <n v="703.94"/>
    <n v="0"/>
    <s v="Cust 8397"/>
    <s v="Caroline Jumper"/>
    <x v="0"/>
    <s v="Long Beach"/>
    <s v="New York"/>
    <x v="2"/>
  </r>
  <r>
    <s v="REG100914"/>
    <x v="392"/>
    <s v="Cust 3082"/>
    <x v="5"/>
    <n v="6473.97"/>
    <n v="13"/>
    <n v="1942.19"/>
    <n v="0.15"/>
    <s v="Cust 3082"/>
    <s v="John Castell"/>
    <x v="0"/>
    <s v="San Antonio"/>
    <s v="Texas"/>
    <x v="0"/>
  </r>
  <r>
    <s v="REG100915"/>
    <x v="64"/>
    <s v="Cust 1156"/>
    <x v="2"/>
    <n v="5018.62"/>
    <n v="19"/>
    <n v="1505.59"/>
    <n v="0.05"/>
    <s v="Cust 1156"/>
    <s v="Cyma Kinney"/>
    <x v="2"/>
    <s v="Jacksonville"/>
    <s v="Florida"/>
    <x v="0"/>
  </r>
  <r>
    <s v="REG100916"/>
    <x v="379"/>
    <s v="Cust 4720"/>
    <x v="1"/>
    <n v="2947.01"/>
    <n v="11"/>
    <n v="884.1"/>
    <n v="0"/>
    <s v="Cust 4720"/>
    <s v="Luke Foster"/>
    <x v="3"/>
    <s v="New York City"/>
    <s v="New York"/>
    <x v="0"/>
  </r>
  <r>
    <s v="REG100917"/>
    <x v="611"/>
    <s v="Cust 7034"/>
    <x v="3"/>
    <n v="4212.76"/>
    <n v="12"/>
    <n v="1263.83"/>
    <n v="0.05"/>
    <s v="Cust 7034"/>
    <s v="Chuck Clark"/>
    <x v="1"/>
    <s v="Philadelphia"/>
    <s v="Pennsylvania"/>
    <x v="0"/>
  </r>
  <r>
    <s v="REG100918"/>
    <x v="533"/>
    <s v="Cust 7218"/>
    <x v="5"/>
    <n v="3511.11"/>
    <n v="13"/>
    <n v="1053.33"/>
    <n v="0.05"/>
    <s v="Cust 7218"/>
    <s v="Dan Lawera"/>
    <x v="1"/>
    <s v="Keller"/>
    <s v="Texas"/>
    <x v="2"/>
  </r>
  <r>
    <s v="REG100919"/>
    <x v="388"/>
    <s v="Cust 2651"/>
    <x v="3"/>
    <n v="5125.2"/>
    <n v="12"/>
    <n v="1537.56"/>
    <n v="0"/>
    <s v="Cust 2651"/>
    <s v="Paul Gonzalez"/>
    <x v="4"/>
    <s v="San Francisco"/>
    <s v="California"/>
    <x v="0"/>
  </r>
  <r>
    <s v="REG100920"/>
    <x v="183"/>
    <s v="Cust 1252"/>
    <x v="5"/>
    <n v="1982.97"/>
    <n v="11"/>
    <n v="594.89"/>
    <n v="0.1"/>
    <s v="Cust 1252"/>
    <s v="Erica Hernandez"/>
    <x v="0"/>
    <s v="Hialeah"/>
    <s v="Florida"/>
    <x v="0"/>
  </r>
  <r>
    <s v="REG100921"/>
    <x v="174"/>
    <s v="Cust 6679"/>
    <x v="4"/>
    <n v="257.72000000000003"/>
    <n v="4"/>
    <n v="77.319999999999993"/>
    <n v="0.15"/>
    <s v="Cust 6679"/>
    <s v="Tracy Blumstein"/>
    <x v="2"/>
    <s v="Fairfield"/>
    <s v="Ohio"/>
    <x v="0"/>
  </r>
  <r>
    <s v="REG100922"/>
    <x v="351"/>
    <s v="Cust 1656"/>
    <x v="5"/>
    <n v="2073.7199999999998"/>
    <n v="4"/>
    <n v="622.12"/>
    <n v="0"/>
    <s v="Cust 1656"/>
    <s v="Dean Katz"/>
    <x v="2"/>
    <s v="Huntington Beach"/>
    <s v="California"/>
    <x v="1"/>
  </r>
  <r>
    <s v="REG100604"/>
    <x v="477"/>
    <s v="Cust 1656"/>
    <x v="2"/>
    <n v="2450.9699999999998"/>
    <n v="5"/>
    <n v="735.29"/>
    <n v="0.1"/>
    <s v="Cust 1656"/>
    <s v="Dean Katz"/>
    <x v="2"/>
    <s v="Huntington Beach"/>
    <s v="California"/>
    <x v="1"/>
  </r>
  <r>
    <s v="REG100923"/>
    <x v="612"/>
    <s v="Cust 9361"/>
    <x v="6"/>
    <n v="3270.3"/>
    <n v="19"/>
    <n v="981.09"/>
    <n v="0.05"/>
    <s v="Cust 9361"/>
    <s v="Jeremy Pistek"/>
    <x v="2"/>
    <s v="Port Orange"/>
    <s v="Florida"/>
    <x v="0"/>
  </r>
  <r>
    <s v="REG101356"/>
    <x v="188"/>
    <s v="Cust 4270"/>
    <x v="6"/>
    <n v="1745.17"/>
    <n v="13"/>
    <n v="523.54999999999995"/>
    <n v="0.1"/>
    <s v="Cust 4270"/>
    <s v="Carol Darley"/>
    <x v="3"/>
    <s v="Medford"/>
    <s v="Oregon"/>
    <x v="0"/>
  </r>
  <r>
    <s v="REG100924"/>
    <x v="462"/>
    <s v="Cust 4270"/>
    <x v="0"/>
    <n v="561.92999999999995"/>
    <n v="3"/>
    <n v="168.58"/>
    <n v="0.05"/>
    <s v="Cust 4270"/>
    <s v="Carol Darley"/>
    <x v="3"/>
    <s v="Medford"/>
    <s v="Oregon"/>
    <x v="0"/>
  </r>
  <r>
    <s v="REG100585"/>
    <x v="109"/>
    <s v="Cust 4270"/>
    <x v="1"/>
    <n v="79.12"/>
    <n v="4"/>
    <n v="23.74"/>
    <n v="0.15"/>
    <s v="Cust 4270"/>
    <s v="Carol Darley"/>
    <x v="3"/>
    <s v="Medford"/>
    <s v="Oregon"/>
    <x v="0"/>
  </r>
  <r>
    <s v="REG100925"/>
    <x v="613"/>
    <s v="Cust 3049"/>
    <x v="0"/>
    <n v="467.17"/>
    <n v="6"/>
    <n v="140.15"/>
    <n v="0.05"/>
    <s v="Cust 3049"/>
    <s v="Adam Shillingsburg"/>
    <x v="2"/>
    <s v="Charlottesville"/>
    <s v="Virginia"/>
    <x v="0"/>
  </r>
  <r>
    <s v="REG100926"/>
    <x v="46"/>
    <s v="Cust 6415"/>
    <x v="4"/>
    <n v="179.34"/>
    <n v="3"/>
    <n v="53.8"/>
    <n v="0"/>
    <s v="Cust 6415"/>
    <s v="Jas O'Carroll"/>
    <x v="3"/>
    <s v="Missoula"/>
    <s v="Montana"/>
    <x v="1"/>
  </r>
  <r>
    <s v="REG100927"/>
    <x v="527"/>
    <s v="Cust 9856"/>
    <x v="6"/>
    <n v="2285.9299999999998"/>
    <n v="12"/>
    <n v="685.78"/>
    <n v="0.1"/>
    <s v="Cust 9856"/>
    <s v="Amy Cox"/>
    <x v="2"/>
    <s v="Minneapolis"/>
    <s v="Minnesota"/>
    <x v="1"/>
  </r>
  <r>
    <s v="REG101307"/>
    <x v="170"/>
    <s v="Cust 3106"/>
    <x v="2"/>
    <n v="6499.08"/>
    <n v="19"/>
    <n v="1949.72"/>
    <n v="0.05"/>
    <s v="Cust 3106"/>
    <s v="Ryan Akin"/>
    <x v="3"/>
    <s v="Miami"/>
    <s v="Florida"/>
    <x v="1"/>
  </r>
  <r>
    <s v="REG100928"/>
    <x v="28"/>
    <s v="Cust 3106"/>
    <x v="4"/>
    <n v="864.13"/>
    <n v="13"/>
    <n v="259.24"/>
    <n v="0.05"/>
    <s v="Cust 3106"/>
    <s v="Ryan Akin"/>
    <x v="3"/>
    <s v="Miami"/>
    <s v="Florida"/>
    <x v="1"/>
  </r>
  <r>
    <s v="REG100929"/>
    <x v="456"/>
    <s v="Cust 3259"/>
    <x v="6"/>
    <n v="2761.48"/>
    <n v="7"/>
    <n v="828.44"/>
    <n v="0.1"/>
    <s v="Cust 3259"/>
    <s v="Corey-Lock"/>
    <x v="0"/>
    <s v="Florence"/>
    <s v="South Carolina"/>
    <x v="0"/>
  </r>
  <r>
    <s v="REG100572"/>
    <x v="457"/>
    <s v="Cust 3259"/>
    <x v="2"/>
    <n v="1486.42"/>
    <n v="7"/>
    <n v="445.93"/>
    <n v="0.1"/>
    <s v="Cust 3259"/>
    <s v="Corey-Lock"/>
    <x v="0"/>
    <s v="Florence"/>
    <s v="South Carolina"/>
    <x v="0"/>
  </r>
  <r>
    <s v="REG100930"/>
    <x v="354"/>
    <s v="Cust 7107"/>
    <x v="0"/>
    <n v="1523.4"/>
    <n v="7"/>
    <n v="457.02"/>
    <n v="0.1"/>
    <s v="Cust 7107"/>
    <s v="Dianna Wilson"/>
    <x v="0"/>
    <s v="Detroit"/>
    <s v="Michigan"/>
    <x v="2"/>
  </r>
  <r>
    <s v="REG100931"/>
    <x v="219"/>
    <s v="Cust 7542"/>
    <x v="2"/>
    <n v="1189.93"/>
    <n v="3"/>
    <n v="356.98"/>
    <n v="0.15"/>
    <s v="Cust 7542"/>
    <s v="Damala Kotsonis"/>
    <x v="0"/>
    <s v="Springfield"/>
    <s v="Oregon"/>
    <x v="2"/>
  </r>
  <r>
    <s v="REG101243"/>
    <x v="614"/>
    <s v="Cust 6330"/>
    <x v="6"/>
    <n v="2549.71"/>
    <n v="10"/>
    <n v="764.91"/>
    <n v="0.05"/>
    <s v="Cust 6330"/>
    <s v="Michael Dominguez"/>
    <x v="1"/>
    <s v="Indianapolis"/>
    <s v="Indiana"/>
    <x v="2"/>
  </r>
  <r>
    <s v="REG100932"/>
    <x v="359"/>
    <s v="Cust 6330"/>
    <x v="5"/>
    <n v="4042.78"/>
    <n v="9"/>
    <n v="1212.83"/>
    <n v="0.05"/>
    <s v="Cust 6330"/>
    <s v="Michael Dominguez"/>
    <x v="1"/>
    <s v="Indianapolis"/>
    <s v="Indiana"/>
    <x v="2"/>
  </r>
  <r>
    <s v="REG100933"/>
    <x v="270"/>
    <s v="Cust 1469"/>
    <x v="3"/>
    <n v="10028.98"/>
    <n v="19"/>
    <n v="3008.69"/>
    <n v="0.1"/>
    <s v="Cust 1469"/>
    <s v="Roy Phan"/>
    <x v="1"/>
    <s v="Apopka"/>
    <s v="Florida"/>
    <x v="1"/>
  </r>
  <r>
    <s v="REG100934"/>
    <x v="437"/>
    <s v="Cust 3698"/>
    <x v="3"/>
    <n v="5901.34"/>
    <n v="15"/>
    <n v="1770.4"/>
    <n v="0.15"/>
    <s v="Cust 3698"/>
    <s v="Rick Wilson"/>
    <x v="0"/>
    <s v="Los Angeles"/>
    <s v="California"/>
    <x v="2"/>
  </r>
  <r>
    <s v="REG100935"/>
    <x v="80"/>
    <s v="Cust 9833"/>
    <x v="0"/>
    <n v="167.36"/>
    <n v="1"/>
    <n v="50.21"/>
    <n v="0.05"/>
    <s v="Cust 9833"/>
    <s v="Duane Benoit"/>
    <x v="0"/>
    <s v="Oceanside"/>
    <s v="New York"/>
    <x v="2"/>
  </r>
  <r>
    <s v="REG100936"/>
    <x v="191"/>
    <s v="Cust 1074"/>
    <x v="4"/>
    <n v="64.12"/>
    <n v="1"/>
    <n v="19.23"/>
    <n v="0.1"/>
    <s v="Cust 1074"/>
    <s v="Stewart Carmichael"/>
    <x v="4"/>
    <s v="Los Angeles"/>
    <s v="California"/>
    <x v="2"/>
  </r>
  <r>
    <s v="REG100937"/>
    <x v="360"/>
    <s v="Cust 7891"/>
    <x v="0"/>
    <n v="374.58"/>
    <n v="6"/>
    <n v="112.37"/>
    <n v="0"/>
    <s v="Cust 7891"/>
    <s v="Frank Hawley"/>
    <x v="0"/>
    <s v="Houston"/>
    <s v="Texas"/>
    <x v="2"/>
  </r>
  <r>
    <s v="REG100938"/>
    <x v="615"/>
    <s v="Cust 3373"/>
    <x v="6"/>
    <n v="3590.31"/>
    <n v="7"/>
    <n v="1077.0899999999999"/>
    <n v="0.1"/>
    <s v="Cust 3373"/>
    <s v="Erica Hackney"/>
    <x v="3"/>
    <s v="Roswell"/>
    <s v="Georgia"/>
    <x v="0"/>
  </r>
  <r>
    <s v="REG100939"/>
    <x v="616"/>
    <s v="Cust 9045"/>
    <x v="2"/>
    <n v="161.79"/>
    <n v="5"/>
    <n v="48.54"/>
    <n v="0.05"/>
    <s v="Cust 9045"/>
    <s v="Ann Steele"/>
    <x v="0"/>
    <s v="Boynton Beach"/>
    <s v="Florida"/>
    <x v="0"/>
  </r>
  <r>
    <s v="REG100940"/>
    <x v="135"/>
    <s v="Cust 9197"/>
    <x v="2"/>
    <n v="7689.78"/>
    <n v="17"/>
    <n v="2306.9299999999998"/>
    <n v="0.1"/>
    <s v="Cust 9197"/>
    <s v="Helen Abelman"/>
    <x v="0"/>
    <s v="Franklin"/>
    <s v="Massachusetts"/>
    <x v="0"/>
  </r>
  <r>
    <s v="REG100941"/>
    <x v="486"/>
    <s v="Cust 6920"/>
    <x v="4"/>
    <n v="242.24"/>
    <n v="3"/>
    <n v="72.67"/>
    <n v="0.1"/>
    <s v="Cust 6920"/>
    <s v="Cathy Hwang"/>
    <x v="1"/>
    <s v="Detroit"/>
    <s v="Michigan"/>
    <x v="0"/>
  </r>
  <r>
    <s v="REG100942"/>
    <x v="592"/>
    <s v="Cust 9652"/>
    <x v="0"/>
    <n v="6537.19"/>
    <n v="18"/>
    <n v="1961.16"/>
    <n v="0.1"/>
    <s v="Cust 9652"/>
    <s v="Edward Hooks"/>
    <x v="1"/>
    <s v="Watertown"/>
    <s v="New York"/>
    <x v="0"/>
  </r>
  <r>
    <s v="REG100943"/>
    <x v="348"/>
    <s v="Cust 4189"/>
    <x v="3"/>
    <n v="389.94"/>
    <n v="2"/>
    <n v="116.98"/>
    <n v="0"/>
    <s v="Cust 4189"/>
    <s v="Mary Zewe"/>
    <x v="1"/>
    <s v="Reading"/>
    <s v="Pennsylvania"/>
    <x v="0"/>
  </r>
  <r>
    <s v="REG100390"/>
    <x v="233"/>
    <s v="Cust 4189"/>
    <x v="4"/>
    <n v="2372.11"/>
    <n v="18"/>
    <n v="711.63"/>
    <n v="0.15"/>
    <s v="Cust 4189"/>
    <s v="Mary Zewe"/>
    <x v="1"/>
    <s v="Reading"/>
    <s v="Pennsylvania"/>
    <x v="0"/>
  </r>
  <r>
    <s v="REG100944"/>
    <x v="498"/>
    <s v="Cust 6267"/>
    <x v="4"/>
    <n v="1959.77"/>
    <n v="12"/>
    <n v="587.92999999999995"/>
    <n v="0.05"/>
    <s v="Cust 6267"/>
    <s v="Scot Coram"/>
    <x v="3"/>
    <s v="Arlington"/>
    <s v="Texas"/>
    <x v="0"/>
  </r>
  <r>
    <s v="REG101347"/>
    <x v="162"/>
    <s v="Cust 7753"/>
    <x v="2"/>
    <n v="580.29999999999995"/>
    <n v="10"/>
    <n v="174.09"/>
    <n v="0.15"/>
    <s v="Cust 7753"/>
    <s v="Naresj Patel"/>
    <x v="3"/>
    <s v="San Diego"/>
    <s v="California"/>
    <x v="0"/>
  </r>
  <r>
    <s v="REG100945"/>
    <x v="541"/>
    <s v="Cust 7753"/>
    <x v="0"/>
    <n v="8654.4599999999991"/>
    <n v="17"/>
    <n v="2596.34"/>
    <n v="0.05"/>
    <s v="Cust 7753"/>
    <s v="Naresj Patel"/>
    <x v="3"/>
    <s v="San Diego"/>
    <s v="California"/>
    <x v="0"/>
  </r>
  <r>
    <s v="REG100946"/>
    <x v="130"/>
    <s v="Cust 2789"/>
    <x v="3"/>
    <n v="2828.68"/>
    <n v="12"/>
    <n v="848.6"/>
    <n v="0.05"/>
    <s v="Cust 2789"/>
    <s v="Greg Matthias"/>
    <x v="4"/>
    <s v="Los Angeles"/>
    <s v="California"/>
    <x v="0"/>
  </r>
  <r>
    <s v="REG100947"/>
    <x v="450"/>
    <s v="Cust 3527"/>
    <x v="1"/>
    <n v="964.2"/>
    <n v="2"/>
    <n v="289.26"/>
    <n v="0"/>
    <s v="Cust 3527"/>
    <s v="Rick Hansen"/>
    <x v="2"/>
    <s v="Denver"/>
    <s v="Colorado"/>
    <x v="0"/>
  </r>
  <r>
    <s v="REG100948"/>
    <x v="180"/>
    <s v="Cust 9538"/>
    <x v="5"/>
    <n v="6188.56"/>
    <n v="18"/>
    <n v="1856.57"/>
    <n v="0.1"/>
    <s v="Cust 9538"/>
    <s v="Valerie Mitchum"/>
    <x v="2"/>
    <s v="Seattle"/>
    <s v="Washington"/>
    <x v="0"/>
  </r>
  <r>
    <s v="REG100949"/>
    <x v="414"/>
    <s v="Cust 7195"/>
    <x v="1"/>
    <n v="1767.74"/>
    <n v="13"/>
    <n v="530.32000000000005"/>
    <n v="0"/>
    <s v="Cust 7195"/>
    <s v="Craig Carreira"/>
    <x v="2"/>
    <s v="Scottsdale"/>
    <s v="Arizona"/>
    <x v="0"/>
  </r>
  <r>
    <s v="REG100784"/>
    <x v="279"/>
    <s v="Cust 7195"/>
    <x v="5"/>
    <n v="247.04"/>
    <n v="1"/>
    <n v="74.11"/>
    <n v="0"/>
    <s v="Cust 7195"/>
    <s v="Craig Carreira"/>
    <x v="2"/>
    <s v="Scottsdale"/>
    <s v="Arizona"/>
    <x v="1"/>
  </r>
  <r>
    <s v="REG100950"/>
    <x v="3"/>
    <s v="Cust 8929"/>
    <x v="2"/>
    <n v="5062.8599999999997"/>
    <n v="9"/>
    <n v="1518.86"/>
    <n v="0"/>
    <s v="Cust 8929"/>
    <s v="Seth Vernon"/>
    <x v="0"/>
    <s v="Lafayette"/>
    <s v="Louisiana"/>
    <x v="0"/>
  </r>
  <r>
    <s v="REG100951"/>
    <x v="617"/>
    <s v="Cust 8931"/>
    <x v="5"/>
    <n v="3056.88"/>
    <n v="6"/>
    <n v="917.06"/>
    <n v="0"/>
    <s v="Cust 8931"/>
    <s v="Nora Pelletier"/>
    <x v="0"/>
    <s v="San Francisco"/>
    <s v="California"/>
    <x v="0"/>
  </r>
  <r>
    <s v="REG100952"/>
    <x v="618"/>
    <s v="Cust 1424"/>
    <x v="2"/>
    <n v="1410.27"/>
    <n v="3"/>
    <n v="423.08"/>
    <n v="0"/>
    <s v="Cust 1424"/>
    <s v="Joe Elijah"/>
    <x v="4"/>
    <s v="Broomfield"/>
    <s v="Colorado"/>
    <x v="0"/>
  </r>
  <r>
    <s v="REG100953"/>
    <x v="619"/>
    <s v="Cust 6723"/>
    <x v="4"/>
    <n v="2808"/>
    <n v="10"/>
    <n v="842.4"/>
    <n v="0"/>
    <s v="Cust 6723"/>
    <s v="Cathy Prescott"/>
    <x v="4"/>
    <s v="Quincy"/>
    <s v="Illinois"/>
    <x v="0"/>
  </r>
  <r>
    <s v="REG101321"/>
    <x v="499"/>
    <s v="Cust 8850"/>
    <x v="4"/>
    <n v="3279.77"/>
    <n v="11"/>
    <n v="983.93"/>
    <n v="0.1"/>
    <s v="Cust 8850"/>
    <s v="Erin Ashbrook"/>
    <x v="1"/>
    <s v="Carrollton"/>
    <s v="Texas"/>
    <x v="0"/>
  </r>
  <r>
    <s v="REG100954"/>
    <x v="469"/>
    <s v="Cust 8850"/>
    <x v="3"/>
    <n v="2036.58"/>
    <n v="9"/>
    <n v="610.97"/>
    <n v="0.1"/>
    <s v="Cust 8850"/>
    <s v="Erin Ashbrook"/>
    <x v="1"/>
    <s v="Carrollton"/>
    <s v="Texas"/>
    <x v="0"/>
  </r>
  <r>
    <s v="REG100955"/>
    <x v="529"/>
    <s v="Cust 1722"/>
    <x v="1"/>
    <n v="1388.15"/>
    <n v="4"/>
    <n v="416.45"/>
    <n v="0.15"/>
    <s v="Cust 1722"/>
    <s v="Ann Chong"/>
    <x v="1"/>
    <s v="New York City"/>
    <s v="New York"/>
    <x v="0"/>
  </r>
  <r>
    <s v="REG100713"/>
    <x v="530"/>
    <s v="Cust 1722"/>
    <x v="2"/>
    <n v="190.03"/>
    <n v="1"/>
    <n v="57.01"/>
    <n v="0.15"/>
    <s v="Cust 1722"/>
    <s v="Ann Chong"/>
    <x v="1"/>
    <s v="New York City"/>
    <s v="New York"/>
    <x v="0"/>
  </r>
  <r>
    <s v="REG100956"/>
    <x v="128"/>
    <s v="Cust 1211"/>
    <x v="4"/>
    <n v="46.63"/>
    <n v="2"/>
    <n v="13.99"/>
    <n v="0.15"/>
    <s v="Cust 1211"/>
    <s v="Robert Waldorf"/>
    <x v="2"/>
    <s v="Springfield"/>
    <s v="Missouri"/>
    <x v="0"/>
  </r>
  <r>
    <s v="REG100957"/>
    <x v="176"/>
    <s v="Cust 9384"/>
    <x v="1"/>
    <n v="3185.03"/>
    <n v="11"/>
    <n v="955.51"/>
    <n v="0.1"/>
    <s v="Cust 9384"/>
    <s v="Dean Braden"/>
    <x v="0"/>
    <s v="Paterson"/>
    <s v="New Jersey"/>
    <x v="0"/>
  </r>
  <r>
    <s v="REG100958"/>
    <x v="137"/>
    <s v="Cust 3809"/>
    <x v="2"/>
    <n v="838.44"/>
    <n v="5"/>
    <n v="251.53"/>
    <n v="0.1"/>
    <s v="Cust 3809"/>
    <s v="Bill Donatelli"/>
    <x v="2"/>
    <s v="Tulsa"/>
    <s v="Oklahoma"/>
    <x v="2"/>
  </r>
  <r>
    <s v="REG100124"/>
    <x v="138"/>
    <s v="Cust 3809"/>
    <x v="6"/>
    <n v="2590.4"/>
    <n v="8"/>
    <n v="777.12"/>
    <n v="0"/>
    <s v="Cust 3809"/>
    <s v="Bill Donatelli"/>
    <x v="2"/>
    <s v="Tulsa"/>
    <s v="Oklahoma"/>
    <x v="2"/>
  </r>
  <r>
    <s v="REG100959"/>
    <x v="556"/>
    <s v="Cust 9338"/>
    <x v="5"/>
    <n v="1170.8399999999999"/>
    <n v="3"/>
    <n v="351.25"/>
    <n v="0"/>
    <s v="Cust 9338"/>
    <s v="Max Ludwig"/>
    <x v="1"/>
    <s v="Chicago"/>
    <s v="Illinois"/>
    <x v="0"/>
  </r>
  <r>
    <s v="REG100960"/>
    <x v="282"/>
    <s v="Cust 1822"/>
    <x v="5"/>
    <n v="1932.65"/>
    <n v="13"/>
    <n v="579.79"/>
    <n v="0.15"/>
    <s v="Cust 1822"/>
    <s v="Joy Daniels"/>
    <x v="1"/>
    <s v="Chicago"/>
    <s v="Illinois"/>
    <x v="0"/>
  </r>
  <r>
    <s v="REG100961"/>
    <x v="620"/>
    <s v="Cust 8260"/>
    <x v="3"/>
    <n v="3017.74"/>
    <n v="8"/>
    <n v="905.32"/>
    <n v="0.1"/>
    <s v="Cust 8260"/>
    <s v="Alan Schoenberger"/>
    <x v="2"/>
    <s v="Montgomery"/>
    <s v="Alabama"/>
    <x v="0"/>
  </r>
  <r>
    <s v="REG100962"/>
    <x v="145"/>
    <s v="Cust 7088"/>
    <x v="3"/>
    <n v="1403.52"/>
    <n v="12"/>
    <n v="421.06"/>
    <n v="0"/>
    <s v="Cust 7088"/>
    <s v="Allen Armold"/>
    <x v="2"/>
    <s v="Salem"/>
    <s v="Oregon"/>
    <x v="1"/>
  </r>
  <r>
    <s v="REG100963"/>
    <x v="358"/>
    <s v="Cust 4969"/>
    <x v="3"/>
    <n v="3204.83"/>
    <n v="11"/>
    <n v="961.45"/>
    <n v="0.1"/>
    <s v="Cust 4969"/>
    <s v="Kean Takahito"/>
    <x v="4"/>
    <s v="Glendale"/>
    <s v="Arizona"/>
    <x v="2"/>
  </r>
  <r>
    <s v="REG100964"/>
    <x v="196"/>
    <s v="Cust 9046"/>
    <x v="6"/>
    <n v="1624.87"/>
    <n v="11"/>
    <n v="487.46"/>
    <n v="0.05"/>
    <s v="Cust 9046"/>
    <s v="Muhammed MacIntyre"/>
    <x v="4"/>
    <s v="Columbus"/>
    <s v="Georgia"/>
    <x v="2"/>
  </r>
  <r>
    <s v="REG100965"/>
    <x v="584"/>
    <s v="Cust 6859"/>
    <x v="4"/>
    <n v="5404"/>
    <n v="20"/>
    <n v="1621.2"/>
    <n v="0"/>
    <s v="Cust 6859"/>
    <s v="Nathan Gelder"/>
    <x v="1"/>
    <s v="Oklahoma City"/>
    <s v="Oklahoma"/>
    <x v="0"/>
  </r>
  <r>
    <s v="REG100966"/>
    <x v="417"/>
    <s v="Cust 2800"/>
    <x v="4"/>
    <n v="6508.08"/>
    <n v="15"/>
    <n v="1952.42"/>
    <n v="0.1"/>
    <s v="Cust 2800"/>
    <s v="Laurel Workman"/>
    <x v="1"/>
    <s v="Brentwood"/>
    <s v="California"/>
    <x v="1"/>
  </r>
  <r>
    <s v="REG100612"/>
    <x v="482"/>
    <s v="Cust 2800"/>
    <x v="5"/>
    <n v="4198.82"/>
    <n v="8"/>
    <n v="1259.6500000000001"/>
    <n v="0.1"/>
    <s v="Cust 2800"/>
    <s v="Laurel Workman"/>
    <x v="1"/>
    <s v="Brentwood"/>
    <s v="California"/>
    <x v="1"/>
  </r>
  <r>
    <s v="REG100967"/>
    <x v="621"/>
    <s v="Cust 1146"/>
    <x v="0"/>
    <n v="4271.95"/>
    <n v="11"/>
    <n v="1281.58"/>
    <n v="0.1"/>
    <s v="Cust 1146"/>
    <s v="Christy Brittain"/>
    <x v="2"/>
    <s v="Columbus"/>
    <s v="Ohio"/>
    <x v="1"/>
  </r>
  <r>
    <s v="REG100968"/>
    <x v="622"/>
    <s v="Cust 6447"/>
    <x v="3"/>
    <n v="1513.8"/>
    <n v="5"/>
    <n v="454.14"/>
    <n v="0"/>
    <s v="Cust 6447"/>
    <s v="Adam Shillingsburg"/>
    <x v="3"/>
    <s v="Springfield"/>
    <s v="Missouri"/>
    <x v="1"/>
  </r>
  <r>
    <s v="REG100969"/>
    <x v="623"/>
    <s v="Cust 8519"/>
    <x v="3"/>
    <n v="6553.48"/>
    <n v="19"/>
    <n v="1966.04"/>
    <n v="0"/>
    <s v="Cust 8519"/>
    <s v="Christy Brittain"/>
    <x v="4"/>
    <s v="Philadelphia"/>
    <s v="Pennsylvania"/>
    <x v="1"/>
  </r>
  <r>
    <s v="REG100970"/>
    <x v="93"/>
    <s v="Cust 3422"/>
    <x v="3"/>
    <n v="3222.2"/>
    <n v="7"/>
    <n v="966.66"/>
    <n v="0.1"/>
    <s v="Cust 3422"/>
    <s v="Max Ludwig"/>
    <x v="3"/>
    <s v="Springfield"/>
    <s v="Oregon"/>
    <x v="0"/>
  </r>
  <r>
    <s v="REG100971"/>
    <x v="589"/>
    <s v="Cust 9638"/>
    <x v="5"/>
    <n v="896.07"/>
    <n v="7"/>
    <n v="268.82"/>
    <n v="0.15"/>
    <s v="Cust 9638"/>
    <s v="Joy Smith"/>
    <x v="0"/>
    <s v="Houston"/>
    <s v="Texas"/>
    <x v="0"/>
  </r>
  <r>
    <s v="REG100972"/>
    <x v="309"/>
    <s v="Cust 6438"/>
    <x v="1"/>
    <n v="1074.54"/>
    <n v="8"/>
    <n v="322.36"/>
    <n v="0.15"/>
    <s v="Cust 6438"/>
    <s v="Neil Ducich"/>
    <x v="4"/>
    <s v="Chesapeake"/>
    <s v="Virginia"/>
    <x v="0"/>
  </r>
  <r>
    <s v="REG100973"/>
    <x v="2"/>
    <s v="Cust 1724"/>
    <x v="6"/>
    <n v="965.12"/>
    <n v="2"/>
    <n v="289.54000000000002"/>
    <n v="0.1"/>
    <s v="Cust 1724"/>
    <s v="Luke Weiss"/>
    <x v="3"/>
    <s v="Pasadena"/>
    <s v="California"/>
    <x v="0"/>
  </r>
  <r>
    <s v="REG100974"/>
    <x v="26"/>
    <s v="Cust 7808"/>
    <x v="3"/>
    <n v="7769.14"/>
    <n v="16"/>
    <n v="2330.7399999999998"/>
    <n v="0.15"/>
    <s v="Cust 7808"/>
    <s v="Joni Wasserman"/>
    <x v="2"/>
    <s v="Louisville"/>
    <s v="Kentucky"/>
    <x v="0"/>
  </r>
  <r>
    <s v="REG100975"/>
    <x v="96"/>
    <s v="Cust 3045"/>
    <x v="6"/>
    <n v="1451.74"/>
    <n v="12"/>
    <n v="435.52"/>
    <n v="0.1"/>
    <s v="Cust 3045"/>
    <s v="Sample Company A"/>
    <x v="3"/>
    <s v="Lubbock"/>
    <s v="Texas"/>
    <x v="0"/>
  </r>
  <r>
    <s v="REG100744"/>
    <x v="355"/>
    <s v="Cust 3045"/>
    <x v="5"/>
    <n v="7133.71"/>
    <n v="17"/>
    <n v="2140.11"/>
    <n v="0"/>
    <s v="Cust 3045"/>
    <s v="Sample Company A"/>
    <x v="3"/>
    <s v="Lubbock"/>
    <s v="Texas"/>
    <x v="0"/>
  </r>
  <r>
    <s v="REG100976"/>
    <x v="624"/>
    <s v="Cust 7348"/>
    <x v="0"/>
    <n v="2818.5"/>
    <n v="5"/>
    <n v="845.55"/>
    <n v="0"/>
    <s v="Cust 7348"/>
    <s v="Rob Williams"/>
    <x v="3"/>
    <s v="Columbia"/>
    <s v="Missouri"/>
    <x v="0"/>
  </r>
  <r>
    <s v="REG100977"/>
    <x v="625"/>
    <s v="Cust 5666"/>
    <x v="1"/>
    <n v="5110.43"/>
    <n v="11"/>
    <n v="1533.13"/>
    <n v="0.15"/>
    <s v="Cust 5666"/>
    <s v="Charlotte Melton"/>
    <x v="2"/>
    <s v="Chicago"/>
    <s v="Illinois"/>
    <x v="0"/>
  </r>
  <r>
    <s v="REG100978"/>
    <x v="114"/>
    <s v="Cust 4002"/>
    <x v="5"/>
    <n v="3119.72"/>
    <n v="9"/>
    <n v="935.92"/>
    <n v="0.05"/>
    <s v="Cust 4002"/>
    <s v="Jamie Frazer"/>
    <x v="2"/>
    <s v="Johnson City"/>
    <s v="Tennessee"/>
    <x v="0"/>
  </r>
  <r>
    <s v="REG100285"/>
    <x v="212"/>
    <s v="Cust 4002"/>
    <x v="1"/>
    <n v="4637.8599999999997"/>
    <n v="19"/>
    <n v="1391.36"/>
    <n v="0.1"/>
    <s v="Cust 4002"/>
    <s v="Jamie Frazer"/>
    <x v="2"/>
    <s v="Johnson City"/>
    <s v="Tennessee"/>
    <x v="1"/>
  </r>
  <r>
    <s v="REG100979"/>
    <x v="626"/>
    <s v="Cust 6675"/>
    <x v="5"/>
    <n v="2191.21"/>
    <n v="7"/>
    <n v="657.36"/>
    <n v="0.15"/>
    <s v="Cust 6675"/>
    <s v="Stuart Calhoun"/>
    <x v="1"/>
    <s v="Houston"/>
    <s v="Texas"/>
    <x v="1"/>
  </r>
  <r>
    <s v="REG100980"/>
    <x v="627"/>
    <s v="Cust 5462"/>
    <x v="4"/>
    <n v="10745.6"/>
    <n v="20"/>
    <n v="3223.68"/>
    <n v="0"/>
    <s v="Cust 5462"/>
    <s v="Anne McFarland"/>
    <x v="3"/>
    <s v="Auburn"/>
    <s v="Alabama"/>
    <x v="1"/>
  </r>
  <r>
    <s v="REG100981"/>
    <x v="504"/>
    <s v="Cust 3471"/>
    <x v="1"/>
    <n v="309.27"/>
    <n v="3"/>
    <n v="92.78"/>
    <n v="0"/>
    <s v="Cust 3471"/>
    <s v="Berenike Kampe"/>
    <x v="1"/>
    <s v="San Bernardino"/>
    <s v="California"/>
    <x v="2"/>
  </r>
  <r>
    <s v="REG100982"/>
    <x v="191"/>
    <s v="Cust 1603"/>
    <x v="6"/>
    <n v="878.04"/>
    <n v="9"/>
    <n v="263.41000000000003"/>
    <n v="0"/>
    <s v="Cust 1603"/>
    <s v="Rick Huthwaite"/>
    <x v="0"/>
    <s v="Providence"/>
    <s v="Rhode Island"/>
    <x v="2"/>
  </r>
  <r>
    <s v="REG100983"/>
    <x v="334"/>
    <s v="Cust 7758"/>
    <x v="6"/>
    <n v="2879.38"/>
    <n v="10"/>
    <n v="863.81"/>
    <n v="0.15"/>
    <s v="Cust 7758"/>
    <s v="Gene McClure"/>
    <x v="3"/>
    <s v="Fresno"/>
    <s v="California"/>
    <x v="2"/>
  </r>
  <r>
    <s v="REG100984"/>
    <x v="628"/>
    <s v="Cust 3396"/>
    <x v="2"/>
    <n v="478.08"/>
    <n v="2"/>
    <n v="143.41999999999999"/>
    <n v="0"/>
    <s v="Cust 3396"/>
    <s v="Marc Crier"/>
    <x v="2"/>
    <s v="Seattle"/>
    <s v="Washington"/>
    <x v="2"/>
  </r>
  <r>
    <s v="REG100985"/>
    <x v="472"/>
    <s v="Cust 4797"/>
    <x v="0"/>
    <n v="4566.74"/>
    <n v="14"/>
    <n v="1370.02"/>
    <n v="0.1"/>
    <s v="Cust 4797"/>
    <s v="Valerie Mitchum"/>
    <x v="1"/>
    <s v="Lancaster"/>
    <s v="California"/>
    <x v="1"/>
  </r>
  <r>
    <s v="REG100986"/>
    <x v="275"/>
    <s v="Cust 1113"/>
    <x v="5"/>
    <n v="3306.78"/>
    <n v="6"/>
    <n v="992.03"/>
    <n v="0"/>
    <s v="Cust 1113"/>
    <s v="Guy Phonely"/>
    <x v="4"/>
    <s v="Leominster"/>
    <s v="Massachusetts"/>
    <x v="0"/>
  </r>
  <r>
    <s v="REG100987"/>
    <x v="629"/>
    <s v="Cust 8843"/>
    <x v="0"/>
    <n v="73.849999999999994"/>
    <n v="1"/>
    <n v="22.16"/>
    <n v="0.1"/>
    <s v="Cust 8843"/>
    <s v="George Bell"/>
    <x v="4"/>
    <s v="Fort Worth"/>
    <s v="Texas"/>
    <x v="0"/>
  </r>
  <r>
    <s v="REG100988"/>
    <x v="630"/>
    <s v="Cust 7505"/>
    <x v="6"/>
    <n v="2965.84"/>
    <n v="7"/>
    <n v="889.75"/>
    <n v="0.15"/>
    <s v="Cust 7505"/>
    <s v="Carol Triggs"/>
    <x v="0"/>
    <s v="Rochester"/>
    <s v="Minnesota"/>
    <x v="0"/>
  </r>
  <r>
    <s v="REG100989"/>
    <x v="513"/>
    <s v="Cust 9490"/>
    <x v="3"/>
    <n v="456.14"/>
    <n v="2"/>
    <n v="136.84"/>
    <n v="0.1"/>
    <s v="Cust 9490"/>
    <s v="Carl Weiss"/>
    <x v="0"/>
    <s v="Bozeman"/>
    <s v="Montana"/>
    <x v="2"/>
  </r>
  <r>
    <s v="REG100990"/>
    <x v="316"/>
    <s v="Cust 8631"/>
    <x v="1"/>
    <n v="2074.61"/>
    <n v="16"/>
    <n v="622.38"/>
    <n v="0.1"/>
    <s v="Cust 8631"/>
    <s v="Skye Norling"/>
    <x v="1"/>
    <s v="Peoria"/>
    <s v="Arizona"/>
    <x v="2"/>
  </r>
  <r>
    <s v="REG100991"/>
    <x v="631"/>
    <s v="Cust 6986"/>
    <x v="5"/>
    <n v="1880.19"/>
    <n v="11"/>
    <n v="564.05999999999995"/>
    <n v="0.15"/>
    <s v="Cust 6986"/>
    <s v="Ed Braxton"/>
    <x v="4"/>
    <s v="San Diego"/>
    <s v="California"/>
    <x v="2"/>
  </r>
  <r>
    <s v="REG100992"/>
    <x v="38"/>
    <s v="Cust 9636"/>
    <x v="3"/>
    <n v="5795.96"/>
    <n v="11"/>
    <n v="1738.79"/>
    <n v="0.1"/>
    <s v="Cust 9636"/>
    <s v="Jane Waco"/>
    <x v="1"/>
    <s v="Lakewood"/>
    <s v="Ohio"/>
    <x v="0"/>
  </r>
  <r>
    <s v="REG100993"/>
    <x v="59"/>
    <s v="Cust 7367"/>
    <x v="0"/>
    <n v="1346.31"/>
    <n v="3"/>
    <n v="403.89"/>
    <n v="0"/>
    <s v="Cust 7367"/>
    <s v="Ken Black"/>
    <x v="2"/>
    <s v="Houston"/>
    <s v="Texas"/>
    <x v="0"/>
  </r>
  <r>
    <s v="REG100606"/>
    <x v="188"/>
    <s v="Cust 7367"/>
    <x v="3"/>
    <n v="5328.99"/>
    <n v="20"/>
    <n v="1598.7"/>
    <n v="0.15"/>
    <s v="Cust 7367"/>
    <s v="Ken Black"/>
    <x v="2"/>
    <s v="Houston"/>
    <s v="Texas"/>
    <x v="0"/>
  </r>
  <r>
    <s v="REG100994"/>
    <x v="474"/>
    <s v="Cust 1943"/>
    <x v="5"/>
    <n v="1659.87"/>
    <n v="9"/>
    <n v="497.96"/>
    <n v="0"/>
    <s v="Cust 1943"/>
    <s v="Matt Collister"/>
    <x v="0"/>
    <s v="Perth Amboy"/>
    <s v="New Jersey"/>
    <x v="0"/>
  </r>
  <r>
    <s v="REG100995"/>
    <x v="397"/>
    <s v="Cust 6368"/>
    <x v="0"/>
    <n v="9505.6"/>
    <n v="16"/>
    <n v="2851.68"/>
    <n v="0"/>
    <s v="Cust 6368"/>
    <s v="Clytie Kelty"/>
    <x v="3"/>
    <s v="Philadelphia"/>
    <s v="Pennsylvania"/>
    <x v="0"/>
  </r>
  <r>
    <s v="REG100996"/>
    <x v="632"/>
    <s v="Cust 9724"/>
    <x v="0"/>
    <n v="8243.4"/>
    <n v="19"/>
    <n v="2473.02"/>
    <n v="0.1"/>
    <s v="Cust 9724"/>
    <s v="Rick Duston"/>
    <x v="0"/>
    <s v="Richmond"/>
    <s v="Indiana"/>
    <x v="0"/>
  </r>
  <r>
    <s v="REG100997"/>
    <x v="123"/>
    <s v="Cust 1983"/>
    <x v="3"/>
    <n v="1433.55"/>
    <n v="20"/>
    <n v="430.07"/>
    <n v="0.05"/>
    <s v="Cust 1983"/>
    <s v="Theone Pippenger"/>
    <x v="0"/>
    <s v="Detroit"/>
    <s v="Michigan"/>
    <x v="0"/>
  </r>
  <r>
    <s v="REG100109"/>
    <x v="124"/>
    <s v="Cust 1983"/>
    <x v="4"/>
    <n v="446.73"/>
    <n v="14"/>
    <n v="134.02000000000001"/>
    <n v="0.15"/>
    <s v="Cust 1983"/>
    <s v="Theone Pippenger"/>
    <x v="0"/>
    <s v="Detroit"/>
    <s v="Michigan"/>
    <x v="0"/>
  </r>
  <r>
    <s v="REG100998"/>
    <x v="633"/>
    <s v="Cust 8723"/>
    <x v="5"/>
    <n v="889.6"/>
    <n v="2"/>
    <n v="266.88"/>
    <n v="0.1"/>
    <s v="Cust 8723"/>
    <s v="Greg Guthrie"/>
    <x v="3"/>
    <s v="Los Angeles"/>
    <s v="California"/>
    <x v="0"/>
  </r>
  <r>
    <s v="REG100999"/>
    <x v="616"/>
    <s v="Cust 1901"/>
    <x v="0"/>
    <n v="1607.69"/>
    <n v="15"/>
    <n v="482.31"/>
    <n v="0.05"/>
    <s v="Cust 1901"/>
    <s v="Zuschuss Carroll"/>
    <x v="0"/>
    <s v="Pomona"/>
    <s v="California"/>
    <x v="1"/>
  </r>
  <r>
    <s v="REG101000"/>
    <x v="369"/>
    <s v="Cust 9682"/>
    <x v="2"/>
    <n v="364.68"/>
    <n v="3"/>
    <n v="109.4"/>
    <n v="0"/>
    <s v="Cust 9682"/>
    <s v="Corey Catlett"/>
    <x v="0"/>
    <s v="Philadelphia"/>
    <s v="Pennsylvania"/>
    <x v="2"/>
  </r>
  <r>
    <s v="REG101001"/>
    <x v="383"/>
    <s v="Cust 5413"/>
    <x v="2"/>
    <n v="5591.28"/>
    <n v="12"/>
    <n v="1677.38"/>
    <n v="0"/>
    <s v="Cust 5413"/>
    <s v="Kelly Andreada"/>
    <x v="2"/>
    <s v="Ontario"/>
    <s v="California"/>
    <x v="2"/>
  </r>
  <r>
    <s v="REG101002"/>
    <x v="634"/>
    <s v="Cust 9590"/>
    <x v="1"/>
    <n v="1915.56"/>
    <n v="12"/>
    <n v="574.66999999999996"/>
    <n v="0.15"/>
    <s v="Cust 9590"/>
    <s v="Tamara Chand"/>
    <x v="4"/>
    <s v="Seattle"/>
    <s v="Washington"/>
    <x v="0"/>
  </r>
  <r>
    <s v="REG101003"/>
    <x v="635"/>
    <s v="Cust 9379"/>
    <x v="2"/>
    <n v="477.11"/>
    <n v="1"/>
    <n v="143.13"/>
    <n v="0.15"/>
    <s v="Cust 9379"/>
    <s v="Deborah Brumfield"/>
    <x v="0"/>
    <s v="Brentwood"/>
    <s v="California"/>
    <x v="0"/>
  </r>
  <r>
    <s v="REG101004"/>
    <x v="636"/>
    <s v="Cust 4722"/>
    <x v="4"/>
    <n v="1060.6500000000001"/>
    <n v="7"/>
    <n v="318.19"/>
    <n v="0.15"/>
    <s v="Cust 4722"/>
    <s v="Toby Ritter"/>
    <x v="4"/>
    <s v="San Francisco"/>
    <s v="California"/>
    <x v="2"/>
  </r>
  <r>
    <s v="REG101005"/>
    <x v="19"/>
    <s v="Cust 7152"/>
    <x v="5"/>
    <n v="9398.11"/>
    <n v="20"/>
    <n v="2819.43"/>
    <n v="0.15"/>
    <s v="Cust 7152"/>
    <s v="Bart Folk"/>
    <x v="4"/>
    <s v="Baltimore"/>
    <s v="Maryland"/>
    <x v="0"/>
  </r>
  <r>
    <s v="REG101006"/>
    <x v="552"/>
    <s v="Cust 7255"/>
    <x v="6"/>
    <n v="916.5"/>
    <n v="2"/>
    <n v="274.95"/>
    <n v="0"/>
    <s v="Cust 7255"/>
    <s v="Maribeth Schnelling"/>
    <x v="3"/>
    <s v="Phoenix"/>
    <s v="Arizona"/>
    <x v="0"/>
  </r>
  <r>
    <s v="REG101007"/>
    <x v="637"/>
    <s v="Cust 9593"/>
    <x v="0"/>
    <n v="245.92"/>
    <n v="2"/>
    <n v="73.78"/>
    <n v="0.05"/>
    <s v="Cust 9593"/>
    <s v="Clytie Kelty"/>
    <x v="0"/>
    <s v="Los Angeles"/>
    <s v="California"/>
    <x v="0"/>
  </r>
  <r>
    <s v="REG101008"/>
    <x v="402"/>
    <s v="Cust 3829"/>
    <x v="4"/>
    <n v="7664.39"/>
    <n v="19"/>
    <n v="2299.3200000000002"/>
    <n v="0.1"/>
    <s v="Cust 3829"/>
    <s v="Emily Ducich"/>
    <x v="0"/>
    <s v="Houston"/>
    <s v="Texas"/>
    <x v="0"/>
  </r>
  <r>
    <s v="REG100467"/>
    <x v="403"/>
    <s v="Cust 3829"/>
    <x v="4"/>
    <n v="1096.04"/>
    <n v="6"/>
    <n v="328.81"/>
    <n v="0.1"/>
    <s v="Cust 3829"/>
    <s v="Emily Ducich"/>
    <x v="0"/>
    <s v="Houston"/>
    <s v="Texas"/>
    <x v="1"/>
  </r>
  <r>
    <s v="REG101009"/>
    <x v="39"/>
    <s v="Cust 2561"/>
    <x v="2"/>
    <n v="6695.3"/>
    <n v="16"/>
    <n v="2008.59"/>
    <n v="0.05"/>
    <s v="Cust 2561"/>
    <s v="Irene Maddox"/>
    <x v="2"/>
    <s v="New York City"/>
    <s v="New York"/>
    <x v="1"/>
  </r>
  <r>
    <s v="REG101010"/>
    <x v="487"/>
    <s v="Cust 8387"/>
    <x v="0"/>
    <n v="2100.96"/>
    <n v="8"/>
    <n v="630.29"/>
    <n v="0"/>
    <s v="Cust 8387"/>
    <s v="Maribeth Yedwab"/>
    <x v="0"/>
    <s v="Rancho Cucamonga"/>
    <s v="California"/>
    <x v="1"/>
  </r>
  <r>
    <s v="REG101011"/>
    <x v="421"/>
    <s v="Cust 2860"/>
    <x v="6"/>
    <n v="1686.29"/>
    <n v="15"/>
    <n v="505.89"/>
    <n v="0.1"/>
    <s v="Cust 2860"/>
    <s v="Magdelene Morse"/>
    <x v="0"/>
    <s v="Wilmington"/>
    <s v="Delaware"/>
    <x v="1"/>
  </r>
  <r>
    <s v="REG101012"/>
    <x v="355"/>
    <s v="Cust 7794"/>
    <x v="5"/>
    <n v="3167.1"/>
    <n v="9"/>
    <n v="950.13"/>
    <n v="0.1"/>
    <s v="Cust 7794"/>
    <s v="Mark Packer"/>
    <x v="4"/>
    <s v="Moorhead"/>
    <s v="Minnesota"/>
    <x v="2"/>
  </r>
  <r>
    <s v="REG101013"/>
    <x v="416"/>
    <s v="Cust 6075"/>
    <x v="0"/>
    <n v="2327.31"/>
    <n v="12"/>
    <n v="698.19"/>
    <n v="0.05"/>
    <s v="Cust 6075"/>
    <s v="Anthony Witt"/>
    <x v="1"/>
    <s v="Farmington"/>
    <s v="New Mexico"/>
    <x v="2"/>
  </r>
  <r>
    <s v="REG101014"/>
    <x v="638"/>
    <s v="Cust 4337"/>
    <x v="0"/>
    <n v="231.88"/>
    <n v="20"/>
    <n v="69.56"/>
    <n v="0.15"/>
    <s v="Cust 4337"/>
    <s v="Sandra Flanagan"/>
    <x v="0"/>
    <s v="Wilmington"/>
    <s v="North Carolina"/>
    <x v="2"/>
  </r>
  <r>
    <s v="REG101015"/>
    <x v="69"/>
    <s v="Cust 2540"/>
    <x v="4"/>
    <n v="6981.17"/>
    <n v="14"/>
    <n v="2094.35"/>
    <n v="0.05"/>
    <s v="Cust 2540"/>
    <s v="Steve Nguyen"/>
    <x v="2"/>
    <s v="Jackson"/>
    <s v="Mississippi"/>
    <x v="2"/>
  </r>
  <r>
    <s v="REG101451"/>
    <x v="294"/>
    <s v="Cust 3944"/>
    <x v="3"/>
    <n v="3089.96"/>
    <n v="15"/>
    <n v="926.99"/>
    <n v="0.15"/>
    <s v="Cust 3944"/>
    <s v="Ruben Dartt"/>
    <x v="2"/>
    <s v="Portland"/>
    <s v="Oregon"/>
    <x v="2"/>
  </r>
  <r>
    <s v="REG101016"/>
    <x v="515"/>
    <s v="Cust 3944"/>
    <x v="0"/>
    <n v="1036.44"/>
    <n v="8"/>
    <n v="310.93"/>
    <n v="0.1"/>
    <s v="Cust 3944"/>
    <s v="Ruben Dartt"/>
    <x v="2"/>
    <s v="Portland"/>
    <s v="Oregon"/>
    <x v="1"/>
  </r>
  <r>
    <s v="REG101017"/>
    <x v="312"/>
    <s v="Cust 8876"/>
    <x v="0"/>
    <n v="1038.31"/>
    <n v="2"/>
    <n v="311.49"/>
    <n v="0.1"/>
    <s v="Cust 8876"/>
    <s v="Kean Thornton"/>
    <x v="1"/>
    <s v="Denver"/>
    <s v="Colorado"/>
    <x v="1"/>
  </r>
  <r>
    <s v="REG101018"/>
    <x v="267"/>
    <s v="Cust 3286"/>
    <x v="3"/>
    <n v="3513.72"/>
    <n v="14"/>
    <n v="1054.1199999999999"/>
    <n v="0"/>
    <s v="Cust 3286"/>
    <s v="Adrian Hane"/>
    <x v="4"/>
    <s v="Tucson"/>
    <s v="Arizona"/>
    <x v="1"/>
  </r>
  <r>
    <s v="REG101019"/>
    <x v="263"/>
    <s v="Cust 4990"/>
    <x v="1"/>
    <n v="2347.87"/>
    <n v="7"/>
    <n v="704.36"/>
    <n v="0"/>
    <s v="Cust 4990"/>
    <s v="Brian Moss"/>
    <x v="3"/>
    <s v="New York City"/>
    <s v="New York"/>
    <x v="1"/>
  </r>
  <r>
    <s v="REG100274"/>
    <x v="65"/>
    <s v="Cust 4990"/>
    <x v="3"/>
    <n v="400.64"/>
    <n v="5"/>
    <n v="120.19"/>
    <n v="0.1"/>
    <s v="Cust 4990"/>
    <s v="Brian Moss"/>
    <x v="3"/>
    <s v="New York City"/>
    <s v="New York"/>
    <x v="0"/>
  </r>
  <r>
    <s v="REG101020"/>
    <x v="606"/>
    <s v="Cust 8706"/>
    <x v="4"/>
    <n v="2249.5"/>
    <n v="11"/>
    <n v="674.85"/>
    <n v="0"/>
    <s v="Cust 8706"/>
    <s v="Ben Wallace"/>
    <x v="2"/>
    <s v="Boynton Beach"/>
    <s v="Florida"/>
    <x v="0"/>
  </r>
  <r>
    <s v="REG100908"/>
    <x v="121"/>
    <s v="Cust 8706"/>
    <x v="4"/>
    <n v="5449.84"/>
    <n v="11"/>
    <n v="1634.95"/>
    <n v="0"/>
    <s v="Cust 8706"/>
    <s v="Ben Wallace"/>
    <x v="2"/>
    <s v="Boynton Beach"/>
    <s v="Florida"/>
    <x v="0"/>
  </r>
  <r>
    <s v="REG101021"/>
    <x v="639"/>
    <s v="Cust 2608"/>
    <x v="6"/>
    <n v="515.5"/>
    <n v="1"/>
    <n v="154.65"/>
    <n v="0.05"/>
    <s v="Cust 2608"/>
    <s v="Henry Goldwyn"/>
    <x v="0"/>
    <s v="Mesquite"/>
    <s v="Texas"/>
    <x v="1"/>
  </r>
  <r>
    <s v="REG101022"/>
    <x v="524"/>
    <s v="Cust 3290"/>
    <x v="1"/>
    <n v="184.09"/>
    <n v="1"/>
    <n v="55.23"/>
    <n v="0.1"/>
    <s v="Cust 3290"/>
    <s v="Sandra Glassco"/>
    <x v="0"/>
    <s v="Redlands"/>
    <s v="California"/>
    <x v="1"/>
  </r>
  <r>
    <s v="REG101023"/>
    <x v="565"/>
    <s v="Cust 3892"/>
    <x v="3"/>
    <n v="3566.43"/>
    <n v="10"/>
    <n v="1069.93"/>
    <n v="0.15"/>
    <s v="Cust 3892"/>
    <s v="Ralph Kennedy"/>
    <x v="4"/>
    <s v="Rochester"/>
    <s v="New York"/>
    <x v="1"/>
  </r>
  <r>
    <s v="REG100790"/>
    <x v="324"/>
    <s v="Cust 3892"/>
    <x v="5"/>
    <n v="254.51"/>
    <n v="19"/>
    <n v="76.349999999999994"/>
    <n v="0.05"/>
    <s v="Cust 3892"/>
    <s v="Ralph Kennedy"/>
    <x v="4"/>
    <s v="Rochester"/>
    <s v="New York"/>
    <x v="1"/>
  </r>
  <r>
    <s v="REG101024"/>
    <x v="522"/>
    <s v="Cust 6979"/>
    <x v="2"/>
    <n v="522.89"/>
    <n v="7"/>
    <n v="156.87"/>
    <n v="0.15"/>
    <s v="Cust 6979"/>
    <s v="Scot Wooten"/>
    <x v="0"/>
    <s v="Stockton"/>
    <s v="California"/>
    <x v="1"/>
  </r>
  <r>
    <s v="REG101025"/>
    <x v="311"/>
    <s v="Cust 9375"/>
    <x v="4"/>
    <n v="2572.75"/>
    <n v="7"/>
    <n v="771.83"/>
    <n v="0.05"/>
    <s v="Cust 9375"/>
    <s v="Rob Williams"/>
    <x v="4"/>
    <s v="Seattle"/>
    <s v="Washington"/>
    <x v="0"/>
  </r>
  <r>
    <s v="REG101026"/>
    <x v="520"/>
    <s v="Cust 9311"/>
    <x v="2"/>
    <n v="922.64"/>
    <n v="4"/>
    <n v="276.79000000000002"/>
    <n v="0.05"/>
    <s v="Cust 9311"/>
    <s v="Thais Sissman"/>
    <x v="2"/>
    <s v="Ormond Beach"/>
    <s v="Florida"/>
    <x v="1"/>
  </r>
  <r>
    <s v="REG101027"/>
    <x v="422"/>
    <s v="Cust 4097"/>
    <x v="4"/>
    <n v="1642.36"/>
    <n v="4"/>
    <n v="492.71"/>
    <n v="0"/>
    <s v="Cust 4097"/>
    <s v="Jennifer Braxton"/>
    <x v="0"/>
    <s v="Sunnyvale"/>
    <s v="California"/>
    <x v="1"/>
  </r>
  <r>
    <s v="REG101028"/>
    <x v="558"/>
    <s v="Cust 6145"/>
    <x v="3"/>
    <n v="27.87"/>
    <n v="3"/>
    <n v="8.36"/>
    <n v="0.15"/>
    <s v="Cust 6145"/>
    <s v="Erica Hernandez"/>
    <x v="1"/>
    <s v="Lansing"/>
    <s v="Michigan"/>
    <x v="1"/>
  </r>
  <r>
    <s v="REG101029"/>
    <x v="488"/>
    <s v="Cust 8124"/>
    <x v="3"/>
    <n v="3003.2"/>
    <n v="20"/>
    <n v="900.96"/>
    <n v="0"/>
    <s v="Cust 8124"/>
    <s v="Erica Hernandez"/>
    <x v="1"/>
    <s v="Philadelphia"/>
    <s v="Pennsylvania"/>
    <x v="1"/>
  </r>
  <r>
    <s v="REG101030"/>
    <x v="382"/>
    <s v="Cust 7826"/>
    <x v="3"/>
    <n v="354.97"/>
    <n v="1"/>
    <n v="106.49"/>
    <n v="0.1"/>
    <s v="Cust 7826"/>
    <s v="Brian Stugart"/>
    <x v="0"/>
    <s v="Philadelphia"/>
    <s v="Pennsylvania"/>
    <x v="1"/>
  </r>
  <r>
    <s v="REG101031"/>
    <x v="546"/>
    <s v="Cust 3472"/>
    <x v="5"/>
    <n v="2730.44"/>
    <n v="6"/>
    <n v="819.13"/>
    <n v="0.15"/>
    <s v="Cust 3472"/>
    <s v="Julie Kriz"/>
    <x v="0"/>
    <s v="Philadelphia"/>
    <s v="Pennsylvania"/>
    <x v="1"/>
  </r>
  <r>
    <s v="REG101032"/>
    <x v="84"/>
    <s v="Cust 4266"/>
    <x v="5"/>
    <n v="7361.15"/>
    <n v="19"/>
    <n v="2208.35"/>
    <n v="0.05"/>
    <s v="Cust 4266"/>
    <s v="Randy Ferguson"/>
    <x v="0"/>
    <s v="Dover"/>
    <s v="New Hampshire"/>
    <x v="1"/>
  </r>
  <r>
    <s v="REG101033"/>
    <x v="366"/>
    <s v="Cust 8492"/>
    <x v="6"/>
    <n v="1836.62"/>
    <n v="16"/>
    <n v="550.98"/>
    <n v="0.05"/>
    <s v="Cust 8492"/>
    <s v="William Brown"/>
    <x v="2"/>
    <s v="Philadelphia"/>
    <s v="Pennsylvania"/>
    <x v="1"/>
  </r>
  <r>
    <s v="REG100424"/>
    <x v="372"/>
    <s v="Cust 8492"/>
    <x v="3"/>
    <n v="3091.76"/>
    <n v="19"/>
    <n v="927.53"/>
    <n v="0.15"/>
    <s v="Cust 8492"/>
    <s v="William Brown"/>
    <x v="2"/>
    <s v="Philadelphia"/>
    <s v="Pennsylvania"/>
    <x v="1"/>
  </r>
  <r>
    <s v="REG101034"/>
    <x v="286"/>
    <s v="Cust 7354"/>
    <x v="4"/>
    <n v="249.04"/>
    <n v="7"/>
    <n v="74.709999999999994"/>
    <n v="0.1"/>
    <s v="Cust 7354"/>
    <s v="Trudy Brown"/>
    <x v="4"/>
    <s v="Grand Prairie"/>
    <s v="Texas"/>
    <x v="1"/>
  </r>
  <r>
    <s v="REG101035"/>
    <x v="138"/>
    <s v="Cust 6672"/>
    <x v="6"/>
    <n v="425.75"/>
    <n v="2"/>
    <n v="127.73"/>
    <n v="0.05"/>
    <s v="Cust 6672"/>
    <s v="Christy Brittain"/>
    <x v="1"/>
    <s v="New York City"/>
    <s v="New York"/>
    <x v="1"/>
  </r>
  <r>
    <s v="REG101036"/>
    <x v="640"/>
    <s v="Cust 5589"/>
    <x v="4"/>
    <n v="3992.74"/>
    <n v="11"/>
    <n v="1197.82"/>
    <n v="0.05"/>
    <s v="Cust 5589"/>
    <s v="Grant Thornton"/>
    <x v="2"/>
    <s v="Long Beach"/>
    <s v="New York"/>
    <x v="1"/>
  </r>
  <r>
    <s v="REG101037"/>
    <x v="396"/>
    <s v="Cust 2770"/>
    <x v="4"/>
    <n v="756.59"/>
    <n v="9"/>
    <n v="226.98"/>
    <n v="0.05"/>
    <s v="Cust 2770"/>
    <s v="Theresa Swint"/>
    <x v="1"/>
    <s v="York"/>
    <s v="Pennsylvania"/>
    <x v="1"/>
  </r>
  <r>
    <s v="REG101038"/>
    <x v="155"/>
    <s v="Cust 7206"/>
    <x v="6"/>
    <n v="2642.9"/>
    <n v="20"/>
    <n v="792.87"/>
    <n v="0.05"/>
    <s v="Cust 7206"/>
    <s v="William Brown"/>
    <x v="3"/>
    <s v="Concord"/>
    <s v="California"/>
    <x v="1"/>
  </r>
  <r>
    <s v="REG101039"/>
    <x v="284"/>
    <s v="Cust 1580"/>
    <x v="2"/>
    <n v="5512.19"/>
    <n v="19"/>
    <n v="1653.66"/>
    <n v="0.1"/>
    <s v="Cust 1580"/>
    <s v="Denny Ordway"/>
    <x v="4"/>
    <s v="New York City"/>
    <s v="New York"/>
    <x v="2"/>
  </r>
  <r>
    <s v="REG101040"/>
    <x v="21"/>
    <s v="Cust 5313"/>
    <x v="4"/>
    <n v="4817.5200000000004"/>
    <n v="16"/>
    <n v="1445.26"/>
    <n v="0.1"/>
    <s v="Cust 5313"/>
    <s v="Art Ferguson"/>
    <x v="0"/>
    <s v="College Station"/>
    <s v="Texas"/>
    <x v="2"/>
  </r>
  <r>
    <s v="REG101041"/>
    <x v="371"/>
    <s v="Cust 4209"/>
    <x v="2"/>
    <n v="6649.6"/>
    <n v="20"/>
    <n v="1994.88"/>
    <n v="0"/>
    <s v="Cust 4209"/>
    <s v="Richard Bierner"/>
    <x v="4"/>
    <s v="Saint Louis"/>
    <s v="Missouri"/>
    <x v="0"/>
  </r>
  <r>
    <s v="REG101042"/>
    <x v="207"/>
    <s v="Cust 5861"/>
    <x v="4"/>
    <n v="123.4"/>
    <n v="1"/>
    <n v="37.020000000000003"/>
    <n v="0"/>
    <s v="Cust 5861"/>
    <s v="Andy Reiter"/>
    <x v="3"/>
    <s v="Quincy"/>
    <s v="Massachusetts"/>
    <x v="0"/>
  </r>
  <r>
    <s v="REG101043"/>
    <x v="403"/>
    <s v="Cust 6348"/>
    <x v="0"/>
    <n v="251.54"/>
    <n v="3"/>
    <n v="75.459999999999994"/>
    <n v="0.05"/>
    <s v="Cust 6348"/>
    <s v="Dan Reichenbach"/>
    <x v="1"/>
    <s v="New York City"/>
    <s v="New York"/>
    <x v="0"/>
  </r>
  <r>
    <s v="REG101044"/>
    <x v="472"/>
    <s v="Cust 5210"/>
    <x v="1"/>
    <n v="590.97"/>
    <n v="13"/>
    <n v="177.29"/>
    <n v="0.1"/>
    <s v="Cust 5210"/>
    <s v="Ben Ferrer"/>
    <x v="4"/>
    <s v="Dallas"/>
    <s v="Texas"/>
    <x v="0"/>
  </r>
  <r>
    <s v="REG101045"/>
    <x v="641"/>
    <s v="Cust 7325"/>
    <x v="5"/>
    <n v="2487"/>
    <n v="11"/>
    <n v="746.1"/>
    <n v="0.05"/>
    <s v="Cust 7325"/>
    <s v="Larry Blacks"/>
    <x v="1"/>
    <s v="Los Angeles"/>
    <s v="California"/>
    <x v="0"/>
  </r>
  <r>
    <s v="REG101046"/>
    <x v="314"/>
    <s v="Cust 5818"/>
    <x v="3"/>
    <n v="2064.65"/>
    <n v="7"/>
    <n v="619.4"/>
    <n v="0"/>
    <s v="Cust 5818"/>
    <s v="Dianna Vittorini"/>
    <x v="2"/>
    <s v="Minneapolis"/>
    <s v="Minnesota"/>
    <x v="0"/>
  </r>
  <r>
    <s v="REG101047"/>
    <x v="135"/>
    <s v="Cust 7773"/>
    <x v="2"/>
    <n v="2766.96"/>
    <n v="8"/>
    <n v="830.09"/>
    <n v="0.1"/>
    <s v="Cust 7773"/>
    <s v="Neil Knudson"/>
    <x v="4"/>
    <s v="Deltona"/>
    <s v="Florida"/>
    <x v="0"/>
  </r>
  <r>
    <s v="REG100122"/>
    <x v="136"/>
    <s v="Cust 7773"/>
    <x v="6"/>
    <n v="479.57"/>
    <n v="5"/>
    <n v="143.87"/>
    <n v="0.1"/>
    <s v="Cust 7773"/>
    <s v="Neil Knudson"/>
    <x v="4"/>
    <s v="Deltona"/>
    <s v="Florida"/>
    <x v="0"/>
  </r>
  <r>
    <s v="REG101048"/>
    <x v="231"/>
    <s v="Cust 3960"/>
    <x v="5"/>
    <n v="359.43"/>
    <n v="1"/>
    <n v="107.83"/>
    <n v="0.05"/>
    <s v="Cust 3960"/>
    <s v="Logan Haushalter"/>
    <x v="4"/>
    <s v="Cincinnati"/>
    <s v="Ohio"/>
    <x v="0"/>
  </r>
  <r>
    <s v="REG100498"/>
    <x v="264"/>
    <s v="Cust 3960"/>
    <x v="1"/>
    <n v="464.58"/>
    <n v="16"/>
    <n v="139.37"/>
    <n v="0.15"/>
    <s v="Cust 3960"/>
    <s v="Logan Haushalter"/>
    <x v="4"/>
    <s v="Cincinnati"/>
    <s v="Ohio"/>
    <x v="0"/>
  </r>
  <r>
    <s v="REG101049"/>
    <x v="642"/>
    <s v="Cust 4496"/>
    <x v="2"/>
    <n v="461.35"/>
    <n v="1"/>
    <n v="138.41"/>
    <n v="0"/>
    <s v="Cust 4496"/>
    <s v="Dianna Wilson"/>
    <x v="2"/>
    <s v="Oakland"/>
    <s v="California"/>
    <x v="0"/>
  </r>
  <r>
    <s v="REG101050"/>
    <x v="443"/>
    <s v="Cust 3875"/>
    <x v="4"/>
    <n v="7098"/>
    <n v="20"/>
    <n v="2129.4"/>
    <n v="0"/>
    <s v="Cust 3875"/>
    <s v="Karen Ferguson"/>
    <x v="1"/>
    <s v="Manteca"/>
    <s v="California"/>
    <x v="1"/>
  </r>
  <r>
    <s v="REG101051"/>
    <x v="218"/>
    <s v="Cust 7232"/>
    <x v="2"/>
    <n v="2761.98"/>
    <n v="7"/>
    <n v="828.59"/>
    <n v="0.1"/>
    <s v="Cust 7232"/>
    <s v="Helen Andreada"/>
    <x v="4"/>
    <s v="Laredo"/>
    <s v="Texas"/>
    <x v="0"/>
  </r>
  <r>
    <s v="REG101052"/>
    <x v="387"/>
    <s v="Cust 2137"/>
    <x v="6"/>
    <n v="7216.58"/>
    <n v="14"/>
    <n v="2164.9699999999998"/>
    <n v="0.05"/>
    <s v="Cust 2137"/>
    <s v="John Huston"/>
    <x v="3"/>
    <s v="Kent"/>
    <s v="Ohio"/>
    <x v="0"/>
  </r>
  <r>
    <s v="REG100444"/>
    <x v="288"/>
    <s v="Cust 2137"/>
    <x v="6"/>
    <n v="6451.81"/>
    <n v="18"/>
    <n v="1935.54"/>
    <n v="0.1"/>
    <s v="Cust 2137"/>
    <s v="John Huston"/>
    <x v="3"/>
    <s v="Kent"/>
    <s v="Ohio"/>
    <x v="0"/>
  </r>
  <r>
    <s v="REG101053"/>
    <x v="351"/>
    <s v="Cust 4537"/>
    <x v="4"/>
    <n v="644.80999999999995"/>
    <n v="3"/>
    <n v="193.44"/>
    <n v="0.1"/>
    <s v="Cust 4537"/>
    <s v="Linda Cazamias"/>
    <x v="2"/>
    <s v="San Angelo"/>
    <s v="Texas"/>
    <x v="0"/>
  </r>
  <r>
    <s v="REG101054"/>
    <x v="434"/>
    <s v="Cust 6274"/>
    <x v="6"/>
    <n v="4783.54"/>
    <n v="16"/>
    <n v="1435.06"/>
    <n v="0.1"/>
    <s v="Cust 6274"/>
    <s v="Ivan Liston"/>
    <x v="2"/>
    <s v="San Francisco"/>
    <s v="California"/>
    <x v="0"/>
  </r>
  <r>
    <s v="REG101055"/>
    <x v="446"/>
    <s v="Cust 3810"/>
    <x v="4"/>
    <n v="3886.83"/>
    <n v="9"/>
    <n v="1166.05"/>
    <n v="0.05"/>
    <s v="Cust 3810"/>
    <s v="Lindsay Shagiari"/>
    <x v="3"/>
    <s v="Houston"/>
    <s v="Texas"/>
    <x v="0"/>
  </r>
  <r>
    <s v="REG101056"/>
    <x v="348"/>
    <s v="Cust 5002"/>
    <x v="4"/>
    <n v="3081.08"/>
    <n v="6"/>
    <n v="924.32"/>
    <n v="0.05"/>
    <s v="Cust 5002"/>
    <s v="Corey Catlett"/>
    <x v="4"/>
    <s v="Houston"/>
    <s v="Texas"/>
    <x v="0"/>
  </r>
  <r>
    <s v="REG101057"/>
    <x v="643"/>
    <s v="Cust 8551"/>
    <x v="2"/>
    <n v="1753.7"/>
    <n v="14"/>
    <n v="526.11"/>
    <n v="0.15"/>
    <s v="Cust 8551"/>
    <s v="Patrick Bzostek"/>
    <x v="4"/>
    <s v="Salt Lake City"/>
    <s v="Utah"/>
    <x v="2"/>
  </r>
  <r>
    <s v="REG101058"/>
    <x v="531"/>
    <s v="Cust 8837"/>
    <x v="0"/>
    <n v="2505.66"/>
    <n v="7"/>
    <n v="751.7"/>
    <n v="0.15"/>
    <s v="Cust 8837"/>
    <s v="Caroline Jumper"/>
    <x v="1"/>
    <s v="New York City"/>
    <s v="New York"/>
    <x v="0"/>
  </r>
  <r>
    <s v="REG101059"/>
    <x v="427"/>
    <s v="Cust 6523"/>
    <x v="1"/>
    <n v="8726.4"/>
    <n v="20"/>
    <n v="2617.92"/>
    <n v="0"/>
    <s v="Cust 6523"/>
    <s v="Heather Kirkland"/>
    <x v="2"/>
    <s v="Salinas"/>
    <s v="California"/>
    <x v="0"/>
  </r>
  <r>
    <s v="REG101060"/>
    <x v="266"/>
    <s v="Cust 1947"/>
    <x v="0"/>
    <n v="7076.65"/>
    <n v="18"/>
    <n v="2122.9899999999998"/>
    <n v="0.1"/>
    <s v="Cust 1947"/>
    <s v="Rob Haberlin"/>
    <x v="2"/>
    <s v="Huntsville"/>
    <s v="Alabama"/>
    <x v="0"/>
  </r>
  <r>
    <s v="REG100749"/>
    <x v="397"/>
    <s v="Cust 1947"/>
    <x v="6"/>
    <n v="4482.18"/>
    <n v="16"/>
    <n v="1344.65"/>
    <n v="0.05"/>
    <s v="Cust 1947"/>
    <s v="Rob Haberlin"/>
    <x v="2"/>
    <s v="Huntsville"/>
    <s v="Alabama"/>
    <x v="0"/>
  </r>
  <r>
    <s v="REG100560"/>
    <x v="451"/>
    <s v="Cust 1947"/>
    <x v="5"/>
    <n v="4528.62"/>
    <n v="9"/>
    <n v="1358.59"/>
    <n v="0"/>
    <s v="Cust 1947"/>
    <s v="Rob Haberlin"/>
    <x v="2"/>
    <s v="Huntsville"/>
    <s v="Alabama"/>
    <x v="0"/>
  </r>
  <r>
    <s v="REG101061"/>
    <x v="644"/>
    <s v="Cust 3440"/>
    <x v="5"/>
    <n v="622.38"/>
    <n v="2"/>
    <n v="186.71"/>
    <n v="0.05"/>
    <s v="Cust 3440"/>
    <s v="Ivan Liston"/>
    <x v="0"/>
    <s v="Columbus"/>
    <s v="Indiana"/>
    <x v="0"/>
  </r>
  <r>
    <s v="REG101062"/>
    <x v="645"/>
    <s v="Cust 4102"/>
    <x v="4"/>
    <n v="2854.33"/>
    <n v="18"/>
    <n v="856.3"/>
    <n v="0.05"/>
    <s v="Cust 4102"/>
    <s v="Alan Shonely"/>
    <x v="0"/>
    <s v="Los Angeles"/>
    <s v="California"/>
    <x v="0"/>
  </r>
  <r>
    <s v="REG101063"/>
    <x v="630"/>
    <s v="Cust 4145"/>
    <x v="1"/>
    <n v="3784.79"/>
    <n v="14"/>
    <n v="1135.44"/>
    <n v="0.1"/>
    <s v="Cust 4145"/>
    <s v="Arthur Prichep"/>
    <x v="3"/>
    <s v="Seattle"/>
    <s v="Washington"/>
    <x v="0"/>
  </r>
  <r>
    <s v="REG101064"/>
    <x v="646"/>
    <s v="Cust 5206"/>
    <x v="4"/>
    <n v="1161.45"/>
    <n v="5"/>
    <n v="348.44"/>
    <n v="0"/>
    <s v="Cust 5206"/>
    <s v="Allen Goldenen"/>
    <x v="2"/>
    <s v="Knoxville"/>
    <s v="Tennessee"/>
    <x v="0"/>
  </r>
  <r>
    <s v="REG101065"/>
    <x v="591"/>
    <s v="Cust 4022"/>
    <x v="6"/>
    <n v="173.44"/>
    <n v="1"/>
    <n v="52.03"/>
    <n v="0"/>
    <s v="Cust 4022"/>
    <s v="Bart Folk"/>
    <x v="3"/>
    <s v="Montgomery"/>
    <s v="Alabama"/>
    <x v="0"/>
  </r>
  <r>
    <s v="REG101066"/>
    <x v="615"/>
    <s v="Cust 8676"/>
    <x v="1"/>
    <n v="1959.47"/>
    <n v="9"/>
    <n v="587.84"/>
    <n v="0.15"/>
    <s v="Cust 8676"/>
    <s v="Liz Thompson"/>
    <x v="0"/>
    <s v="Little Rock"/>
    <s v="Arkansas"/>
    <x v="0"/>
  </r>
  <r>
    <s v="REG101067"/>
    <x v="252"/>
    <s v="Cust 7492"/>
    <x v="0"/>
    <n v="4705.26"/>
    <n v="12"/>
    <n v="1411.58"/>
    <n v="0.15"/>
    <s v="Cust 7492"/>
    <s v="Beth Thompson"/>
    <x v="3"/>
    <s v="Seattle"/>
    <s v="Washington"/>
    <x v="2"/>
  </r>
  <r>
    <s v="REG101068"/>
    <x v="160"/>
    <s v="Cust 3150"/>
    <x v="1"/>
    <n v="183.43"/>
    <n v="1"/>
    <n v="55.03"/>
    <n v="0.05"/>
    <s v="Cust 3150"/>
    <s v="Steven Cartwright"/>
    <x v="0"/>
    <s v="Lancaster"/>
    <s v="Pennsylvania"/>
    <x v="2"/>
  </r>
  <r>
    <s v="REG100833"/>
    <x v="436"/>
    <s v="Cust 3150"/>
    <x v="1"/>
    <n v="4199.16"/>
    <n v="14"/>
    <n v="1259.75"/>
    <n v="0"/>
    <s v="Cust 3150"/>
    <s v="Steven Cartwright"/>
    <x v="0"/>
    <s v="Lancaster"/>
    <s v="Pennsylvania"/>
    <x v="2"/>
  </r>
  <r>
    <s v="REG101333"/>
    <x v="431"/>
    <s v="Cust 7872"/>
    <x v="6"/>
    <n v="32.26"/>
    <n v="3"/>
    <n v="9.68"/>
    <n v="0.05"/>
    <s v="Cust 7872"/>
    <s v="Catherine Glotzbach"/>
    <x v="4"/>
    <s v="Bristol"/>
    <s v="Tennessee"/>
    <x v="2"/>
  </r>
  <r>
    <s v="REG101069"/>
    <x v="502"/>
    <s v="Cust 7872"/>
    <x v="3"/>
    <n v="891.96"/>
    <n v="3"/>
    <n v="267.58999999999997"/>
    <n v="0.05"/>
    <s v="Cust 7872"/>
    <s v="Catherine Glotzbach"/>
    <x v="4"/>
    <s v="Bristol"/>
    <s v="Tennessee"/>
    <x v="2"/>
  </r>
  <r>
    <s v="REG101070"/>
    <x v="106"/>
    <s v="Cust 8762"/>
    <x v="0"/>
    <n v="1220.5999999999999"/>
    <n v="6"/>
    <n v="366.18"/>
    <n v="0.05"/>
    <s v="Cust 8762"/>
    <s v="Arthur Wiediger"/>
    <x v="1"/>
    <s v="Aurora"/>
    <s v="Illinois"/>
    <x v="2"/>
  </r>
  <r>
    <s v="REG101071"/>
    <x v="647"/>
    <s v="Cust 4004"/>
    <x v="1"/>
    <n v="215.28"/>
    <n v="4"/>
    <n v="64.58"/>
    <n v="0.1"/>
    <s v="Cust 4004"/>
    <s v="Roger Barcio"/>
    <x v="2"/>
    <s v="New York City"/>
    <s v="New York"/>
    <x v="2"/>
  </r>
  <r>
    <s v="REG101072"/>
    <x v="648"/>
    <s v="Cust 2781"/>
    <x v="0"/>
    <n v="3762"/>
    <n v="9"/>
    <n v="1128.5999999999999"/>
    <n v="0"/>
    <s v="Cust 2781"/>
    <s v="Maris LaWare"/>
    <x v="0"/>
    <s v="Fairfield"/>
    <s v="Connecticut"/>
    <x v="0"/>
  </r>
  <r>
    <s v="REG101143"/>
    <x v="48"/>
    <s v="Cust 9982"/>
    <x v="2"/>
    <n v="1934.66"/>
    <n v="6"/>
    <n v="580.4"/>
    <n v="0.1"/>
    <s v="Cust 9982"/>
    <s v="Victoria Brennan"/>
    <x v="1"/>
    <s v="Lincoln Park"/>
    <s v="Michigan"/>
    <x v="1"/>
  </r>
  <r>
    <s v="REG101073"/>
    <x v="262"/>
    <s v="Cust 9982"/>
    <x v="3"/>
    <n v="80.959999999999994"/>
    <n v="1"/>
    <n v="24.29"/>
    <n v="0"/>
    <s v="Cust 9982"/>
    <s v="Victoria Brennan"/>
    <x v="1"/>
    <s v="Lincoln Park"/>
    <s v="Michigan"/>
    <x v="0"/>
  </r>
  <r>
    <s v="REG101074"/>
    <x v="649"/>
    <s v="Cust 9561"/>
    <x v="1"/>
    <n v="716.04"/>
    <n v="20"/>
    <n v="214.81"/>
    <n v="0.15"/>
    <s v="Cust 9561"/>
    <s v="Scott Williamson"/>
    <x v="0"/>
    <s v="New York City"/>
    <s v="New York"/>
    <x v="0"/>
  </r>
  <r>
    <s v="REG101075"/>
    <x v="67"/>
    <s v="Cust 3496"/>
    <x v="5"/>
    <n v="1099.95"/>
    <n v="3"/>
    <n v="329.99"/>
    <n v="0"/>
    <s v="Cust 3496"/>
    <s v="Neola Schneider"/>
    <x v="4"/>
    <s v="San Jose"/>
    <s v="California"/>
    <x v="0"/>
  </r>
  <r>
    <s v="REG101076"/>
    <x v="176"/>
    <s v="Cust 4085"/>
    <x v="5"/>
    <n v="10163.48"/>
    <n v="19"/>
    <n v="3049.04"/>
    <n v="0"/>
    <s v="Cust 4085"/>
    <s v="Dorothy Badders"/>
    <x v="4"/>
    <s v="Jacksonville"/>
    <s v="Florida"/>
    <x v="0"/>
  </r>
  <r>
    <s v="REG101077"/>
    <x v="511"/>
    <s v="Cust 1921"/>
    <x v="3"/>
    <n v="494.52"/>
    <n v="1"/>
    <n v="148.36000000000001"/>
    <n v="0"/>
    <s v="Cust 1921"/>
    <s v="Matt Hagelstein"/>
    <x v="0"/>
    <s v="San Francisco"/>
    <s v="California"/>
    <x v="1"/>
  </r>
  <r>
    <s v="REG101078"/>
    <x v="266"/>
    <s v="Cust 9053"/>
    <x v="5"/>
    <n v="1861.22"/>
    <n v="6"/>
    <n v="558.37"/>
    <n v="0.1"/>
    <s v="Cust 9053"/>
    <s v="Dennis Kane"/>
    <x v="0"/>
    <s v="Marion"/>
    <s v="Ohio"/>
    <x v="1"/>
  </r>
  <r>
    <s v="REG101079"/>
    <x v="85"/>
    <s v="Cust 9345"/>
    <x v="5"/>
    <n v="4989.2299999999996"/>
    <n v="12"/>
    <n v="1496.77"/>
    <n v="0.15"/>
    <s v="Cust 9345"/>
    <s v="Erin Ashbrook"/>
    <x v="3"/>
    <s v="Philadelphia"/>
    <s v="Pennsylvania"/>
    <x v="1"/>
  </r>
  <r>
    <s v="REG100075"/>
    <x v="86"/>
    <s v="Cust 9345"/>
    <x v="2"/>
    <n v="4985.1899999999996"/>
    <n v="10"/>
    <n v="1495.56"/>
    <n v="0.1"/>
    <s v="Cust 9345"/>
    <s v="Erin Ashbrook"/>
    <x v="3"/>
    <s v="Philadelphia"/>
    <s v="Pennsylvania"/>
    <x v="0"/>
  </r>
  <r>
    <s v="REG101412"/>
    <x v="223"/>
    <s v="Cust 3559"/>
    <x v="0"/>
    <n v="5071.1899999999996"/>
    <n v="18"/>
    <n v="1521.36"/>
    <n v="0.15"/>
    <s v="Cust 3559"/>
    <s v="Bobby Trafton"/>
    <x v="1"/>
    <s v="Littleton"/>
    <s v="Colorado"/>
    <x v="1"/>
  </r>
  <r>
    <s v="REG101080"/>
    <x v="151"/>
    <s v="Cust 3559"/>
    <x v="4"/>
    <n v="4381.53"/>
    <n v="18"/>
    <n v="1314.46"/>
    <n v="0.05"/>
    <s v="Cust 3559"/>
    <s v="Bobby Trafton"/>
    <x v="1"/>
    <s v="Littleton"/>
    <s v="Colorado"/>
    <x v="1"/>
  </r>
  <r>
    <s v="REG101081"/>
    <x v="339"/>
    <s v="Cust 1762"/>
    <x v="4"/>
    <n v="1695.92"/>
    <n v="17"/>
    <n v="508.78"/>
    <n v="0"/>
    <s v="Cust 1762"/>
    <s v="Laura Armstrong"/>
    <x v="2"/>
    <s v="Austin"/>
    <s v="Texas"/>
    <x v="1"/>
  </r>
  <r>
    <s v="REG100379"/>
    <x v="340"/>
    <s v="Cust 1762"/>
    <x v="1"/>
    <n v="5455.79"/>
    <n v="19"/>
    <n v="1636.74"/>
    <n v="0.15"/>
    <s v="Cust 1762"/>
    <s v="Laura Armstrong"/>
    <x v="2"/>
    <s v="Austin"/>
    <s v="Texas"/>
    <x v="0"/>
  </r>
  <r>
    <s v="REG101082"/>
    <x v="515"/>
    <s v="Cust 7060"/>
    <x v="4"/>
    <n v="7253.32"/>
    <n v="14"/>
    <n v="2175.9899999999998"/>
    <n v="0.1"/>
    <s v="Cust 7060"/>
    <s v="Greg Matthias"/>
    <x v="2"/>
    <s v="New York City"/>
    <s v="New York"/>
    <x v="0"/>
  </r>
  <r>
    <s v="REG101463"/>
    <x v="448"/>
    <s v="Cust 8796"/>
    <x v="2"/>
    <n v="1470.04"/>
    <n v="11"/>
    <n v="441.01"/>
    <n v="0"/>
    <s v="Cust 8796"/>
    <s v="Alex Avila"/>
    <x v="0"/>
    <s v="San Francisco"/>
    <s v="California"/>
    <x v="0"/>
  </r>
  <r>
    <s v="REG101083"/>
    <x v="267"/>
    <s v="Cust 8796"/>
    <x v="3"/>
    <n v="900.25"/>
    <n v="6"/>
    <n v="270.08"/>
    <n v="0.15"/>
    <s v="Cust 8796"/>
    <s v="Alex Avila"/>
    <x v="0"/>
    <s v="San Francisco"/>
    <s v="California"/>
    <x v="0"/>
  </r>
  <r>
    <s v="REG101084"/>
    <x v="650"/>
    <s v="Cust 6055"/>
    <x v="6"/>
    <n v="2768.26"/>
    <n v="6"/>
    <n v="830.48"/>
    <n v="0.05"/>
    <s v="Cust 6055"/>
    <s v="Denny Blanton"/>
    <x v="0"/>
    <s v="La Porte"/>
    <s v="Indiana"/>
    <x v="0"/>
  </r>
  <r>
    <s v="REG101085"/>
    <x v="330"/>
    <s v="Cust 5779"/>
    <x v="0"/>
    <n v="1019.59"/>
    <n v="8"/>
    <n v="305.88"/>
    <n v="0.1"/>
    <s v="Cust 5779"/>
    <s v="John Huston"/>
    <x v="3"/>
    <s v="Chicago"/>
    <s v="Illinois"/>
    <x v="1"/>
  </r>
  <r>
    <s v="REG101086"/>
    <x v="313"/>
    <s v="Cust 9330"/>
    <x v="2"/>
    <n v="1743.85"/>
    <n v="9"/>
    <n v="523.15"/>
    <n v="0.1"/>
    <s v="Cust 9330"/>
    <s v="Doug Jacobs"/>
    <x v="4"/>
    <s v="Portland"/>
    <s v="Oregon"/>
    <x v="1"/>
  </r>
  <r>
    <s v="REG101087"/>
    <x v="509"/>
    <s v="Cust 5374"/>
    <x v="0"/>
    <n v="8502.4599999999991"/>
    <n v="18"/>
    <n v="2550.7399999999998"/>
    <n v="0.05"/>
    <s v="Cust 5374"/>
    <s v="Quincy Jones"/>
    <x v="4"/>
    <s v="Burlington"/>
    <s v="Vermont"/>
    <x v="0"/>
  </r>
  <r>
    <s v="REG101088"/>
    <x v="267"/>
    <s v="Cust 3321"/>
    <x v="2"/>
    <n v="4294.47"/>
    <n v="13"/>
    <n v="1288.3399999999999"/>
    <n v="0.05"/>
    <s v="Cust 3321"/>
    <s v="Carol Triggs"/>
    <x v="0"/>
    <s v="Indianapolis"/>
    <s v="Indiana"/>
    <x v="0"/>
  </r>
  <r>
    <s v="REG101089"/>
    <x v="520"/>
    <s v="Cust 6554"/>
    <x v="3"/>
    <n v="1002.27"/>
    <n v="3"/>
    <n v="300.68"/>
    <n v="0.1"/>
    <s v="Cust 6554"/>
    <s v="Rick Huthwaite"/>
    <x v="3"/>
    <s v="Provo"/>
    <s v="Utah"/>
    <x v="0"/>
  </r>
  <r>
    <s v="REG101090"/>
    <x v="258"/>
    <s v="Cust 6855"/>
    <x v="4"/>
    <n v="4430.17"/>
    <n v="12"/>
    <n v="1329.05"/>
    <n v="0.15"/>
    <s v="Cust 6855"/>
    <s v="Sanjit Jacobs"/>
    <x v="0"/>
    <s v="Chicago"/>
    <s v="Illinois"/>
    <x v="0"/>
  </r>
  <r>
    <s v="REG100340"/>
    <x v="259"/>
    <s v="Cust 6855"/>
    <x v="4"/>
    <n v="1677.28"/>
    <n v="16"/>
    <n v="503.18"/>
    <n v="0"/>
    <s v="Cust 6855"/>
    <s v="Sanjit Jacobs"/>
    <x v="0"/>
    <s v="Chicago"/>
    <s v="Illinois"/>
    <x v="0"/>
  </r>
  <r>
    <s v="REG100265"/>
    <x v="260"/>
    <s v="Cust 6855"/>
    <x v="5"/>
    <n v="1054.3499999999999"/>
    <n v="8"/>
    <n v="316.3"/>
    <n v="0.05"/>
    <s v="Cust 6855"/>
    <s v="Sanjit Jacobs"/>
    <x v="0"/>
    <s v="Chicago"/>
    <s v="Illinois"/>
    <x v="0"/>
  </r>
  <r>
    <s v="REG101091"/>
    <x v="306"/>
    <s v="Cust 9955"/>
    <x v="5"/>
    <n v="6143.76"/>
    <n v="16"/>
    <n v="1843.13"/>
    <n v="0.1"/>
    <s v="Cust 9955"/>
    <s v="Toby Gnade"/>
    <x v="0"/>
    <s v="Los Angeles"/>
    <s v="California"/>
    <x v="2"/>
  </r>
  <r>
    <s v="REG101092"/>
    <x v="651"/>
    <s v="Cust 3320"/>
    <x v="2"/>
    <n v="1681.33"/>
    <n v="6"/>
    <n v="504.4"/>
    <n v="0.05"/>
    <s v="Cust 3320"/>
    <s v="Carol Triggs"/>
    <x v="4"/>
    <s v="Philadelphia"/>
    <s v="Pennsylvania"/>
    <x v="1"/>
  </r>
  <r>
    <s v="REG101093"/>
    <x v="513"/>
    <s v="Cust 8177"/>
    <x v="1"/>
    <n v="1335.18"/>
    <n v="12"/>
    <n v="400.55"/>
    <n v="0.15"/>
    <s v="Cust 8177"/>
    <s v="Barry Franz"/>
    <x v="3"/>
    <s v="Pasadena"/>
    <s v="California"/>
    <x v="1"/>
  </r>
  <r>
    <s v="REG101094"/>
    <x v="652"/>
    <s v="Cust 1743"/>
    <x v="5"/>
    <n v="8261.69"/>
    <n v="18"/>
    <n v="2478.5100000000002"/>
    <n v="0.15"/>
    <s v="Cust 1743"/>
    <s v="Justin MacKendrick"/>
    <x v="2"/>
    <s v="Los Angeles"/>
    <s v="California"/>
    <x v="1"/>
  </r>
  <r>
    <s v="REG101095"/>
    <x v="653"/>
    <s v="Cust 3719"/>
    <x v="2"/>
    <n v="1613.2"/>
    <n v="12"/>
    <n v="483.96"/>
    <n v="0.1"/>
    <s v="Cust 3719"/>
    <s v="Julie Kriz"/>
    <x v="1"/>
    <s v="San Diego"/>
    <s v="California"/>
    <x v="2"/>
  </r>
  <r>
    <s v="REG101096"/>
    <x v="407"/>
    <s v="Cust 9323"/>
    <x v="3"/>
    <n v="1747.77"/>
    <n v="5"/>
    <n v="524.33000000000004"/>
    <n v="0.15"/>
    <s v="Cust 9323"/>
    <s v="Henry Goldwyn"/>
    <x v="0"/>
    <s v="San Francisco"/>
    <s v="California"/>
    <x v="2"/>
  </r>
  <r>
    <s v="REG101097"/>
    <x v="527"/>
    <s v="Cust 1914"/>
    <x v="3"/>
    <n v="7035.47"/>
    <n v="16"/>
    <n v="2110.64"/>
    <n v="0.05"/>
    <s v="Cust 1914"/>
    <s v="Laura Armstrong"/>
    <x v="2"/>
    <s v="Bangor"/>
    <s v="Maine"/>
    <x v="0"/>
  </r>
  <r>
    <s v="REG101098"/>
    <x v="654"/>
    <s v="Cust 5928"/>
    <x v="0"/>
    <n v="8608.4599999999991"/>
    <n v="17"/>
    <n v="2582.54"/>
    <n v="0"/>
    <s v="Cust 5928"/>
    <s v="Troy Staebel"/>
    <x v="1"/>
    <s v="San Francisco"/>
    <s v="California"/>
    <x v="0"/>
  </r>
  <r>
    <s v="REG101099"/>
    <x v="429"/>
    <s v="Cust 1904"/>
    <x v="2"/>
    <n v="486.59"/>
    <n v="19"/>
    <n v="145.97999999999999"/>
    <n v="0"/>
    <s v="Cust 1904"/>
    <s v="Maria Zettner"/>
    <x v="2"/>
    <s v="San Diego"/>
    <s v="California"/>
    <x v="0"/>
  </r>
  <r>
    <s v="REG100516"/>
    <x v="189"/>
    <s v="Cust 1904"/>
    <x v="0"/>
    <n v="1297.32"/>
    <n v="6"/>
    <n v="389.2"/>
    <n v="0.05"/>
    <s v="Cust 1904"/>
    <s v="Maria Zettner"/>
    <x v="2"/>
    <s v="San Diego"/>
    <s v="California"/>
    <x v="0"/>
  </r>
  <r>
    <s v="REG101100"/>
    <x v="39"/>
    <s v="Cust 8062"/>
    <x v="2"/>
    <n v="1776.31"/>
    <n v="4"/>
    <n v="532.89"/>
    <n v="0.05"/>
    <s v="Cust 8062"/>
    <s v="Mitch Webber"/>
    <x v="1"/>
    <s v="New York City"/>
    <s v="New York"/>
    <x v="1"/>
  </r>
  <r>
    <s v="REG101471"/>
    <x v="50"/>
    <s v="Cust 8150"/>
    <x v="5"/>
    <n v="3217.44"/>
    <n v="6"/>
    <n v="965.23"/>
    <n v="0"/>
    <s v="Cust 8150"/>
    <s v="Mark Van Huff"/>
    <x v="2"/>
    <s v="Arlington"/>
    <s v="Virginia"/>
    <x v="1"/>
  </r>
  <r>
    <s v="REG101101"/>
    <x v="541"/>
    <s v="Cust 8150"/>
    <x v="4"/>
    <n v="1194.25"/>
    <n v="10"/>
    <n v="358.28"/>
    <n v="0.15"/>
    <s v="Cust 8150"/>
    <s v="Mark Van Huff"/>
    <x v="2"/>
    <s v="Arlington"/>
    <s v="Virginia"/>
    <x v="1"/>
  </r>
  <r>
    <s v="REG100901"/>
    <x v="542"/>
    <s v="Cust 8150"/>
    <x v="4"/>
    <n v="1073.73"/>
    <n v="8"/>
    <n v="322.12"/>
    <n v="0.05"/>
    <s v="Cust 8150"/>
    <s v="Mark Van Huff"/>
    <x v="2"/>
    <s v="Arlington"/>
    <s v="Virginia"/>
    <x v="0"/>
  </r>
  <r>
    <s v="REG100731"/>
    <x v="543"/>
    <s v="Cust 8150"/>
    <x v="5"/>
    <n v="417.53"/>
    <n v="2"/>
    <n v="125.26"/>
    <n v="0.1"/>
    <s v="Cust 8150"/>
    <s v="Mark Van Huff"/>
    <x v="2"/>
    <s v="Arlington"/>
    <s v="Virginia"/>
    <x v="0"/>
  </r>
  <r>
    <s v="REG101102"/>
    <x v="648"/>
    <s v="Cust 3275"/>
    <x v="1"/>
    <n v="462.8"/>
    <n v="8"/>
    <n v="138.84"/>
    <n v="0"/>
    <s v="Cust 3275"/>
    <s v="Allen Armold"/>
    <x v="2"/>
    <s v="Atlanta"/>
    <s v="Georgia"/>
    <x v="0"/>
  </r>
  <r>
    <s v="REG101103"/>
    <x v="251"/>
    <s v="Cust 3854"/>
    <x v="5"/>
    <n v="4128.25"/>
    <n v="9"/>
    <n v="1238.47"/>
    <n v="0.15"/>
    <s v="Cust 3854"/>
    <s v="Sean Miller"/>
    <x v="2"/>
    <s v="Monroe"/>
    <s v="North Carolina"/>
    <x v="2"/>
  </r>
  <r>
    <s v="REG101104"/>
    <x v="405"/>
    <s v="Cust 8398"/>
    <x v="5"/>
    <n v="8573.76"/>
    <n v="18"/>
    <n v="2572.13"/>
    <n v="0"/>
    <s v="Cust 8398"/>
    <s v="Tom Prescott"/>
    <x v="4"/>
    <s v="Seattle"/>
    <s v="Washington"/>
    <x v="0"/>
  </r>
  <r>
    <s v="REG101105"/>
    <x v="655"/>
    <s v="Cust 4026"/>
    <x v="6"/>
    <n v="1424.12"/>
    <n v="11"/>
    <n v="427.23"/>
    <n v="0.1"/>
    <s v="Cust 4026"/>
    <s v="Dean Katz"/>
    <x v="3"/>
    <s v="Rochester"/>
    <s v="New York"/>
    <x v="0"/>
  </r>
  <r>
    <s v="REG101106"/>
    <x v="67"/>
    <s v="Cust 5794"/>
    <x v="5"/>
    <n v="1165.07"/>
    <n v="4"/>
    <n v="349.52"/>
    <n v="0.1"/>
    <s v="Cust 5794"/>
    <s v="Michael Kennedy"/>
    <x v="4"/>
    <s v="Miami"/>
    <s v="Florida"/>
    <x v="0"/>
  </r>
  <r>
    <s v="REG101107"/>
    <x v="204"/>
    <s v="Cust 2917"/>
    <x v="5"/>
    <n v="568.48"/>
    <n v="16"/>
    <n v="170.54"/>
    <n v="0.05"/>
    <s v="Cust 2917"/>
    <s v="Chad Sievert"/>
    <x v="4"/>
    <s v="Seattle"/>
    <s v="Washington"/>
    <x v="0"/>
  </r>
  <r>
    <s v="REG101108"/>
    <x v="651"/>
    <s v="Cust 5659"/>
    <x v="6"/>
    <n v="377.08"/>
    <n v="1"/>
    <n v="113.12"/>
    <n v="0.1"/>
    <s v="Cust 5659"/>
    <s v="John Lucas"/>
    <x v="0"/>
    <s v="San Francisco"/>
    <s v="California"/>
    <x v="0"/>
  </r>
  <r>
    <s v="REG101109"/>
    <x v="603"/>
    <s v="Cust 1857"/>
    <x v="5"/>
    <n v="1300.2"/>
    <n v="12"/>
    <n v="390.06"/>
    <n v="0"/>
    <s v="Cust 1857"/>
    <s v="Allen Rosenblatt"/>
    <x v="0"/>
    <s v="Los Angeles"/>
    <s v="California"/>
    <x v="0"/>
  </r>
  <r>
    <s v="REG101110"/>
    <x v="656"/>
    <s v="Cust 6718"/>
    <x v="6"/>
    <n v="1282.0999999999999"/>
    <n v="5"/>
    <n v="384.63"/>
    <n v="0"/>
    <s v="Cust 6718"/>
    <s v="Liz MacKendrick"/>
    <x v="0"/>
    <s v="Southaven"/>
    <s v="Mississippi"/>
    <x v="0"/>
  </r>
  <r>
    <s v="REG101111"/>
    <x v="56"/>
    <s v="Cust 8378"/>
    <x v="2"/>
    <n v="7846.7"/>
    <n v="16"/>
    <n v="2354.0100000000002"/>
    <n v="0.1"/>
    <s v="Cust 8378"/>
    <s v="Jim Karlsson"/>
    <x v="0"/>
    <s v="Seattle"/>
    <s v="Washington"/>
    <x v="0"/>
  </r>
  <r>
    <s v="REG101112"/>
    <x v="311"/>
    <s v="Cust 3069"/>
    <x v="2"/>
    <n v="2154.98"/>
    <n v="19"/>
    <n v="646.49"/>
    <n v="0"/>
    <s v="Cust 3069"/>
    <s v="Filia McAdams"/>
    <x v="2"/>
    <s v="Middletown"/>
    <s v="Connecticut"/>
    <x v="0"/>
  </r>
  <r>
    <s v="REG101113"/>
    <x v="657"/>
    <s v="Cust 7619"/>
    <x v="1"/>
    <n v="4704.57"/>
    <n v="10"/>
    <n v="1411.37"/>
    <n v="0.1"/>
    <s v="Cust 7619"/>
    <s v="Sarah Foster"/>
    <x v="1"/>
    <s v="New Castle"/>
    <s v="Indiana"/>
    <x v="0"/>
  </r>
  <r>
    <s v="REG101114"/>
    <x v="137"/>
    <s v="Cust 6167"/>
    <x v="6"/>
    <n v="6854.86"/>
    <n v="18"/>
    <n v="2056.46"/>
    <n v="0.15"/>
    <s v="Cust 6167"/>
    <s v="Patrick Jones"/>
    <x v="2"/>
    <s v="Murfreesboro"/>
    <s v="Tennessee"/>
    <x v="0"/>
  </r>
  <r>
    <s v="REG101138"/>
    <x v="576"/>
    <s v="Cust 2453"/>
    <x v="2"/>
    <n v="909.54"/>
    <n v="5"/>
    <n v="272.86"/>
    <n v="0.1"/>
    <s v="Cust 2453"/>
    <s v="Christine Sundaresam"/>
    <x v="2"/>
    <s v="Salem"/>
    <s v="Virginia"/>
    <x v="1"/>
  </r>
  <r>
    <s v="REG101115"/>
    <x v="658"/>
    <s v="Cust 2453"/>
    <x v="5"/>
    <n v="2971.27"/>
    <n v="15"/>
    <n v="891.38"/>
    <n v="0.05"/>
    <s v="Cust 2453"/>
    <s v="Christine Sundaresam"/>
    <x v="2"/>
    <s v="Salem"/>
    <s v="Virginia"/>
    <x v="1"/>
  </r>
  <r>
    <s v="REG101116"/>
    <x v="659"/>
    <s v="Cust 8896"/>
    <x v="0"/>
    <n v="4956.59"/>
    <n v="13"/>
    <n v="1486.98"/>
    <n v="0.1"/>
    <s v="Cust 8896"/>
    <s v="Barry Blumstein"/>
    <x v="3"/>
    <s v="Toledo"/>
    <s v="Ohio"/>
    <x v="1"/>
  </r>
  <r>
    <s v="REG101117"/>
    <x v="493"/>
    <s v="Cust 8800"/>
    <x v="3"/>
    <n v="2347.11"/>
    <n v="5"/>
    <n v="704.13"/>
    <n v="0.15"/>
    <s v="Cust 8800"/>
    <s v="Ben Wallace"/>
    <x v="0"/>
    <s v="Los Angeles"/>
    <s v="California"/>
    <x v="0"/>
  </r>
  <r>
    <s v="REG101118"/>
    <x v="660"/>
    <s v="Cust 1819"/>
    <x v="2"/>
    <n v="163.9"/>
    <n v="1"/>
    <n v="49.17"/>
    <n v="0.1"/>
    <s v="Cust 1819"/>
    <s v="Ricardo Sperren"/>
    <x v="3"/>
    <s v="Seattle"/>
    <s v="Washington"/>
    <x v="1"/>
  </r>
  <r>
    <s v="REG101119"/>
    <x v="661"/>
    <s v="Cust 1300"/>
    <x v="2"/>
    <n v="3101.29"/>
    <n v="7"/>
    <n v="930.39"/>
    <n v="0.05"/>
    <s v="Cust 1300"/>
    <s v="Theresa Swint"/>
    <x v="4"/>
    <s v="Columbus"/>
    <s v="Georgia"/>
    <x v="1"/>
  </r>
  <r>
    <s v="REG101120"/>
    <x v="236"/>
    <s v="Cust 3807"/>
    <x v="4"/>
    <n v="1897.29"/>
    <n v="15"/>
    <n v="569.19000000000005"/>
    <n v="0.1"/>
    <s v="Cust 3807"/>
    <s v="Quincy Jones"/>
    <x v="0"/>
    <s v="New York City"/>
    <s v="New York"/>
    <x v="0"/>
  </r>
  <r>
    <s v="REG101121"/>
    <x v="662"/>
    <s v="Cust 6633"/>
    <x v="2"/>
    <n v="6651.48"/>
    <n v="17"/>
    <n v="1995.44"/>
    <n v="0.15"/>
    <s v="Cust 6633"/>
    <s v="Valerie Dominguez"/>
    <x v="4"/>
    <s v="New York City"/>
    <s v="New York"/>
    <x v="0"/>
  </r>
  <r>
    <s v="REG101122"/>
    <x v="124"/>
    <s v="Cust 6573"/>
    <x v="0"/>
    <n v="664.35"/>
    <n v="5"/>
    <n v="199.31"/>
    <n v="0"/>
    <s v="Cust 6573"/>
    <s v="Jeremy Lonsdale"/>
    <x v="4"/>
    <s v="Midland"/>
    <s v="Michigan"/>
    <x v="0"/>
  </r>
  <r>
    <s v="REG101123"/>
    <x v="549"/>
    <s v="Cust 8600"/>
    <x v="6"/>
    <n v="2392.4"/>
    <n v="12"/>
    <n v="717.72"/>
    <n v="0.05"/>
    <s v="Cust 8600"/>
    <s v="Dionis Lloyd"/>
    <x v="4"/>
    <s v="Columbus"/>
    <s v="Georgia"/>
    <x v="0"/>
  </r>
  <r>
    <s v="REG101124"/>
    <x v="663"/>
    <s v="Cust 8654"/>
    <x v="0"/>
    <n v="253.94"/>
    <n v="9"/>
    <n v="76.180000000000007"/>
    <n v="0.1"/>
    <s v="Cust 8654"/>
    <s v="Meg O'Connel"/>
    <x v="0"/>
    <s v="Roswell"/>
    <s v="Georgia"/>
    <x v="1"/>
  </r>
  <r>
    <s v="REG101125"/>
    <x v="155"/>
    <s v="Cust 3708"/>
    <x v="3"/>
    <n v="3686.21"/>
    <n v="11"/>
    <n v="1105.8599999999999"/>
    <n v="0"/>
    <s v="Cust 3708"/>
    <s v="Ben Peterman"/>
    <x v="2"/>
    <s v="Chicago"/>
    <s v="Illinois"/>
    <x v="0"/>
  </r>
  <r>
    <s v="REG101126"/>
    <x v="664"/>
    <s v="Cust 1268"/>
    <x v="1"/>
    <n v="2219.44"/>
    <n v="8"/>
    <n v="665.83"/>
    <n v="0"/>
    <s v="Cust 1268"/>
    <s v="Michael Stewart"/>
    <x v="0"/>
    <s v="Houston"/>
    <s v="Texas"/>
    <x v="2"/>
  </r>
  <r>
    <s v="REG101127"/>
    <x v="665"/>
    <s v="Cust 5600"/>
    <x v="2"/>
    <n v="1640"/>
    <n v="6"/>
    <n v="492"/>
    <n v="0.05"/>
    <s v="Cust 5600"/>
    <s v="Susan Vittorini"/>
    <x v="4"/>
    <s v="New York City"/>
    <s v="New York"/>
    <x v="1"/>
  </r>
  <r>
    <s v="REG101128"/>
    <x v="551"/>
    <s v="Cust 2438"/>
    <x v="0"/>
    <n v="6112.81"/>
    <n v="14"/>
    <n v="1833.84"/>
    <n v="0.05"/>
    <s v="Cust 2438"/>
    <s v="Becky Castell"/>
    <x v="0"/>
    <s v="Peoria"/>
    <s v="Arizona"/>
    <x v="2"/>
  </r>
  <r>
    <s v="REG101129"/>
    <x v="45"/>
    <s v="Cust 4293"/>
    <x v="6"/>
    <n v="3570.57"/>
    <n v="10"/>
    <n v="1071.17"/>
    <n v="0.1"/>
    <s v="Cust 4293"/>
    <s v="Elizabeth Moffitt"/>
    <x v="2"/>
    <s v="Sioux Falls"/>
    <s v="South Dakota"/>
    <x v="0"/>
  </r>
  <r>
    <s v="REG101130"/>
    <x v="131"/>
    <s v="Cust 6895"/>
    <x v="4"/>
    <n v="10328.6"/>
    <n v="20"/>
    <n v="3098.58"/>
    <n v="0"/>
    <s v="Cust 6895"/>
    <s v="Bradley Drucker"/>
    <x v="1"/>
    <s v="Richmond"/>
    <s v="Virginia"/>
    <x v="2"/>
  </r>
  <r>
    <s v="REG100118"/>
    <x v="132"/>
    <s v="Cust 6895"/>
    <x v="2"/>
    <n v="1984.65"/>
    <n v="5"/>
    <n v="595.4"/>
    <n v="0"/>
    <s v="Cust 6895"/>
    <s v="Bradley Drucker"/>
    <x v="1"/>
    <s v="Richmond"/>
    <s v="Virginia"/>
    <x v="2"/>
  </r>
  <r>
    <s v="REG101131"/>
    <x v="24"/>
    <s v="Cust 2616"/>
    <x v="0"/>
    <n v="269.69"/>
    <n v="1"/>
    <n v="80.91"/>
    <n v="0.1"/>
    <s v="Cust 2616"/>
    <s v="Helen Wasserman"/>
    <x v="0"/>
    <s v="Seattle"/>
    <s v="Washington"/>
    <x v="0"/>
  </r>
  <r>
    <s v="REG101132"/>
    <x v="666"/>
    <s v="Cust 5362"/>
    <x v="3"/>
    <n v="380.64"/>
    <n v="12"/>
    <n v="114.19"/>
    <n v="0"/>
    <s v="Cust 5362"/>
    <s v="Karen Carlisle"/>
    <x v="1"/>
    <s v="Henderson"/>
    <s v="Kentucky"/>
    <x v="0"/>
  </r>
  <r>
    <s v="REG101133"/>
    <x v="502"/>
    <s v="Cust 1670"/>
    <x v="1"/>
    <n v="9505.57"/>
    <n v="17"/>
    <n v="2851.67"/>
    <n v="0.05"/>
    <s v="Cust 1670"/>
    <s v="Brendan Murry"/>
    <x v="3"/>
    <s v="New York City"/>
    <s v="New York"/>
    <x v="2"/>
  </r>
  <r>
    <s v="REG101134"/>
    <x v="117"/>
    <s v="Cust 2254"/>
    <x v="0"/>
    <n v="2011.19"/>
    <n v="11"/>
    <n v="603.36"/>
    <n v="0.1"/>
    <s v="Cust 2254"/>
    <s v="Kristina Nunn"/>
    <x v="0"/>
    <s v="Fort Collins"/>
    <s v="Colorado"/>
    <x v="0"/>
  </r>
  <r>
    <s v="REG101135"/>
    <x v="667"/>
    <s v="Cust 9521"/>
    <x v="5"/>
    <n v="2504.52"/>
    <n v="18"/>
    <n v="751.36"/>
    <n v="0"/>
    <s v="Cust 9521"/>
    <s v="Justin Deggeller"/>
    <x v="3"/>
    <s v="Philadelphia"/>
    <s v="Pennsylvania"/>
    <x v="0"/>
  </r>
  <r>
    <s v="REG101136"/>
    <x v="105"/>
    <s v="Cust 3921"/>
    <x v="5"/>
    <n v="317.98"/>
    <n v="2"/>
    <n v="95.39"/>
    <n v="0"/>
    <s v="Cust 3921"/>
    <s v="Laura Armstrong"/>
    <x v="4"/>
    <s v="Los Angeles"/>
    <s v="California"/>
    <x v="0"/>
  </r>
  <r>
    <s v="REG101137"/>
    <x v="99"/>
    <s v="Cust 7628"/>
    <x v="3"/>
    <n v="1162.8900000000001"/>
    <n v="3"/>
    <n v="348.87"/>
    <n v="0"/>
    <s v="Cust 7628"/>
    <s v="Robert Waldorf"/>
    <x v="0"/>
    <s v="Lafayette"/>
    <s v="Indiana"/>
    <x v="0"/>
  </r>
  <r>
    <s v="REG101138"/>
    <x v="576"/>
    <s v="Cust 2453"/>
    <x v="2"/>
    <n v="909.54"/>
    <n v="5"/>
    <n v="272.86"/>
    <n v="0.1"/>
    <s v="Cust 2453"/>
    <s v="Kelly Williams"/>
    <x v="2"/>
    <s v="Clarksville"/>
    <s v="Tennessee"/>
    <x v="0"/>
  </r>
  <r>
    <s v="REG101115"/>
    <x v="658"/>
    <s v="Cust 2453"/>
    <x v="5"/>
    <n v="2971.27"/>
    <n v="15"/>
    <n v="891.38"/>
    <n v="0.05"/>
    <s v="Cust 2453"/>
    <s v="Kelly Williams"/>
    <x v="2"/>
    <s v="Clarksville"/>
    <s v="Tennessee"/>
    <x v="1"/>
  </r>
  <r>
    <s v="REG101139"/>
    <x v="49"/>
    <s v="Cust 4210"/>
    <x v="2"/>
    <n v="1137.54"/>
    <n v="4"/>
    <n v="341.26"/>
    <n v="0.15"/>
    <s v="Cust 4210"/>
    <s v="Chris Cortes"/>
    <x v="2"/>
    <s v="Fairfield"/>
    <s v="Connecticut"/>
    <x v="1"/>
  </r>
  <r>
    <s v="REG101140"/>
    <x v="668"/>
    <s v="Cust 1951"/>
    <x v="1"/>
    <n v="6619.26"/>
    <n v="16"/>
    <n v="1985.78"/>
    <n v="0.15"/>
    <s v="Cust 1951"/>
    <s v="Rick Hansen"/>
    <x v="4"/>
    <s v="New York City"/>
    <s v="New York"/>
    <x v="1"/>
  </r>
  <r>
    <s v="REG101141"/>
    <x v="669"/>
    <s v="Cust 9405"/>
    <x v="5"/>
    <n v="320.08999999999997"/>
    <n v="2"/>
    <n v="96.03"/>
    <n v="0.15"/>
    <s v="Cust 9405"/>
    <s v="Jim Karlsson"/>
    <x v="2"/>
    <s v="Columbus"/>
    <s v="Ohio"/>
    <x v="0"/>
  </r>
  <r>
    <s v="REG101142"/>
    <x v="80"/>
    <s v="Cust 8769"/>
    <x v="0"/>
    <n v="664.84"/>
    <n v="3"/>
    <n v="199.45"/>
    <n v="0.15"/>
    <s v="Cust 8769"/>
    <s v="Debra Catini"/>
    <x v="1"/>
    <s v="Warner Robins"/>
    <s v="Georgia"/>
    <x v="0"/>
  </r>
  <r>
    <s v="REG101143"/>
    <x v="48"/>
    <s v="Cust 9982"/>
    <x v="2"/>
    <n v="1934.66"/>
    <n v="6"/>
    <n v="580.4"/>
    <n v="0.1"/>
    <s v="Cust 9982"/>
    <s v="Gary Mitchum"/>
    <x v="0"/>
    <s v="Franklin"/>
    <s v="Massachusetts"/>
    <x v="0"/>
  </r>
  <r>
    <s v="REG101073"/>
    <x v="262"/>
    <s v="Cust 9982"/>
    <x v="3"/>
    <n v="80.959999999999994"/>
    <n v="1"/>
    <n v="24.29"/>
    <n v="0"/>
    <s v="Cust 9982"/>
    <s v="Gary Mitchum"/>
    <x v="0"/>
    <s v="Franklin"/>
    <s v="Massachusetts"/>
    <x v="0"/>
  </r>
  <r>
    <s v="REG101144"/>
    <x v="670"/>
    <s v="Cust 4068"/>
    <x v="2"/>
    <n v="5764.12"/>
    <n v="13"/>
    <n v="1729.24"/>
    <n v="0.1"/>
    <s v="Cust 4068"/>
    <s v="Carl Ludwig"/>
    <x v="2"/>
    <s v="Chicago"/>
    <s v="Illinois"/>
    <x v="0"/>
  </r>
  <r>
    <s v="REG101145"/>
    <x v="602"/>
    <s v="Cust 3523"/>
    <x v="3"/>
    <n v="1045.1400000000001"/>
    <n v="3"/>
    <n v="313.54000000000002"/>
    <n v="0"/>
    <s v="Cust 3523"/>
    <s v="Paul Van Hugh"/>
    <x v="1"/>
    <s v="Milwaukee"/>
    <s v="Wisconsin"/>
    <x v="0"/>
  </r>
  <r>
    <s v="REG101146"/>
    <x v="143"/>
    <s v="Cust 3377"/>
    <x v="1"/>
    <n v="2494.2600000000002"/>
    <n v="6"/>
    <n v="748.28"/>
    <n v="0.05"/>
    <s v="Cust 3377"/>
    <s v="Liz Thompson"/>
    <x v="2"/>
    <s v="San Antonio"/>
    <s v="Texas"/>
    <x v="0"/>
  </r>
  <r>
    <s v="REG101147"/>
    <x v="671"/>
    <s v="Cust 3125"/>
    <x v="4"/>
    <n v="2019.34"/>
    <n v="19"/>
    <n v="605.79999999999995"/>
    <n v="0.1"/>
    <s v="Cust 3125"/>
    <s v="Alice McCarthy"/>
    <x v="2"/>
    <s v="Los Angeles"/>
    <s v="California"/>
    <x v="0"/>
  </r>
  <r>
    <s v="REG101148"/>
    <x v="471"/>
    <s v="Cust 4623"/>
    <x v="6"/>
    <n v="2687.12"/>
    <n v="15"/>
    <n v="806.14"/>
    <n v="0.05"/>
    <s v="Cust 4623"/>
    <s v="Scott Cohen"/>
    <x v="4"/>
    <s v="San Francisco"/>
    <s v="California"/>
    <x v="1"/>
  </r>
  <r>
    <s v="REG101149"/>
    <x v="672"/>
    <s v="Cust 4571"/>
    <x v="1"/>
    <n v="1605.92"/>
    <n v="8"/>
    <n v="481.78"/>
    <n v="0"/>
    <s v="Cust 4571"/>
    <s v="Christine Phan"/>
    <x v="4"/>
    <s v="New York City"/>
    <s v="New York"/>
    <x v="1"/>
  </r>
  <r>
    <s v="REG101150"/>
    <x v="337"/>
    <s v="Cust 6453"/>
    <x v="0"/>
    <n v="362.33"/>
    <n v="3"/>
    <n v="108.7"/>
    <n v="0.15"/>
    <s v="Cust 6453"/>
    <s v="Roy FranzÃƒÂ¶sisch"/>
    <x v="0"/>
    <s v="Columbus"/>
    <s v="Ohio"/>
    <x v="1"/>
  </r>
  <r>
    <s v="REG100377"/>
    <x v="314"/>
    <s v="Cust 6453"/>
    <x v="6"/>
    <n v="2206.2600000000002"/>
    <n v="9"/>
    <n v="661.88"/>
    <n v="0"/>
    <s v="Cust 6453"/>
    <s v="Roy FranzÃƒÂ¶sisch"/>
    <x v="0"/>
    <s v="Columbus"/>
    <s v="Ohio"/>
    <x v="1"/>
  </r>
  <r>
    <s v="REG101151"/>
    <x v="115"/>
    <s v="Cust 6982"/>
    <x v="6"/>
    <n v="7777.62"/>
    <n v="15"/>
    <n v="2333.29"/>
    <n v="0.1"/>
    <s v="Cust 6982"/>
    <s v="Adam Bellavance"/>
    <x v="2"/>
    <s v="Waynesboro"/>
    <s v="Virginia"/>
    <x v="0"/>
  </r>
  <r>
    <s v="REG101152"/>
    <x v="59"/>
    <s v="Cust 6824"/>
    <x v="2"/>
    <n v="741.82"/>
    <n v="9"/>
    <n v="222.55"/>
    <n v="0.15"/>
    <s v="Cust 6824"/>
    <s v="Erica Hackney"/>
    <x v="1"/>
    <s v="Sacramento"/>
    <s v="California"/>
    <x v="0"/>
  </r>
  <r>
    <s v="REG101153"/>
    <x v="673"/>
    <s v="Cust 3172"/>
    <x v="6"/>
    <n v="3150.68"/>
    <n v="17"/>
    <n v="945.2"/>
    <n v="0.15"/>
    <s v="Cust 3172"/>
    <s v="Michael Nguyen"/>
    <x v="2"/>
    <s v="Clinton"/>
    <s v="Maryland"/>
    <x v="0"/>
  </r>
  <r>
    <s v="REG101154"/>
    <x v="186"/>
    <s v="Cust 8146"/>
    <x v="2"/>
    <n v="291.33"/>
    <n v="2"/>
    <n v="87.4"/>
    <n v="0.05"/>
    <s v="Cust 8146"/>
    <s v="Kelly Lampkin"/>
    <x v="1"/>
    <s v="Fairfield"/>
    <s v="Ohio"/>
    <x v="0"/>
  </r>
  <r>
    <s v="REG101155"/>
    <x v="674"/>
    <s v="Cust 3299"/>
    <x v="4"/>
    <n v="2276.06"/>
    <n v="8"/>
    <n v="682.82"/>
    <n v="0.1"/>
    <s v="Cust 3299"/>
    <s v="Michael Paige"/>
    <x v="2"/>
    <s v="Warwick"/>
    <s v="Rhode Island"/>
    <x v="0"/>
  </r>
  <r>
    <s v="REG101156"/>
    <x v="328"/>
    <s v="Cust 6476"/>
    <x v="4"/>
    <n v="1896.59"/>
    <n v="13"/>
    <n v="568.98"/>
    <n v="0.05"/>
    <s v="Cust 6476"/>
    <s v="Barry FranzÃƒÂ¶sisch"/>
    <x v="3"/>
    <s v="Aurora"/>
    <s v="Illinois"/>
    <x v="1"/>
  </r>
  <r>
    <s v="REG101157"/>
    <x v="479"/>
    <s v="Cust 9835"/>
    <x v="4"/>
    <n v="1385.26"/>
    <n v="7"/>
    <n v="415.58"/>
    <n v="0.05"/>
    <s v="Cust 9835"/>
    <s v="Theone Pippenger"/>
    <x v="4"/>
    <s v="Smyrna"/>
    <s v="Georgia"/>
    <x v="1"/>
  </r>
  <r>
    <s v="REG101158"/>
    <x v="173"/>
    <s v="Cust 1003"/>
    <x v="3"/>
    <n v="289.73"/>
    <n v="2"/>
    <n v="86.92"/>
    <n v="0.1"/>
    <s v="Cust 1003"/>
    <s v="Maxwell Schwartz"/>
    <x v="2"/>
    <s v="Columbus"/>
    <s v="Ohio"/>
    <x v="1"/>
  </r>
  <r>
    <s v="REG101159"/>
    <x v="394"/>
    <s v="Cust 9705"/>
    <x v="5"/>
    <n v="1009.18"/>
    <n v="3"/>
    <n v="302.75"/>
    <n v="0.1"/>
    <s v="Cust 9705"/>
    <s v="Katherine Murray"/>
    <x v="2"/>
    <s v="Thousand Oaks"/>
    <s v="California"/>
    <x v="1"/>
  </r>
  <r>
    <s v="REG101160"/>
    <x v="507"/>
    <s v="Cust 3421"/>
    <x v="4"/>
    <n v="3612.6"/>
    <n v="20"/>
    <n v="1083.78"/>
    <n v="0.1"/>
    <s v="Cust 3421"/>
    <s v="Brad Eason"/>
    <x v="3"/>
    <s v="Lorain"/>
    <s v="Ohio"/>
    <x v="1"/>
  </r>
  <r>
    <s v="REG101161"/>
    <x v="675"/>
    <s v="Cust 1690"/>
    <x v="2"/>
    <n v="1377.66"/>
    <n v="14"/>
    <n v="413.3"/>
    <n v="0.15"/>
    <s v="Cust 1690"/>
    <s v="Christina VanderZanden"/>
    <x v="3"/>
    <s v="Fresno"/>
    <s v="California"/>
    <x v="1"/>
  </r>
  <r>
    <s v="REG101162"/>
    <x v="227"/>
    <s v="Cust 2507"/>
    <x v="1"/>
    <n v="5782.43"/>
    <n v="12"/>
    <n v="1734.73"/>
    <n v="0.1"/>
    <s v="Cust 2507"/>
    <s v="Dennis Kane"/>
    <x v="4"/>
    <s v="San Diego"/>
    <s v="California"/>
    <x v="1"/>
  </r>
  <r>
    <s v="REG101163"/>
    <x v="594"/>
    <s v="Cust 9880"/>
    <x v="2"/>
    <n v="1118.77"/>
    <n v="12"/>
    <n v="335.63"/>
    <n v="0.1"/>
    <s v="Cust 9880"/>
    <s v="Speros Goranitis"/>
    <x v="1"/>
    <s v="New York City"/>
    <s v="New York"/>
    <x v="1"/>
  </r>
  <r>
    <s v="REG101164"/>
    <x v="102"/>
    <s v="Cust 3972"/>
    <x v="0"/>
    <n v="3015.07"/>
    <n v="18"/>
    <n v="904.52"/>
    <n v="0.05"/>
    <s v="Cust 3972"/>
    <s v="Christine Sundaresam"/>
    <x v="4"/>
    <s v="Malden"/>
    <s v="Massachusetts"/>
    <x v="2"/>
  </r>
  <r>
    <s v="REG101165"/>
    <x v="8"/>
    <s v="Cust 8280"/>
    <x v="4"/>
    <n v="505.98"/>
    <n v="5"/>
    <n v="151.79"/>
    <n v="0.1"/>
    <s v="Cust 8280"/>
    <s v="Patrick Jones"/>
    <x v="2"/>
    <s v="New York City"/>
    <s v="New York"/>
    <x v="0"/>
  </r>
  <r>
    <s v="REG100153"/>
    <x v="152"/>
    <s v="Cust 8280"/>
    <x v="1"/>
    <n v="5357.06"/>
    <n v="13"/>
    <n v="1607.12"/>
    <n v="0.05"/>
    <s v="Cust 8280"/>
    <s v="Patrick Jones"/>
    <x v="2"/>
    <s v="New York City"/>
    <s v="New York"/>
    <x v="0"/>
  </r>
  <r>
    <s v="REG101350"/>
    <x v="676"/>
    <s v="Cust 4205"/>
    <x v="6"/>
    <n v="2375.65"/>
    <n v="16"/>
    <n v="712.69"/>
    <n v="0.15"/>
    <s v="Cust 4205"/>
    <s v="Nora Preis"/>
    <x v="4"/>
    <s v="San Francisco"/>
    <s v="California"/>
    <x v="2"/>
  </r>
  <r>
    <s v="REG101166"/>
    <x v="30"/>
    <s v="Cust 4205"/>
    <x v="3"/>
    <n v="386"/>
    <n v="20"/>
    <n v="115.8"/>
    <n v="0"/>
    <s v="Cust 4205"/>
    <s v="Nora Preis"/>
    <x v="4"/>
    <s v="San Francisco"/>
    <s v="California"/>
    <x v="0"/>
  </r>
  <r>
    <s v="REG101167"/>
    <x v="135"/>
    <s v="Cust 2579"/>
    <x v="1"/>
    <n v="1993.09"/>
    <n v="9"/>
    <n v="597.92999999999995"/>
    <n v="0.05"/>
    <s v="Cust 2579"/>
    <s v="Sean Braxton"/>
    <x v="1"/>
    <s v="Florence"/>
    <s v="South Carolina"/>
    <x v="0"/>
  </r>
  <r>
    <s v="REG101168"/>
    <x v="657"/>
    <s v="Cust 7265"/>
    <x v="4"/>
    <n v="960.64"/>
    <n v="17"/>
    <n v="288.19"/>
    <n v="0.15"/>
    <s v="Cust 7265"/>
    <s v="Harry Marie"/>
    <x v="4"/>
    <s v="Huntsville"/>
    <s v="Texas"/>
    <x v="0"/>
  </r>
  <r>
    <s v="REG101169"/>
    <x v="423"/>
    <s v="Cust 1199"/>
    <x v="0"/>
    <n v="7720.84"/>
    <n v="17"/>
    <n v="2316.25"/>
    <n v="0.1"/>
    <s v="Cust 1199"/>
    <s v="Mike Gockenbach"/>
    <x v="1"/>
    <s v="Los Angeles"/>
    <s v="California"/>
    <x v="0"/>
  </r>
  <r>
    <s v="REG101170"/>
    <x v="628"/>
    <s v="Cust 2928"/>
    <x v="6"/>
    <n v="1022.43"/>
    <n v="11"/>
    <n v="306.73"/>
    <n v="0.05"/>
    <s v="Cust 2928"/>
    <s v="Tamara Manning"/>
    <x v="4"/>
    <s v="San Francisco"/>
    <s v="California"/>
    <x v="0"/>
  </r>
  <r>
    <s v="REG101171"/>
    <x v="195"/>
    <s v="Cust 9447"/>
    <x v="6"/>
    <n v="2785.43"/>
    <n v="7"/>
    <n v="835.63"/>
    <n v="0.15"/>
    <s v="Cust 9447"/>
    <s v="Bill Eplett"/>
    <x v="0"/>
    <s v="San Francisco"/>
    <s v="California"/>
    <x v="0"/>
  </r>
  <r>
    <s v="REG101172"/>
    <x v="295"/>
    <s v="Cust 9095"/>
    <x v="6"/>
    <n v="9057.11"/>
    <n v="20"/>
    <n v="2717.13"/>
    <n v="0.05"/>
    <s v="Cust 9095"/>
    <s v="Ann Steele"/>
    <x v="4"/>
    <s v="Philadelphia"/>
    <s v="Pennsylvania"/>
    <x v="0"/>
  </r>
  <r>
    <s v="REG101173"/>
    <x v="80"/>
    <s v="Cust 7587"/>
    <x v="1"/>
    <n v="273.24"/>
    <n v="2"/>
    <n v="81.97"/>
    <n v="0.15"/>
    <s v="Cust 7587"/>
    <s v="Eleni McCrary"/>
    <x v="2"/>
    <s v="Los Angeles"/>
    <s v="California"/>
    <x v="0"/>
  </r>
  <r>
    <s v="REG101174"/>
    <x v="677"/>
    <s v="Cust 2611"/>
    <x v="6"/>
    <n v="1751.7"/>
    <n v="9"/>
    <n v="525.51"/>
    <n v="0.15"/>
    <s v="Cust 2611"/>
    <s v="Joseph Airdo"/>
    <x v="4"/>
    <s v="Los Angeles"/>
    <s v="California"/>
    <x v="0"/>
  </r>
  <r>
    <s v="REG101175"/>
    <x v="678"/>
    <s v="Cust 8284"/>
    <x v="6"/>
    <n v="6393.5"/>
    <n v="19"/>
    <n v="1918.05"/>
    <n v="0"/>
    <s v="Cust 8284"/>
    <s v="Troy Blackwell"/>
    <x v="0"/>
    <s v="Milwaukee"/>
    <s v="Wisconsin"/>
    <x v="2"/>
  </r>
  <r>
    <s v="REG101176"/>
    <x v="679"/>
    <s v="Cust 8154"/>
    <x v="4"/>
    <n v="7408.62"/>
    <n v="18"/>
    <n v="2222.59"/>
    <n v="0"/>
    <s v="Cust 8154"/>
    <s v="Paul Prost"/>
    <x v="0"/>
    <s v="Holyoke"/>
    <s v="Massachusetts"/>
    <x v="2"/>
  </r>
  <r>
    <s v="REG101177"/>
    <x v="316"/>
    <s v="Cust 5215"/>
    <x v="4"/>
    <n v="366.77"/>
    <n v="1"/>
    <n v="110.03"/>
    <n v="0.15"/>
    <s v="Cust 5215"/>
    <s v="Michelle Lonsdale"/>
    <x v="3"/>
    <s v="Albuquerque"/>
    <s v="New Mexico"/>
    <x v="2"/>
  </r>
  <r>
    <s v="REG101178"/>
    <x v="680"/>
    <s v="Cust 5309"/>
    <x v="0"/>
    <n v="8917.02"/>
    <n v="18"/>
    <n v="2675.11"/>
    <n v="0"/>
    <s v="Cust 5309"/>
    <s v="Linda Cazamias"/>
    <x v="0"/>
    <s v="Sparks"/>
    <s v="Nevada"/>
    <x v="2"/>
  </r>
  <r>
    <s v="REG101179"/>
    <x v="98"/>
    <s v="Cust 2016"/>
    <x v="1"/>
    <n v="537.48"/>
    <n v="4"/>
    <n v="161.24"/>
    <n v="0.1"/>
    <s v="Cust 2016"/>
    <s v="Matt Collister"/>
    <x v="4"/>
    <s v="Coachella"/>
    <s v="California"/>
    <x v="2"/>
  </r>
  <r>
    <s v="REG101180"/>
    <x v="102"/>
    <s v="Cust 2676"/>
    <x v="2"/>
    <n v="2915.51"/>
    <n v="18"/>
    <n v="874.65"/>
    <n v="0.1"/>
    <s v="Cust 2676"/>
    <s v="Clay Rozendal"/>
    <x v="3"/>
    <s v="Elmhurst"/>
    <s v="Illinois"/>
    <x v="2"/>
  </r>
  <r>
    <s v="REG101181"/>
    <x v="152"/>
    <s v="Cust 7529"/>
    <x v="3"/>
    <n v="3982.91"/>
    <n v="11"/>
    <n v="1194.8699999999999"/>
    <n v="0.05"/>
    <s v="Cust 7529"/>
    <s v="Susan Vittorini"/>
    <x v="1"/>
    <s v="Fairfield"/>
    <s v="Ohio"/>
    <x v="2"/>
  </r>
  <r>
    <s v="REG101182"/>
    <x v="681"/>
    <s v="Cust 6172"/>
    <x v="3"/>
    <n v="2159.4499999999998"/>
    <n v="5"/>
    <n v="647.83000000000004"/>
    <n v="0.05"/>
    <s v="Cust 6172"/>
    <s v="Mary Zewe"/>
    <x v="2"/>
    <s v="Arlington"/>
    <s v="Texas"/>
    <x v="2"/>
  </r>
  <r>
    <s v="REG101183"/>
    <x v="682"/>
    <s v="Cust 2527"/>
    <x v="1"/>
    <n v="3466.37"/>
    <n v="17"/>
    <n v="1039.9100000000001"/>
    <n v="0.1"/>
    <s v="Cust 2527"/>
    <s v="Ross Baird"/>
    <x v="0"/>
    <s v="San Francisco"/>
    <s v="California"/>
    <x v="2"/>
  </r>
  <r>
    <s v="REG101184"/>
    <x v="175"/>
    <s v="Cust 1970"/>
    <x v="0"/>
    <n v="265.82"/>
    <n v="2"/>
    <n v="79.75"/>
    <n v="0"/>
    <s v="Cust 1970"/>
    <s v="Harry Marie"/>
    <x v="4"/>
    <s v="Seattle"/>
    <s v="Washington"/>
    <x v="2"/>
  </r>
  <r>
    <s v="REG101185"/>
    <x v="321"/>
    <s v="Cust 9543"/>
    <x v="2"/>
    <n v="71.38"/>
    <n v="2"/>
    <n v="21.41"/>
    <n v="0"/>
    <s v="Cust 9543"/>
    <s v="Annie Zypern"/>
    <x v="1"/>
    <s v="New York City"/>
    <s v="New York"/>
    <x v="2"/>
  </r>
  <r>
    <s v="REG101186"/>
    <x v="142"/>
    <s v="Cust 2957"/>
    <x v="2"/>
    <n v="2304.84"/>
    <n v="6"/>
    <n v="691.45"/>
    <n v="0.15"/>
    <s v="Cust 2957"/>
    <s v="Jonathan Howell"/>
    <x v="2"/>
    <s v="Houston"/>
    <s v="Texas"/>
    <x v="2"/>
  </r>
  <r>
    <s v="REG101187"/>
    <x v="505"/>
    <s v="Cust 2852"/>
    <x v="0"/>
    <n v="1798.63"/>
    <n v="7"/>
    <n v="539.59"/>
    <n v="0.05"/>
    <s v="Cust 2852"/>
    <s v="Patrick Jones"/>
    <x v="1"/>
    <s v="Springfield"/>
    <s v="Virginia"/>
    <x v="1"/>
  </r>
  <r>
    <s v="REG101188"/>
    <x v="683"/>
    <s v="Cust 6365"/>
    <x v="1"/>
    <n v="684.93"/>
    <n v="13"/>
    <n v="205.48"/>
    <n v="0.05"/>
    <s v="Cust 6365"/>
    <s v="Christina Anderson"/>
    <x v="1"/>
    <s v="Farmington"/>
    <s v="New Mexico"/>
    <x v="1"/>
  </r>
  <r>
    <s v="REG101189"/>
    <x v="98"/>
    <s v="Cust 9159"/>
    <x v="6"/>
    <n v="7443.48"/>
    <n v="17"/>
    <n v="2233.0500000000002"/>
    <n v="0.15"/>
    <s v="Cust 9159"/>
    <s v="Pierre Wener"/>
    <x v="3"/>
    <s v="Louisville"/>
    <s v="Colorado"/>
    <x v="1"/>
  </r>
  <r>
    <s v="REG100087"/>
    <x v="99"/>
    <s v="Cust 9159"/>
    <x v="6"/>
    <n v="9870.1200000000008"/>
    <n v="20"/>
    <n v="2961.04"/>
    <n v="0.1"/>
    <s v="Cust 9159"/>
    <s v="Pierre Wener"/>
    <x v="3"/>
    <s v="Louisville"/>
    <s v="Colorado"/>
    <x v="0"/>
  </r>
  <r>
    <s v="REG101190"/>
    <x v="444"/>
    <s v="Cust 3252"/>
    <x v="1"/>
    <n v="256.63"/>
    <n v="1"/>
    <n v="76.989999999999995"/>
    <n v="0"/>
    <s v="Cust 3252"/>
    <s v="Shaun Weien"/>
    <x v="2"/>
    <s v="Tampa"/>
    <s v="Florida"/>
    <x v="0"/>
  </r>
  <r>
    <s v="REG101191"/>
    <x v="437"/>
    <s v="Cust 8679"/>
    <x v="6"/>
    <n v="1611.16"/>
    <n v="4"/>
    <n v="483.35"/>
    <n v="0.05"/>
    <s v="Cust 8679"/>
    <s v="Art Ferguson"/>
    <x v="2"/>
    <s v="Passaic"/>
    <s v="New Jersey"/>
    <x v="0"/>
  </r>
  <r>
    <s v="REG101192"/>
    <x v="137"/>
    <s v="Cust 5547"/>
    <x v="0"/>
    <n v="1109.93"/>
    <n v="15"/>
    <n v="332.98"/>
    <n v="0.05"/>
    <s v="Cust 5547"/>
    <s v="Anne McFarland"/>
    <x v="4"/>
    <s v="Los Angeles"/>
    <s v="California"/>
    <x v="0"/>
  </r>
  <r>
    <s v="REG101193"/>
    <x v="684"/>
    <s v="Cust 9438"/>
    <x v="1"/>
    <n v="136.22999999999999"/>
    <n v="12"/>
    <n v="40.869999999999997"/>
    <n v="0.05"/>
    <s v="Cust 9438"/>
    <s v="Bill Donatelli"/>
    <x v="2"/>
    <s v="Philadelphia"/>
    <s v="Pennsylvania"/>
    <x v="2"/>
  </r>
  <r>
    <s v="REG101194"/>
    <x v="120"/>
    <s v="Cust 9092"/>
    <x v="2"/>
    <n v="422.42"/>
    <n v="7"/>
    <n v="126.72"/>
    <n v="0.1"/>
    <s v="Cust 9092"/>
    <s v="Christopher Martinez"/>
    <x v="0"/>
    <s v="North Charleston"/>
    <s v="South Carolina"/>
    <x v="2"/>
  </r>
  <r>
    <s v="REG100107"/>
    <x v="121"/>
    <s v="Cust 9092"/>
    <x v="4"/>
    <n v="6616.66"/>
    <n v="16"/>
    <n v="1985"/>
    <n v="0.1"/>
    <s v="Cust 9092"/>
    <s v="Christopher Martinez"/>
    <x v="0"/>
    <s v="North Charleston"/>
    <s v="South Carolina"/>
    <x v="2"/>
  </r>
  <r>
    <s v="REG101195"/>
    <x v="221"/>
    <s v="Cust 7007"/>
    <x v="1"/>
    <n v="1908.12"/>
    <n v="19"/>
    <n v="572.44000000000005"/>
    <n v="0.15"/>
    <s v="Cust 7007"/>
    <s v="Christopher Schild"/>
    <x v="2"/>
    <s v="San Jose"/>
    <s v="California"/>
    <x v="2"/>
  </r>
  <r>
    <s v="REG101196"/>
    <x v="208"/>
    <s v="Cust 3001"/>
    <x v="4"/>
    <n v="1556.79"/>
    <n v="16"/>
    <n v="467.04"/>
    <n v="0.15"/>
    <s v="Cust 3001"/>
    <s v="Denny Blanton"/>
    <x v="2"/>
    <s v="New York City"/>
    <s v="New York"/>
    <x v="2"/>
  </r>
  <r>
    <s v="REG100211"/>
    <x v="209"/>
    <s v="Cust 3001"/>
    <x v="4"/>
    <n v="162.11000000000001"/>
    <n v="1"/>
    <n v="48.63"/>
    <n v="0.1"/>
    <s v="Cust 3001"/>
    <s v="Denny Blanton"/>
    <x v="2"/>
    <s v="New York City"/>
    <s v="New York"/>
    <x v="2"/>
  </r>
  <r>
    <s v="REG101197"/>
    <x v="685"/>
    <s v="Cust 5771"/>
    <x v="5"/>
    <n v="277.01"/>
    <n v="9"/>
    <n v="83.1"/>
    <n v="0.15"/>
    <s v="Cust 5771"/>
    <s v="James Galang"/>
    <x v="2"/>
    <s v="Plainfield"/>
    <s v="New Jersey"/>
    <x v="2"/>
  </r>
  <r>
    <s v="REG101198"/>
    <x v="334"/>
    <s v="Cust 4317"/>
    <x v="4"/>
    <n v="473.22"/>
    <n v="10"/>
    <n v="141.97"/>
    <n v="0.1"/>
    <s v="Cust 4317"/>
    <s v="Shahid Collister"/>
    <x v="4"/>
    <s v="Seattle"/>
    <s v="Washington"/>
    <x v="0"/>
  </r>
  <r>
    <s v="REG101199"/>
    <x v="227"/>
    <s v="Cust 3627"/>
    <x v="1"/>
    <n v="1470.2"/>
    <n v="6"/>
    <n v="441.06"/>
    <n v="0.1"/>
    <s v="Cust 3627"/>
    <s v="Chuck Sachs"/>
    <x v="0"/>
    <s v="New York City"/>
    <s v="New York"/>
    <x v="0"/>
  </r>
  <r>
    <s v="REG101200"/>
    <x v="149"/>
    <s v="Cust 4433"/>
    <x v="3"/>
    <n v="1062.25"/>
    <n v="10"/>
    <n v="318.67"/>
    <n v="0.15"/>
    <s v="Cust 4433"/>
    <s v="Mike Kennedy"/>
    <x v="3"/>
    <s v="Newport News"/>
    <s v="Virginia"/>
    <x v="0"/>
  </r>
  <r>
    <s v="REG101201"/>
    <x v="281"/>
    <s v="Cust 6231"/>
    <x v="1"/>
    <n v="1954.7"/>
    <n v="9"/>
    <n v="586.41"/>
    <n v="0.05"/>
    <s v="Cust 6231"/>
    <s v="Carlos Meador"/>
    <x v="2"/>
    <s v="Fayetteville"/>
    <s v="North Carolina"/>
    <x v="2"/>
  </r>
  <r>
    <s v="REG101202"/>
    <x v="254"/>
    <s v="Cust 8987"/>
    <x v="0"/>
    <n v="4809.47"/>
    <n v="20"/>
    <n v="1442.84"/>
    <n v="0.15"/>
    <s v="Cust 8987"/>
    <s v="Phillip Flathmann"/>
    <x v="3"/>
    <s v="Los Angeles"/>
    <s v="California"/>
    <x v="1"/>
  </r>
  <r>
    <s v="REG101203"/>
    <x v="453"/>
    <s v="Cust 4510"/>
    <x v="6"/>
    <n v="1873.01"/>
    <n v="17"/>
    <n v="561.9"/>
    <n v="0.15"/>
    <s v="Cust 4510"/>
    <s v="Greg Maxwell"/>
    <x v="4"/>
    <s v="Los Angeles"/>
    <s v="California"/>
    <x v="1"/>
  </r>
  <r>
    <s v="REG101204"/>
    <x v="686"/>
    <s v="Cust 7003"/>
    <x v="5"/>
    <n v="925.4"/>
    <n v="6"/>
    <n v="277.62"/>
    <n v="0.05"/>
    <s v="Cust 7003"/>
    <s v="Dan Campbell"/>
    <x v="3"/>
    <s v="New York City"/>
    <s v="New York"/>
    <x v="0"/>
  </r>
  <r>
    <s v="REG101205"/>
    <x v="608"/>
    <s v="Cust 6546"/>
    <x v="4"/>
    <n v="2937.48"/>
    <n v="14"/>
    <n v="881.24"/>
    <n v="0"/>
    <s v="Cust 6546"/>
    <s v="Frank Olsen"/>
    <x v="1"/>
    <s v="Dallas"/>
    <s v="Texas"/>
    <x v="2"/>
  </r>
  <r>
    <s v="REG101206"/>
    <x v="299"/>
    <s v="Cust 2951"/>
    <x v="0"/>
    <n v="4460.29"/>
    <n v="16"/>
    <n v="1338.09"/>
    <n v="0.05"/>
    <s v="Cust 2951"/>
    <s v="Alan Hwang"/>
    <x v="2"/>
    <s v="Seattle"/>
    <s v="Washington"/>
    <x v="2"/>
  </r>
  <r>
    <s v="REG101207"/>
    <x v="35"/>
    <s v="Cust 4673"/>
    <x v="1"/>
    <n v="1734.61"/>
    <n v="11"/>
    <n v="520.38"/>
    <n v="0.15"/>
    <s v="Cust 4673"/>
    <s v="Kristina Nunn"/>
    <x v="2"/>
    <s v="Seattle"/>
    <s v="Washington"/>
    <x v="1"/>
  </r>
  <r>
    <s v="REG101208"/>
    <x v="81"/>
    <s v="Cust 5988"/>
    <x v="2"/>
    <n v="4106.21"/>
    <n v="18"/>
    <n v="1231.8599999999999"/>
    <n v="0.15"/>
    <s v="Cust 5988"/>
    <s v="Claudia Bergmann"/>
    <x v="3"/>
    <s v="Newark"/>
    <s v="Delaware"/>
    <x v="1"/>
  </r>
  <r>
    <s v="REG101209"/>
    <x v="566"/>
    <s v="Cust 3922"/>
    <x v="4"/>
    <n v="8862.2099999999991"/>
    <n v="18"/>
    <n v="2658.66"/>
    <n v="0.1"/>
    <s v="Cust 3922"/>
    <s v="Tim Brockman"/>
    <x v="0"/>
    <s v="New York City"/>
    <s v="New York"/>
    <x v="1"/>
  </r>
  <r>
    <s v="REG101210"/>
    <x v="85"/>
    <s v="Cust 9853"/>
    <x v="0"/>
    <n v="301.08"/>
    <n v="1"/>
    <n v="90.32"/>
    <n v="0.15"/>
    <s v="Cust 9853"/>
    <s v="Katherine Ducich"/>
    <x v="1"/>
    <s v="Los Angeles"/>
    <s v="California"/>
    <x v="1"/>
  </r>
  <r>
    <s v="REG101211"/>
    <x v="194"/>
    <s v="Cust 6168"/>
    <x v="3"/>
    <n v="4290.8999999999996"/>
    <n v="18"/>
    <n v="1287.27"/>
    <n v="0.05"/>
    <s v="Cust 6168"/>
    <s v="John Murray"/>
    <x v="1"/>
    <s v="Jamestown"/>
    <s v="New York"/>
    <x v="1"/>
  </r>
  <r>
    <s v="REG101212"/>
    <x v="687"/>
    <s v="Cust 3175"/>
    <x v="4"/>
    <n v="8984.93"/>
    <n v="18"/>
    <n v="2695.48"/>
    <n v="0.15"/>
    <s v="Cust 3175"/>
    <s v="Kean Thornton"/>
    <x v="4"/>
    <s v="Houston"/>
    <s v="Texas"/>
    <x v="1"/>
  </r>
  <r>
    <s v="REG101213"/>
    <x v="176"/>
    <s v="Cust 1813"/>
    <x v="2"/>
    <n v="876.12"/>
    <n v="2"/>
    <n v="262.83999999999997"/>
    <n v="0"/>
    <s v="Cust 1813"/>
    <s v="Sonia Cooley"/>
    <x v="4"/>
    <s v="Mishawaka"/>
    <s v="Indiana"/>
    <x v="1"/>
  </r>
  <r>
    <s v="REG101214"/>
    <x v="217"/>
    <s v="Cust 7749"/>
    <x v="3"/>
    <n v="72.59"/>
    <n v="14"/>
    <n v="21.78"/>
    <n v="0.15"/>
    <s v="Cust 7749"/>
    <s v="Bryan Spruell"/>
    <x v="0"/>
    <s v="San Diego"/>
    <s v="California"/>
    <x v="1"/>
  </r>
  <r>
    <s v="REG101215"/>
    <x v="290"/>
    <s v="Cust 3416"/>
    <x v="0"/>
    <n v="160.28"/>
    <n v="2"/>
    <n v="48.08"/>
    <n v="0"/>
    <s v="Cust 3416"/>
    <s v="Bill Tyler"/>
    <x v="2"/>
    <s v="San Francisco"/>
    <s v="California"/>
    <x v="1"/>
  </r>
  <r>
    <s v="REG101216"/>
    <x v="583"/>
    <s v="Cust 7066"/>
    <x v="0"/>
    <n v="626.16999999999996"/>
    <n v="11"/>
    <n v="187.85"/>
    <n v="0.15"/>
    <s v="Cust 7066"/>
    <s v="Dan Campbell"/>
    <x v="1"/>
    <s v="Miami"/>
    <s v="Florida"/>
    <x v="1"/>
  </r>
  <r>
    <s v="REG101217"/>
    <x v="220"/>
    <s v="Cust 5180"/>
    <x v="3"/>
    <n v="1088.04"/>
    <n v="6"/>
    <n v="326.41000000000003"/>
    <n v="0"/>
    <s v="Cust 5180"/>
    <s v="Luke Schmidt"/>
    <x v="1"/>
    <s v="Skokie"/>
    <s v="Illinois"/>
    <x v="1"/>
  </r>
  <r>
    <s v="REG101218"/>
    <x v="688"/>
    <s v="Cust 6246"/>
    <x v="5"/>
    <n v="8122.5"/>
    <n v="15"/>
    <n v="2436.75"/>
    <n v="0.05"/>
    <s v="Cust 6246"/>
    <s v="Ralph Ritter"/>
    <x v="2"/>
    <s v="San Francisco"/>
    <s v="California"/>
    <x v="1"/>
  </r>
  <r>
    <s v="REG101219"/>
    <x v="16"/>
    <s v="Cust 4182"/>
    <x v="5"/>
    <n v="4496.59"/>
    <n v="9"/>
    <n v="1348.98"/>
    <n v="0.15"/>
    <s v="Cust 4182"/>
    <s v="Ken Lonsdale"/>
    <x v="2"/>
    <s v="San Francisco"/>
    <s v="California"/>
    <x v="1"/>
  </r>
  <r>
    <s v="REG101220"/>
    <x v="300"/>
    <s v="Cust 6843"/>
    <x v="1"/>
    <n v="1060.07"/>
    <n v="6"/>
    <n v="318.02"/>
    <n v="0.1"/>
    <s v="Cust 6843"/>
    <s v="Richard Bierner"/>
    <x v="3"/>
    <s v="Houston"/>
    <s v="Texas"/>
    <x v="1"/>
  </r>
  <r>
    <s v="REG101221"/>
    <x v="335"/>
    <s v="Cust 6844"/>
    <x v="1"/>
    <n v="3268.46"/>
    <n v="8"/>
    <n v="980.54"/>
    <n v="0.05"/>
    <s v="Cust 6844"/>
    <s v="Maribeth Yedwab"/>
    <x v="2"/>
    <s v="Los Angeles"/>
    <s v="California"/>
    <x v="0"/>
  </r>
  <r>
    <s v="REG101222"/>
    <x v="290"/>
    <s v="Cust 3248"/>
    <x v="5"/>
    <n v="5414.47"/>
    <n v="14"/>
    <n v="1624.34"/>
    <n v="0.1"/>
    <s v="Cust 3248"/>
    <s v="Arthur Wiediger"/>
    <x v="0"/>
    <s v="Oklahoma City"/>
    <s v="Oklahoma"/>
    <x v="0"/>
  </r>
  <r>
    <s v="REG101223"/>
    <x v="104"/>
    <s v="Cust 5226"/>
    <x v="1"/>
    <n v="1655.42"/>
    <n v="13"/>
    <n v="496.63"/>
    <n v="0"/>
    <s v="Cust 5226"/>
    <s v="Kelly Williams"/>
    <x v="3"/>
    <s v="Monroe"/>
    <s v="Louisiana"/>
    <x v="0"/>
  </r>
  <r>
    <s v="REG101224"/>
    <x v="322"/>
    <s v="Cust 9804"/>
    <x v="5"/>
    <n v="2405.23"/>
    <n v="6"/>
    <n v="721.57"/>
    <n v="0.05"/>
    <s v="Cust 9804"/>
    <s v="Daniel Byrd"/>
    <x v="0"/>
    <s v="Tampa"/>
    <s v="Florida"/>
    <x v="0"/>
  </r>
  <r>
    <s v="REG101225"/>
    <x v="322"/>
    <s v="Cust 3990"/>
    <x v="6"/>
    <n v="959.18"/>
    <n v="5"/>
    <n v="287.75"/>
    <n v="0.15"/>
    <s v="Cust 3990"/>
    <s v="Brenda Bowman"/>
    <x v="0"/>
    <s v="Chicago"/>
    <s v="Illinois"/>
    <x v="0"/>
  </r>
  <r>
    <s v="REG101226"/>
    <x v="86"/>
    <s v="Cust 5106"/>
    <x v="5"/>
    <n v="2737.94"/>
    <n v="10"/>
    <n v="821.38"/>
    <n v="0.15"/>
    <s v="Cust 5106"/>
    <s v="Nora Preis"/>
    <x v="2"/>
    <s v="Bowling Green"/>
    <s v="Ohio"/>
    <x v="0"/>
  </r>
  <r>
    <s v="REG101227"/>
    <x v="103"/>
    <s v="Cust 3448"/>
    <x v="2"/>
    <n v="795.34"/>
    <n v="4"/>
    <n v="238.6"/>
    <n v="0.05"/>
    <s v="Cust 3448"/>
    <s v="Peter BÃƒÂ¼hler"/>
    <x v="4"/>
    <s v="Houston"/>
    <s v="Texas"/>
    <x v="0"/>
  </r>
  <r>
    <s v="REG101228"/>
    <x v="0"/>
    <s v="Cust 1439"/>
    <x v="2"/>
    <n v="4696.7"/>
    <n v="16"/>
    <n v="1409.01"/>
    <n v="0.1"/>
    <s v="Cust 1439"/>
    <s v="Dorothy Wardle"/>
    <x v="3"/>
    <s v="Westfield"/>
    <s v="New Jersey"/>
    <x v="0"/>
  </r>
  <r>
    <s v="REG101229"/>
    <x v="7"/>
    <s v="Cust 5342"/>
    <x v="5"/>
    <n v="6700.46"/>
    <n v="13"/>
    <n v="2010.14"/>
    <n v="0"/>
    <s v="Cust 5342"/>
    <s v="Cynthia Delaney"/>
    <x v="0"/>
    <s v="Oklahoma City"/>
    <s v="Oklahoma"/>
    <x v="0"/>
  </r>
  <r>
    <s v="REG101230"/>
    <x v="475"/>
    <s v="Cust 4564"/>
    <x v="6"/>
    <n v="908.81"/>
    <n v="7"/>
    <n v="272.64"/>
    <n v="0"/>
    <s v="Cust 4564"/>
    <s v="Thomas Thornton"/>
    <x v="4"/>
    <s v="Houston"/>
    <s v="Texas"/>
    <x v="0"/>
  </r>
  <r>
    <s v="REG101231"/>
    <x v="564"/>
    <s v="Cust 6441"/>
    <x v="5"/>
    <n v="6074.82"/>
    <n v="17"/>
    <n v="1822.45"/>
    <n v="0.05"/>
    <s v="Cust 6441"/>
    <s v="Daniel Byrd"/>
    <x v="3"/>
    <s v="Fort Lauderdale"/>
    <s v="Florida"/>
    <x v="0"/>
  </r>
  <r>
    <s v="REG101232"/>
    <x v="293"/>
    <s v="Cust 7591"/>
    <x v="3"/>
    <n v="3083.68"/>
    <n v="8"/>
    <n v="925.1"/>
    <n v="0"/>
    <s v="Cust 7591"/>
    <s v="Don Jones"/>
    <x v="1"/>
    <s v="Little Rock"/>
    <s v="Arkansas"/>
    <x v="0"/>
  </r>
  <r>
    <s v="REG101233"/>
    <x v="684"/>
    <s v="Cust 9778"/>
    <x v="4"/>
    <n v="948.26"/>
    <n v="2"/>
    <n v="284.48"/>
    <n v="0"/>
    <s v="Cust 9778"/>
    <s v="Dionis Lloyd"/>
    <x v="4"/>
    <s v="Philadelphia"/>
    <s v="Pennsylvania"/>
    <x v="1"/>
  </r>
  <r>
    <s v="REG101234"/>
    <x v="689"/>
    <s v="Cust 1195"/>
    <x v="5"/>
    <n v="7212.92"/>
    <n v="15"/>
    <n v="2163.88"/>
    <n v="0.05"/>
    <s v="Cust 1195"/>
    <s v="Lori Olson"/>
    <x v="4"/>
    <s v="La Quinta"/>
    <s v="California"/>
    <x v="1"/>
  </r>
  <r>
    <s v="REG101235"/>
    <x v="6"/>
    <s v="Cust 8126"/>
    <x v="1"/>
    <n v="57.27"/>
    <n v="1"/>
    <n v="17.18"/>
    <n v="0.15"/>
    <s v="Cust 8126"/>
    <s v="Seth Vernon"/>
    <x v="1"/>
    <s v="Cleveland"/>
    <s v="Ohio"/>
    <x v="0"/>
  </r>
  <r>
    <s v="REG101236"/>
    <x v="690"/>
    <s v="Cust 4609"/>
    <x v="3"/>
    <n v="3497.33"/>
    <n v="15"/>
    <n v="1049.2"/>
    <n v="0.15"/>
    <s v="Cust 4609"/>
    <s v="Eleni McCrary"/>
    <x v="4"/>
    <s v="San Francisco"/>
    <s v="California"/>
    <x v="2"/>
  </r>
  <r>
    <s v="REG101237"/>
    <x v="469"/>
    <s v="Cust 1449"/>
    <x v="5"/>
    <n v="668.96"/>
    <n v="2"/>
    <n v="200.69"/>
    <n v="0"/>
    <s v="Cust 1449"/>
    <s v="Ken Dana"/>
    <x v="1"/>
    <s v="Scottsdale"/>
    <s v="Arizona"/>
    <x v="2"/>
  </r>
  <r>
    <s v="REG101238"/>
    <x v="605"/>
    <s v="Cust 3508"/>
    <x v="3"/>
    <n v="3347.47"/>
    <n v="7"/>
    <n v="1004.24"/>
    <n v="0.15"/>
    <s v="Cust 3508"/>
    <s v="Nicole Brennan"/>
    <x v="1"/>
    <s v="Philadelphia"/>
    <s v="Pennsylvania"/>
    <x v="2"/>
  </r>
  <r>
    <s v="REG101239"/>
    <x v="54"/>
    <s v="Cust 4826"/>
    <x v="5"/>
    <n v="95.36"/>
    <n v="7"/>
    <n v="28.61"/>
    <n v="0.05"/>
    <s v="Cust 4826"/>
    <s v="Anne Pryor"/>
    <x v="2"/>
    <s v="Malden"/>
    <s v="Massachusetts"/>
    <x v="1"/>
  </r>
  <r>
    <s v="REG100047"/>
    <x v="55"/>
    <s v="Cust 4826"/>
    <x v="6"/>
    <n v="3961.14"/>
    <n v="8"/>
    <n v="1188.3399999999999"/>
    <n v="0.15"/>
    <s v="Cust 4826"/>
    <s v="Anne Pryor"/>
    <x v="2"/>
    <s v="Malden"/>
    <s v="Massachusetts"/>
    <x v="1"/>
  </r>
  <r>
    <s v="REG101240"/>
    <x v="96"/>
    <s v="Cust 1232"/>
    <x v="1"/>
    <n v="343.73"/>
    <n v="11"/>
    <n v="103.12"/>
    <n v="0.1"/>
    <s v="Cust 1232"/>
    <s v="Joel Eaton"/>
    <x v="0"/>
    <s v="San Jose"/>
    <s v="California"/>
    <x v="0"/>
  </r>
  <r>
    <s v="REG101241"/>
    <x v="96"/>
    <s v="Cust 9675"/>
    <x v="3"/>
    <n v="105.42"/>
    <n v="7"/>
    <n v="31.63"/>
    <n v="0"/>
    <s v="Cust 9675"/>
    <s v="John Murray"/>
    <x v="0"/>
    <s v="Phoenix"/>
    <s v="Arizona"/>
    <x v="1"/>
  </r>
  <r>
    <s v="REG101242"/>
    <x v="532"/>
    <s v="Cust 5153"/>
    <x v="4"/>
    <n v="5101.38"/>
    <n v="11"/>
    <n v="1530.41"/>
    <n v="0.05"/>
    <s v="Cust 5153"/>
    <s v="Adrian Barton"/>
    <x v="0"/>
    <s v="Henderson"/>
    <s v="Kentucky"/>
    <x v="1"/>
  </r>
  <r>
    <s v="REG101243"/>
    <x v="614"/>
    <s v="Cust 6330"/>
    <x v="6"/>
    <n v="2549.71"/>
    <n v="10"/>
    <n v="764.91"/>
    <n v="0.05"/>
    <s v="Cust 6330"/>
    <s v="Parhena Norris"/>
    <x v="1"/>
    <s v="Columbia"/>
    <s v="South Carolina"/>
    <x v="1"/>
  </r>
  <r>
    <s v="REG100932"/>
    <x v="359"/>
    <s v="Cust 6330"/>
    <x v="5"/>
    <n v="4042.78"/>
    <n v="9"/>
    <n v="1212.83"/>
    <n v="0.05"/>
    <s v="Cust 6330"/>
    <s v="Parhena Norris"/>
    <x v="1"/>
    <s v="Columbia"/>
    <s v="South Carolina"/>
    <x v="1"/>
  </r>
  <r>
    <s v="REG101244"/>
    <x v="691"/>
    <s v="Cust 8277"/>
    <x v="6"/>
    <n v="288.81"/>
    <n v="5"/>
    <n v="86.64"/>
    <n v="0.1"/>
    <s v="Cust 8277"/>
    <s v="John Castell"/>
    <x v="2"/>
    <s v="Tallahassee"/>
    <s v="Florida"/>
    <x v="2"/>
  </r>
  <r>
    <s v="REG101245"/>
    <x v="398"/>
    <s v="Cust 5884"/>
    <x v="1"/>
    <n v="6648.34"/>
    <n v="15"/>
    <n v="1994.5"/>
    <n v="0.05"/>
    <s v="Cust 5884"/>
    <s v="Philip Fox"/>
    <x v="4"/>
    <s v="New York City"/>
    <s v="New York"/>
    <x v="2"/>
  </r>
  <r>
    <s v="REG101246"/>
    <x v="669"/>
    <s v="Cust 4061"/>
    <x v="2"/>
    <n v="3840.58"/>
    <n v="8"/>
    <n v="1152.18"/>
    <n v="0.05"/>
    <s v="Cust 4061"/>
    <s v="Bart Watters"/>
    <x v="2"/>
    <s v="Houston"/>
    <s v="Texas"/>
    <x v="1"/>
  </r>
  <r>
    <s v="REG101247"/>
    <x v="181"/>
    <s v="Cust 8095"/>
    <x v="5"/>
    <n v="544.04999999999995"/>
    <n v="6"/>
    <n v="163.22"/>
    <n v="0.1"/>
    <s v="Cust 8095"/>
    <s v="Ben Peterman"/>
    <x v="0"/>
    <s v="Coral Springs"/>
    <s v="Florida"/>
    <x v="1"/>
  </r>
  <r>
    <s v="REG101248"/>
    <x v="627"/>
    <s v="Cust 2435"/>
    <x v="6"/>
    <n v="2680.67"/>
    <n v="8"/>
    <n v="804.2"/>
    <n v="0.05"/>
    <s v="Cust 2435"/>
    <s v="Tamara Manning"/>
    <x v="2"/>
    <s v="Orem"/>
    <s v="Utah"/>
    <x v="0"/>
  </r>
  <r>
    <s v="REG101249"/>
    <x v="194"/>
    <s v="Cust 6785"/>
    <x v="0"/>
    <n v="4736.34"/>
    <n v="9"/>
    <n v="1420.9"/>
    <n v="0"/>
    <s v="Cust 6785"/>
    <s v="Maria Bertelson"/>
    <x v="0"/>
    <s v="Nashville"/>
    <s v="Tennessee"/>
    <x v="0"/>
  </r>
  <r>
    <s v="REG100692"/>
    <x v="36"/>
    <s v="Cust 6785"/>
    <x v="1"/>
    <n v="506.41"/>
    <n v="1"/>
    <n v="151.91999999999999"/>
    <n v="0"/>
    <s v="Cust 6785"/>
    <s v="Maria Bertelson"/>
    <x v="0"/>
    <s v="Nashville"/>
    <s v="Tennessee"/>
    <x v="0"/>
  </r>
  <r>
    <s v="REG101250"/>
    <x v="432"/>
    <s v="Cust 6485"/>
    <x v="4"/>
    <n v="7947.13"/>
    <n v="18"/>
    <n v="2384.14"/>
    <n v="0.15"/>
    <s v="Cust 6485"/>
    <s v="Harold Ryan"/>
    <x v="3"/>
    <s v="New York City"/>
    <s v="New York"/>
    <x v="1"/>
  </r>
  <r>
    <s v="REG101251"/>
    <x v="602"/>
    <s v="Cust 6960"/>
    <x v="3"/>
    <n v="1854.67"/>
    <n v="18"/>
    <n v="556.4"/>
    <n v="0.05"/>
    <s v="Cust 6960"/>
    <s v="Brian Derr"/>
    <x v="2"/>
    <s v="Bowling Green"/>
    <s v="Kentucky"/>
    <x v="1"/>
  </r>
  <r>
    <s v="REG101454"/>
    <x v="585"/>
    <s v="Cust 1135"/>
    <x v="0"/>
    <n v="5225.26"/>
    <n v="17"/>
    <n v="1567.58"/>
    <n v="0.1"/>
    <s v="Cust 1135"/>
    <s v="Sarah Foster"/>
    <x v="2"/>
    <s v="Bellingham"/>
    <s v="Washington"/>
    <x v="1"/>
  </r>
  <r>
    <s v="REG101252"/>
    <x v="692"/>
    <s v="Cust 1135"/>
    <x v="2"/>
    <n v="5195.3999999999996"/>
    <n v="13"/>
    <n v="1558.62"/>
    <n v="0.05"/>
    <s v="Cust 1135"/>
    <s v="Sarah Foster"/>
    <x v="2"/>
    <s v="Bellingham"/>
    <s v="Washington"/>
    <x v="0"/>
  </r>
  <r>
    <s v="REG101253"/>
    <x v="693"/>
    <s v="Cust 6186"/>
    <x v="4"/>
    <n v="85.4"/>
    <n v="17"/>
    <n v="25.62"/>
    <n v="0.15"/>
    <s v="Cust 6186"/>
    <s v="Stefania Perrino"/>
    <x v="2"/>
    <s v="New York City"/>
    <s v="New York"/>
    <x v="0"/>
  </r>
  <r>
    <s v="REG101395"/>
    <x v="398"/>
    <s v="Cust 8828"/>
    <x v="1"/>
    <n v="2692.9"/>
    <n v="10"/>
    <n v="807.87"/>
    <n v="0"/>
    <s v="Cust 8828"/>
    <s v="Dan Reichenbach"/>
    <x v="0"/>
    <s v="Newark"/>
    <s v="Ohio"/>
    <x v="2"/>
  </r>
  <r>
    <s v="REG101254"/>
    <x v="6"/>
    <s v="Cust 8828"/>
    <x v="1"/>
    <n v="1811.08"/>
    <n v="4"/>
    <n v="543.32000000000005"/>
    <n v="0"/>
    <s v="Cust 8828"/>
    <s v="Dan Reichenbach"/>
    <x v="0"/>
    <s v="Newark"/>
    <s v="Ohio"/>
    <x v="1"/>
  </r>
  <r>
    <s v="REG101255"/>
    <x v="363"/>
    <s v="Cust 9097"/>
    <x v="5"/>
    <n v="934.15"/>
    <n v="7"/>
    <n v="280.25"/>
    <n v="0.15"/>
    <s v="Cust 9097"/>
    <s v="Valerie Mitchum"/>
    <x v="2"/>
    <s v="Woodstock"/>
    <s v="Illinois"/>
    <x v="1"/>
  </r>
  <r>
    <s v="REG100412"/>
    <x v="99"/>
    <s v="Cust 9097"/>
    <x v="0"/>
    <n v="596.16"/>
    <n v="4"/>
    <n v="178.85"/>
    <n v="0.15"/>
    <s v="Cust 9097"/>
    <s v="Valerie Mitchum"/>
    <x v="2"/>
    <s v="Woodstock"/>
    <s v="Illinois"/>
    <x v="1"/>
  </r>
  <r>
    <s v="REG101256"/>
    <x v="365"/>
    <s v="Cust 4744"/>
    <x v="4"/>
    <n v="5453.51"/>
    <n v="11"/>
    <n v="1636.05"/>
    <n v="0.1"/>
    <s v="Cust 4744"/>
    <s v="Chris McAfee"/>
    <x v="2"/>
    <s v="Carrollton"/>
    <s v="Texas"/>
    <x v="1"/>
  </r>
  <r>
    <s v="REG101257"/>
    <x v="307"/>
    <s v="Cust 4287"/>
    <x v="3"/>
    <n v="733.76"/>
    <n v="5"/>
    <n v="220.13"/>
    <n v="0.15"/>
    <s v="Cust 4287"/>
    <s v="Sean Miller"/>
    <x v="2"/>
    <s v="Lafayette"/>
    <s v="Indiana"/>
    <x v="1"/>
  </r>
  <r>
    <s v="REG101258"/>
    <x v="91"/>
    <s v="Cust 2236"/>
    <x v="6"/>
    <n v="2324.8000000000002"/>
    <n v="16"/>
    <n v="697.44"/>
    <n v="0"/>
    <s v="Cust 2236"/>
    <s v="Ruben Ausman"/>
    <x v="0"/>
    <s v="Columbus"/>
    <s v="Georgia"/>
    <x v="0"/>
  </r>
  <r>
    <s v="REG101259"/>
    <x v="45"/>
    <s v="Cust 5312"/>
    <x v="4"/>
    <n v="606.41999999999996"/>
    <n v="10"/>
    <n v="181.93"/>
    <n v="0.1"/>
    <s v="Cust 5312"/>
    <s v="Shirley Daniels"/>
    <x v="1"/>
    <s v="Alexandria"/>
    <s v="Virginia"/>
    <x v="2"/>
  </r>
  <r>
    <s v="REG100040"/>
    <x v="46"/>
    <s v="Cust 5312"/>
    <x v="4"/>
    <n v="2116.44"/>
    <n v="5"/>
    <n v="634.92999999999995"/>
    <n v="0.1"/>
    <s v="Cust 5312"/>
    <s v="Shirley Daniels"/>
    <x v="1"/>
    <s v="Alexandria"/>
    <s v="Virginia"/>
    <x v="2"/>
  </r>
  <r>
    <s v="REG101282"/>
    <x v="694"/>
    <s v="Cust 5096"/>
    <x v="4"/>
    <n v="2085.5100000000002"/>
    <n v="11"/>
    <n v="625.65"/>
    <n v="0.05"/>
    <s v="Cust 5096"/>
    <s v="Chris Selesnick"/>
    <x v="1"/>
    <s v="Haltom City"/>
    <s v="Texas"/>
    <x v="2"/>
  </r>
  <r>
    <s v="REG101260"/>
    <x v="180"/>
    <s v="Cust 5096"/>
    <x v="4"/>
    <n v="2116.9499999999998"/>
    <n v="15"/>
    <n v="635.09"/>
    <n v="0"/>
    <s v="Cust 5096"/>
    <s v="Chris Selesnick"/>
    <x v="1"/>
    <s v="Haltom City"/>
    <s v="Texas"/>
    <x v="0"/>
  </r>
  <r>
    <s v="REG101261"/>
    <x v="695"/>
    <s v="Cust 1162"/>
    <x v="6"/>
    <n v="507.88"/>
    <n v="1"/>
    <n v="152.36000000000001"/>
    <n v="0.05"/>
    <s v="Cust 1162"/>
    <s v="Ralph Arnett"/>
    <x v="3"/>
    <s v="New York City"/>
    <s v="New York"/>
    <x v="0"/>
  </r>
  <r>
    <s v="REG101262"/>
    <x v="696"/>
    <s v="Cust 1669"/>
    <x v="1"/>
    <n v="4788.34"/>
    <n v="9"/>
    <n v="1436.5"/>
    <n v="0.05"/>
    <s v="Cust 1669"/>
    <s v="Barry Franz"/>
    <x v="0"/>
    <s v="Los Angeles"/>
    <s v="California"/>
    <x v="0"/>
  </r>
  <r>
    <s v="REG101263"/>
    <x v="693"/>
    <s v="Cust 6213"/>
    <x v="0"/>
    <n v="1982.3"/>
    <n v="8"/>
    <n v="594.69000000000005"/>
    <n v="0.1"/>
    <s v="Cust 6213"/>
    <s v="Sanjit Engle"/>
    <x v="2"/>
    <s v="Wheeling"/>
    <s v="Illinois"/>
    <x v="0"/>
  </r>
  <r>
    <s v="REG101264"/>
    <x v="69"/>
    <s v="Cust 7659"/>
    <x v="1"/>
    <n v="301.33"/>
    <n v="3"/>
    <n v="90.4"/>
    <n v="0.05"/>
    <s v="Cust 7659"/>
    <s v="Roland Schwarz"/>
    <x v="0"/>
    <s v="Summerville"/>
    <s v="South Carolina"/>
    <x v="0"/>
  </r>
  <r>
    <s v="REG101265"/>
    <x v="4"/>
    <s v="Cust 2894"/>
    <x v="5"/>
    <n v="7678.94"/>
    <n v="15"/>
    <n v="2303.6799999999998"/>
    <n v="0.1"/>
    <s v="Cust 2894"/>
    <s v="Brian Moss"/>
    <x v="3"/>
    <s v="Columbus"/>
    <s v="Indiana"/>
    <x v="0"/>
  </r>
  <r>
    <s v="REG101266"/>
    <x v="105"/>
    <s v="Cust 1457"/>
    <x v="0"/>
    <n v="3427.02"/>
    <n v="20"/>
    <n v="1028.1099999999999"/>
    <n v="0.1"/>
    <s v="Cust 1457"/>
    <s v="Sally Knutson"/>
    <x v="3"/>
    <s v="New York City"/>
    <s v="New York"/>
    <x v="0"/>
  </r>
  <r>
    <s v="REG101267"/>
    <x v="430"/>
    <s v="Cust 2410"/>
    <x v="3"/>
    <n v="7822.69"/>
    <n v="19"/>
    <n v="2346.81"/>
    <n v="0.05"/>
    <s v="Cust 2410"/>
    <s v="Edward Nazzal"/>
    <x v="4"/>
    <s v="New York City"/>
    <s v="New York"/>
    <x v="1"/>
  </r>
  <r>
    <s v="REG101268"/>
    <x v="671"/>
    <s v="Cust 4723"/>
    <x v="1"/>
    <n v="78.81"/>
    <n v="1"/>
    <n v="23.64"/>
    <n v="0.15"/>
    <s v="Cust 4723"/>
    <s v="Kean Nguyen"/>
    <x v="1"/>
    <s v="Jacksonville"/>
    <s v="Florida"/>
    <x v="0"/>
  </r>
  <r>
    <s v="REG101269"/>
    <x v="629"/>
    <s v="Cust 1586"/>
    <x v="0"/>
    <n v="236.95"/>
    <n v="1"/>
    <n v="71.09"/>
    <n v="0.1"/>
    <s v="Cust 1586"/>
    <s v="Michael Granlund"/>
    <x v="4"/>
    <s v="San Diego"/>
    <s v="California"/>
    <x v="2"/>
  </r>
  <r>
    <s v="REG101398"/>
    <x v="239"/>
    <s v="Cust 5049"/>
    <x v="5"/>
    <n v="7342.97"/>
    <n v="16"/>
    <n v="2202.89"/>
    <n v="0.05"/>
    <s v="Cust 5049"/>
    <s v="Matt Collister"/>
    <x v="4"/>
    <s v="Arlington"/>
    <s v="Texas"/>
    <x v="2"/>
  </r>
  <r>
    <s v="REG101270"/>
    <x v="276"/>
    <s v="Cust 5049"/>
    <x v="1"/>
    <n v="3944.49"/>
    <n v="11"/>
    <n v="1183.3499999999999"/>
    <n v="0"/>
    <s v="Cust 5049"/>
    <s v="Matt Collister"/>
    <x v="4"/>
    <s v="Arlington"/>
    <s v="Texas"/>
    <x v="2"/>
  </r>
  <r>
    <s v="REG101271"/>
    <x v="697"/>
    <s v="Cust 9534"/>
    <x v="6"/>
    <n v="10719.54"/>
    <n v="18"/>
    <n v="3215.86"/>
    <n v="0"/>
    <s v="Cust 9534"/>
    <s v="Bill Overfelt"/>
    <x v="3"/>
    <s v="Los Angeles"/>
    <s v="California"/>
    <x v="0"/>
  </r>
  <r>
    <s v="REG101272"/>
    <x v="217"/>
    <s v="Cust 5693"/>
    <x v="5"/>
    <n v="6834.41"/>
    <n v="14"/>
    <n v="2050.3200000000002"/>
    <n v="0.15"/>
    <s v="Cust 5693"/>
    <s v="Aleksandra Gannaway"/>
    <x v="2"/>
    <s v="Los Angeles"/>
    <s v="California"/>
    <x v="1"/>
  </r>
  <r>
    <s v="REG101273"/>
    <x v="678"/>
    <s v="Cust 6950"/>
    <x v="0"/>
    <n v="7994.34"/>
    <n v="18"/>
    <n v="2398.3000000000002"/>
    <n v="0"/>
    <s v="Cust 6950"/>
    <s v="Maribeth Schnelling"/>
    <x v="2"/>
    <s v="San Francisco"/>
    <s v="California"/>
    <x v="1"/>
  </r>
  <r>
    <s v="REG101274"/>
    <x v="588"/>
    <s v="Cust 7098"/>
    <x v="6"/>
    <n v="7378.14"/>
    <n v="19"/>
    <n v="2213.44"/>
    <n v="0.1"/>
    <s v="Cust 7098"/>
    <s v="Jim Mitchum"/>
    <x v="4"/>
    <s v="Carlsbad"/>
    <s v="New Mexico"/>
    <x v="1"/>
  </r>
  <r>
    <s v="REG101275"/>
    <x v="542"/>
    <s v="Cust 8300"/>
    <x v="4"/>
    <n v="1282.31"/>
    <n v="19"/>
    <n v="384.69"/>
    <n v="0"/>
    <s v="Cust 8300"/>
    <s v="Matthew Clasen"/>
    <x v="4"/>
    <s v="Saint Louis"/>
    <s v="Missouri"/>
    <x v="1"/>
  </r>
  <r>
    <s v="REG101276"/>
    <x v="489"/>
    <s v="Cust 9557"/>
    <x v="6"/>
    <n v="240.01"/>
    <n v="11"/>
    <n v="72"/>
    <n v="0.15"/>
    <s v="Cust 9557"/>
    <s v="Tom Ashbrook"/>
    <x v="3"/>
    <s v="New York City"/>
    <s v="New York"/>
    <x v="0"/>
  </r>
  <r>
    <s v="REG101277"/>
    <x v="698"/>
    <s v="Cust 8787"/>
    <x v="1"/>
    <n v="1474.76"/>
    <n v="4"/>
    <n v="442.43"/>
    <n v="0"/>
    <s v="Cust 8787"/>
    <s v="Sean Braxton"/>
    <x v="3"/>
    <s v="Springfield"/>
    <s v="Ohio"/>
    <x v="0"/>
  </r>
  <r>
    <s v="REG101278"/>
    <x v="171"/>
    <s v="Cust 9717"/>
    <x v="5"/>
    <n v="1709.12"/>
    <n v="7"/>
    <n v="512.73"/>
    <n v="0.05"/>
    <s v="Cust 9717"/>
    <s v="Aimee Bixby"/>
    <x v="4"/>
    <s v="Tulsa"/>
    <s v="Oklahoma"/>
    <x v="0"/>
  </r>
  <r>
    <s v="REG101279"/>
    <x v="359"/>
    <s v="Cust 2719"/>
    <x v="0"/>
    <n v="1197.56"/>
    <n v="14"/>
    <n v="359.27"/>
    <n v="0"/>
    <s v="Cust 2719"/>
    <s v="Jason Fortune-"/>
    <x v="0"/>
    <s v="Seattle"/>
    <s v="Washington"/>
    <x v="0"/>
  </r>
  <r>
    <s v="REG101280"/>
    <x v="422"/>
    <s v="Cust 6203"/>
    <x v="3"/>
    <n v="2047.14"/>
    <n v="9"/>
    <n v="614.14"/>
    <n v="0.15"/>
    <s v="Cust 6203"/>
    <s v="Barbara Fisher"/>
    <x v="3"/>
    <s v="Fayetteville"/>
    <s v="North Carolina"/>
    <x v="2"/>
  </r>
  <r>
    <s v="REG101281"/>
    <x v="266"/>
    <s v="Cust 9151"/>
    <x v="2"/>
    <n v="3338.59"/>
    <n v="15"/>
    <n v="1001.58"/>
    <n v="0.15"/>
    <s v="Cust 9151"/>
    <s v="Tim Taslimi"/>
    <x v="0"/>
    <s v="Los Angeles"/>
    <s v="California"/>
    <x v="0"/>
  </r>
  <r>
    <s v="REG101282"/>
    <x v="694"/>
    <s v="Cust 5096"/>
    <x v="4"/>
    <n v="2085.5100000000002"/>
    <n v="11"/>
    <n v="625.65"/>
    <n v="0.05"/>
    <s v="Cust 5096"/>
    <s v="Sarah Bern"/>
    <x v="0"/>
    <s v="New York City"/>
    <s v="New York"/>
    <x v="0"/>
  </r>
  <r>
    <s v="REG101260"/>
    <x v="180"/>
    <s v="Cust 5096"/>
    <x v="4"/>
    <n v="2116.9499999999998"/>
    <n v="15"/>
    <n v="635.09"/>
    <n v="0"/>
    <s v="Cust 5096"/>
    <s v="Sarah Bern"/>
    <x v="0"/>
    <s v="New York City"/>
    <s v="New York"/>
    <x v="0"/>
  </r>
  <r>
    <s v="REG101447"/>
    <x v="699"/>
    <s v="Cust 4250"/>
    <x v="1"/>
    <n v="4625.93"/>
    <n v="20"/>
    <n v="1387.78"/>
    <n v="0.05"/>
    <s v="Cust 4250"/>
    <s v="Liz MacKendrick"/>
    <x v="3"/>
    <s v="Hot Springs"/>
    <s v="Arkansas"/>
    <x v="2"/>
  </r>
  <r>
    <s v="REG101283"/>
    <x v="112"/>
    <s v="Cust 4250"/>
    <x v="1"/>
    <n v="2398.56"/>
    <n v="5"/>
    <n v="719.57"/>
    <n v="0.05"/>
    <s v="Cust 4250"/>
    <s v="Liz MacKendrick"/>
    <x v="3"/>
    <s v="Hot Springs"/>
    <s v="Arkansas"/>
    <x v="2"/>
  </r>
  <r>
    <s v="REG101284"/>
    <x v="206"/>
    <s v="Cust 1276"/>
    <x v="3"/>
    <n v="215.38"/>
    <n v="8"/>
    <n v="64.62"/>
    <n v="0.05"/>
    <s v="Cust 1276"/>
    <s v="Kelly Andreada"/>
    <x v="1"/>
    <s v="Aurora"/>
    <s v="Illinois"/>
    <x v="2"/>
  </r>
  <r>
    <s v="REG101285"/>
    <x v="633"/>
    <s v="Cust 6063"/>
    <x v="4"/>
    <n v="7575.49"/>
    <n v="17"/>
    <n v="2272.65"/>
    <n v="0.1"/>
    <s v="Cust 6063"/>
    <s v="Ben Ferrer"/>
    <x v="4"/>
    <s v="Raleigh"/>
    <s v="North Carolina"/>
    <x v="2"/>
  </r>
  <r>
    <s v="REG101286"/>
    <x v="700"/>
    <s v="Cust 7604"/>
    <x v="1"/>
    <n v="1889.27"/>
    <n v="14"/>
    <n v="566.78"/>
    <n v="0.05"/>
    <s v="Cust 7604"/>
    <s v="Tom Boeckenhauer"/>
    <x v="4"/>
    <s v="Tulsa"/>
    <s v="Oklahoma"/>
    <x v="0"/>
  </r>
  <r>
    <s v="REG101287"/>
    <x v="246"/>
    <s v="Cust 9402"/>
    <x v="3"/>
    <n v="8069.76"/>
    <n v="16"/>
    <n v="2420.9299999999998"/>
    <n v="0"/>
    <s v="Cust 9402"/>
    <s v="Sally Hughsby"/>
    <x v="0"/>
    <s v="Hesperia"/>
    <s v="California"/>
    <x v="0"/>
  </r>
  <r>
    <s v="REG100254"/>
    <x v="247"/>
    <s v="Cust 9402"/>
    <x v="6"/>
    <n v="1908.2"/>
    <n v="4"/>
    <n v="572.46"/>
    <n v="0"/>
    <s v="Cust 9402"/>
    <s v="Sally Hughsby"/>
    <x v="0"/>
    <s v="Hesperia"/>
    <s v="California"/>
    <x v="2"/>
  </r>
  <r>
    <s v="REG101288"/>
    <x v="242"/>
    <s v="Cust 4398"/>
    <x v="2"/>
    <n v="855.4"/>
    <n v="7"/>
    <n v="256.62"/>
    <n v="0"/>
    <s v="Cust 4398"/>
    <s v="Alan Schoenberger"/>
    <x v="0"/>
    <s v="Provo"/>
    <s v="Utah"/>
    <x v="0"/>
  </r>
  <r>
    <s v="REG101289"/>
    <x v="487"/>
    <s v="Cust 8770"/>
    <x v="3"/>
    <n v="2013.6"/>
    <n v="7"/>
    <n v="604.08000000000004"/>
    <n v="0.15"/>
    <s v="Cust 8770"/>
    <s v="Pete Kriz"/>
    <x v="4"/>
    <s v="San Francisco"/>
    <s v="California"/>
    <x v="1"/>
  </r>
  <r>
    <s v="REG101290"/>
    <x v="188"/>
    <s v="Cust 2148"/>
    <x v="6"/>
    <n v="899"/>
    <n v="4"/>
    <n v="269.7"/>
    <n v="0"/>
    <s v="Cust 2148"/>
    <s v="Harold Ryan"/>
    <x v="0"/>
    <s v="Gilbert"/>
    <s v="Arizona"/>
    <x v="1"/>
  </r>
  <r>
    <s v="REG101291"/>
    <x v="701"/>
    <s v="Cust 4107"/>
    <x v="2"/>
    <n v="7339.82"/>
    <n v="16"/>
    <n v="2201.9499999999998"/>
    <n v="0.1"/>
    <s v="Cust 4107"/>
    <s v="Deirdre Greer"/>
    <x v="3"/>
    <s v="New York City"/>
    <s v="New York"/>
    <x v="0"/>
  </r>
  <r>
    <s v="REG101292"/>
    <x v="433"/>
    <s v="Cust 4450"/>
    <x v="6"/>
    <n v="3749.26"/>
    <n v="14"/>
    <n v="1124.78"/>
    <n v="0.1"/>
    <s v="Cust 4450"/>
    <s v="Craig Leslie"/>
    <x v="2"/>
    <s v="Springfield"/>
    <s v="Missouri"/>
    <x v="0"/>
  </r>
  <r>
    <s v="REG101293"/>
    <x v="702"/>
    <s v="Cust 8233"/>
    <x v="4"/>
    <n v="4509.1099999999997"/>
    <n v="13"/>
    <n v="1352.73"/>
    <n v="0.05"/>
    <s v="Cust 8233"/>
    <s v="Herbert Flentye"/>
    <x v="3"/>
    <s v="Memphis"/>
    <s v="Tennessee"/>
    <x v="0"/>
  </r>
  <r>
    <s v="REG101294"/>
    <x v="688"/>
    <s v="Cust 9012"/>
    <x v="3"/>
    <n v="139.13"/>
    <n v="1"/>
    <n v="41.74"/>
    <n v="0"/>
    <s v="Cust 9012"/>
    <s v="Hunter Glantz"/>
    <x v="0"/>
    <s v="Amarillo"/>
    <s v="Texas"/>
    <x v="0"/>
  </r>
  <r>
    <s v="REG101295"/>
    <x v="179"/>
    <s v="Cust 1496"/>
    <x v="3"/>
    <n v="3263.34"/>
    <n v="6"/>
    <n v="979"/>
    <n v="0"/>
    <s v="Cust 1496"/>
    <s v="Nancy Lomonaco"/>
    <x v="4"/>
    <s v="Los Angeles"/>
    <s v="California"/>
    <x v="0"/>
  </r>
  <r>
    <s v="REG101296"/>
    <x v="581"/>
    <s v="Cust 9365"/>
    <x v="4"/>
    <n v="4174.3"/>
    <n v="19"/>
    <n v="1252.29"/>
    <n v="0"/>
    <s v="Cust 9365"/>
    <s v="Rick Reed"/>
    <x v="2"/>
    <s v="Lowell"/>
    <s v="Massachusetts"/>
    <x v="0"/>
  </r>
  <r>
    <s v="REG101297"/>
    <x v="378"/>
    <s v="Cust 1392"/>
    <x v="1"/>
    <n v="537.74"/>
    <n v="6"/>
    <n v="161.32"/>
    <n v="0.05"/>
    <s v="Cust 1392"/>
    <s v="Toby Carlisle"/>
    <x v="1"/>
    <s v="San Diego"/>
    <s v="California"/>
    <x v="0"/>
  </r>
  <r>
    <s v="REG101298"/>
    <x v="703"/>
    <s v="Cust 3474"/>
    <x v="0"/>
    <n v="3722.34"/>
    <n v="9"/>
    <n v="1116.7"/>
    <n v="0.15"/>
    <s v="Cust 3474"/>
    <s v="Doug Bickford"/>
    <x v="3"/>
    <s v="Asheville"/>
    <s v="North Carolina"/>
    <x v="1"/>
  </r>
  <r>
    <s v="REG101299"/>
    <x v="153"/>
    <s v="Cust 2111"/>
    <x v="2"/>
    <n v="5904.37"/>
    <n v="12"/>
    <n v="1771.31"/>
    <n v="0.15"/>
    <s v="Cust 2111"/>
    <s v="Stewart Visinsky"/>
    <x v="1"/>
    <s v="Pueblo"/>
    <s v="Colorado"/>
    <x v="2"/>
  </r>
  <r>
    <s v="REG101300"/>
    <x v="213"/>
    <s v="Cust 9506"/>
    <x v="6"/>
    <n v="1378.16"/>
    <n v="7"/>
    <n v="413.45"/>
    <n v="0"/>
    <s v="Cust 9506"/>
    <s v="Mick Hernandez"/>
    <x v="0"/>
    <s v="Jackson"/>
    <s v="Michigan"/>
    <x v="0"/>
  </r>
  <r>
    <s v="REG100540"/>
    <x v="204"/>
    <s v="Cust 9506"/>
    <x v="0"/>
    <n v="4990.32"/>
    <n v="9"/>
    <n v="1497.1"/>
    <n v="0"/>
    <s v="Cust 9506"/>
    <s v="Mick Hernandez"/>
    <x v="0"/>
    <s v="Jackson"/>
    <s v="Michigan"/>
    <x v="0"/>
  </r>
  <r>
    <s v="REG101301"/>
    <x v="704"/>
    <s v="Cust 2341"/>
    <x v="1"/>
    <n v="2811.82"/>
    <n v="7"/>
    <n v="843.54"/>
    <n v="0.1"/>
    <s v="Cust 2341"/>
    <s v="Carol Triggs"/>
    <x v="1"/>
    <s v="Los Angeles"/>
    <s v="California"/>
    <x v="0"/>
  </r>
  <r>
    <s v="REG101302"/>
    <x v="180"/>
    <s v="Cust 7035"/>
    <x v="6"/>
    <n v="4921.18"/>
    <n v="11"/>
    <n v="1476.35"/>
    <n v="0"/>
    <s v="Cust 7035"/>
    <s v="Karl Braun"/>
    <x v="3"/>
    <s v="Thomasville"/>
    <s v="North Carolina"/>
    <x v="0"/>
  </r>
  <r>
    <s v="REG100574"/>
    <x v="56"/>
    <s v="Cust 7035"/>
    <x v="1"/>
    <n v="1136.72"/>
    <n v="8"/>
    <n v="341.02"/>
    <n v="0"/>
    <s v="Cust 7035"/>
    <s v="Karl Braun"/>
    <x v="3"/>
    <s v="Thomasville"/>
    <s v="North Carolina"/>
    <x v="0"/>
  </r>
  <r>
    <s v="REG101303"/>
    <x v="705"/>
    <s v="Cust 5935"/>
    <x v="2"/>
    <n v="3469.28"/>
    <n v="14"/>
    <n v="1040.79"/>
    <n v="0.1"/>
    <s v="Cust 5935"/>
    <s v="Ralph Arnett"/>
    <x v="1"/>
    <s v="Peoria"/>
    <s v="Illinois"/>
    <x v="0"/>
  </r>
  <r>
    <s v="REG101377"/>
    <x v="706"/>
    <s v="Cust 3291"/>
    <x v="5"/>
    <n v="114.19"/>
    <n v="1"/>
    <n v="34.26"/>
    <n v="0.05"/>
    <s v="Cust 3291"/>
    <s v="Yoseph Carroll"/>
    <x v="3"/>
    <s v="Los Angeles"/>
    <s v="California"/>
    <x v="0"/>
  </r>
  <r>
    <s v="REG101304"/>
    <x v="707"/>
    <s v="Cust 3291"/>
    <x v="2"/>
    <n v="46.99"/>
    <n v="2"/>
    <n v="14.1"/>
    <n v="0.15"/>
    <s v="Cust 3291"/>
    <s v="Yoseph Carroll"/>
    <x v="3"/>
    <s v="Los Angeles"/>
    <s v="California"/>
    <x v="1"/>
  </r>
  <r>
    <s v="REG101305"/>
    <x v="601"/>
    <s v="Cust 5258"/>
    <x v="5"/>
    <n v="7468.1"/>
    <n v="17"/>
    <n v="2240.4299999999998"/>
    <n v="0"/>
    <s v="Cust 5258"/>
    <s v="Russell Applegate"/>
    <x v="2"/>
    <s v="Chicago"/>
    <s v="Illinois"/>
    <x v="1"/>
  </r>
  <r>
    <s v="REG101306"/>
    <x v="499"/>
    <s v="Cust 4715"/>
    <x v="4"/>
    <n v="8607.15"/>
    <n v="15"/>
    <n v="2582.15"/>
    <n v="0"/>
    <s v="Cust 4715"/>
    <s v="Charles McCrossin"/>
    <x v="0"/>
    <s v="Philadelphia"/>
    <s v="Pennsylvania"/>
    <x v="1"/>
  </r>
  <r>
    <s v="REG100644"/>
    <x v="500"/>
    <s v="Cust 4715"/>
    <x v="5"/>
    <n v="3637.08"/>
    <n v="12"/>
    <n v="1091.1199999999999"/>
    <n v="0"/>
    <s v="Cust 4715"/>
    <s v="Charles McCrossin"/>
    <x v="0"/>
    <s v="Philadelphia"/>
    <s v="Pennsylvania"/>
    <x v="0"/>
  </r>
  <r>
    <s v="REG101307"/>
    <x v="170"/>
    <s v="Cust 3106"/>
    <x v="2"/>
    <n v="6499.08"/>
    <n v="19"/>
    <n v="1949.72"/>
    <n v="0.05"/>
    <s v="Cust 3106"/>
    <s v="Chad Sievert"/>
    <x v="2"/>
    <s v="Englewood"/>
    <s v="Colorado"/>
    <x v="0"/>
  </r>
  <r>
    <s v="REG100928"/>
    <x v="28"/>
    <s v="Cust 3106"/>
    <x v="4"/>
    <n v="864.13"/>
    <n v="13"/>
    <n v="259.24"/>
    <n v="0.05"/>
    <s v="Cust 3106"/>
    <s v="Chad Sievert"/>
    <x v="2"/>
    <s v="Englewood"/>
    <s v="Colorado"/>
    <x v="1"/>
  </r>
  <r>
    <s v="REG101308"/>
    <x v="374"/>
    <s v="Cust 9606"/>
    <x v="0"/>
    <n v="3371.76"/>
    <n v="7"/>
    <n v="1011.53"/>
    <n v="0.1"/>
    <s v="Cust 9606"/>
    <s v="Anthony Johnson"/>
    <x v="0"/>
    <s v="Seattle"/>
    <s v="Washington"/>
    <x v="2"/>
  </r>
  <r>
    <s v="REG101309"/>
    <x v="455"/>
    <s v="Cust 9182"/>
    <x v="3"/>
    <n v="3061.47"/>
    <n v="19"/>
    <n v="918.44"/>
    <n v="0"/>
    <s v="Cust 9182"/>
    <s v="Dan Lawera"/>
    <x v="0"/>
    <s v="Hialeah"/>
    <s v="Florida"/>
    <x v="1"/>
  </r>
  <r>
    <s v="REG101310"/>
    <x v="72"/>
    <s v="Cust 6299"/>
    <x v="0"/>
    <n v="276.76"/>
    <n v="11"/>
    <n v="83.03"/>
    <n v="0.15"/>
    <s v="Cust 6299"/>
    <s v="Bobby Elias"/>
    <x v="1"/>
    <s v="Lancaster"/>
    <s v="Ohio"/>
    <x v="1"/>
  </r>
  <r>
    <s v="REG101311"/>
    <x v="466"/>
    <s v="Cust 9628"/>
    <x v="0"/>
    <n v="2351.3000000000002"/>
    <n v="16"/>
    <n v="705.39"/>
    <n v="0.15"/>
    <s v="Cust 9628"/>
    <s v="Sean Miller"/>
    <x v="1"/>
    <s v="Jacksonville"/>
    <s v="Florida"/>
    <x v="0"/>
  </r>
  <r>
    <s v="REG101312"/>
    <x v="104"/>
    <s v="Cust 3831"/>
    <x v="1"/>
    <n v="240.3"/>
    <n v="5"/>
    <n v="72.09"/>
    <n v="0"/>
    <s v="Cust 3831"/>
    <s v="Resi PÃƒÂ¶lking"/>
    <x v="2"/>
    <s v="Baltimore"/>
    <s v="Maryland"/>
    <x v="0"/>
  </r>
  <r>
    <s v="REG101313"/>
    <x v="91"/>
    <s v="Cust 7955"/>
    <x v="2"/>
    <n v="351.29"/>
    <n v="7"/>
    <n v="105.39"/>
    <n v="0.1"/>
    <s v="Cust 7955"/>
    <s v="Joy Daniels"/>
    <x v="3"/>
    <s v="New York City"/>
    <s v="New York"/>
    <x v="0"/>
  </r>
  <r>
    <s v="REG101314"/>
    <x v="279"/>
    <s v="Cust 3939"/>
    <x v="0"/>
    <n v="83.57"/>
    <n v="4"/>
    <n v="25.07"/>
    <n v="0.15"/>
    <s v="Cust 3939"/>
    <s v="Alejandro Ballentine"/>
    <x v="1"/>
    <s v="Carlsbad"/>
    <s v="New Mexico"/>
    <x v="0"/>
  </r>
  <r>
    <s v="REG101315"/>
    <x v="349"/>
    <s v="Cust 7916"/>
    <x v="2"/>
    <n v="1009.64"/>
    <n v="2"/>
    <n v="302.89"/>
    <n v="0"/>
    <s v="Cust 7916"/>
    <s v="Charles Crestani"/>
    <x v="4"/>
    <s v="Los Angeles"/>
    <s v="California"/>
    <x v="0"/>
  </r>
  <r>
    <s v="REG101316"/>
    <x v="708"/>
    <s v="Cust 2477"/>
    <x v="6"/>
    <n v="4221.12"/>
    <n v="17"/>
    <n v="1266.3399999999999"/>
    <n v="0.1"/>
    <s v="Cust 2477"/>
    <s v="Gary Hwang"/>
    <x v="2"/>
    <s v="Jacksonville"/>
    <s v="Florida"/>
    <x v="0"/>
  </r>
  <r>
    <s v="REG101317"/>
    <x v="679"/>
    <s v="Cust 3781"/>
    <x v="2"/>
    <n v="1057.6199999999999"/>
    <n v="9"/>
    <n v="317.29000000000002"/>
    <n v="0.1"/>
    <s v="Cust 3781"/>
    <s v="Cathy Prescott"/>
    <x v="4"/>
    <s v="Lakewood"/>
    <s v="Ohio"/>
    <x v="2"/>
  </r>
  <r>
    <s v="REG101318"/>
    <x v="351"/>
    <s v="Cust 2641"/>
    <x v="5"/>
    <n v="3752.64"/>
    <n v="12"/>
    <n v="1125.79"/>
    <n v="0"/>
    <s v="Cust 2641"/>
    <s v="Gary McGarr"/>
    <x v="4"/>
    <s v="Troy"/>
    <s v="New York"/>
    <x v="2"/>
  </r>
  <r>
    <s v="REG100483"/>
    <x v="413"/>
    <s v="Cust 2641"/>
    <x v="5"/>
    <n v="3456.96"/>
    <n v="8"/>
    <n v="1037.0899999999999"/>
    <n v="0"/>
    <s v="Cust 2641"/>
    <s v="Gary McGarr"/>
    <x v="4"/>
    <s v="Troy"/>
    <s v="New York"/>
    <x v="1"/>
  </r>
  <r>
    <s v="REG101319"/>
    <x v="530"/>
    <s v="Cust 1969"/>
    <x v="6"/>
    <n v="3807.49"/>
    <n v="18"/>
    <n v="1142.25"/>
    <n v="0.05"/>
    <s v="Cust 1969"/>
    <s v="Lena Creighton"/>
    <x v="4"/>
    <s v="Wilmington"/>
    <s v="North Carolina"/>
    <x v="1"/>
  </r>
  <r>
    <s v="REG101320"/>
    <x v="149"/>
    <s v="Cust 4494"/>
    <x v="1"/>
    <n v="4619.5200000000004"/>
    <n v="13"/>
    <n v="1385.86"/>
    <n v="0.05"/>
    <s v="Cust 4494"/>
    <s v="Beth Thompson"/>
    <x v="0"/>
    <s v="Seattle"/>
    <s v="Washington"/>
    <x v="1"/>
  </r>
  <r>
    <s v="REG101321"/>
    <x v="499"/>
    <s v="Cust 8850"/>
    <x v="4"/>
    <n v="3279.77"/>
    <n v="11"/>
    <n v="983.93"/>
    <n v="0.1"/>
    <s v="Cust 8850"/>
    <s v="Cathy Prescott"/>
    <x v="3"/>
    <s v="New York City"/>
    <s v="New York"/>
    <x v="1"/>
  </r>
  <r>
    <s v="REG100954"/>
    <x v="469"/>
    <s v="Cust 8850"/>
    <x v="3"/>
    <n v="2036.58"/>
    <n v="9"/>
    <n v="610.97"/>
    <n v="0.1"/>
    <s v="Cust 8850"/>
    <s v="Cathy Prescott"/>
    <x v="3"/>
    <s v="New York City"/>
    <s v="New York"/>
    <x v="0"/>
  </r>
  <r>
    <s v="REG101322"/>
    <x v="709"/>
    <s v="Cust 3061"/>
    <x v="1"/>
    <n v="2667.6"/>
    <n v="5"/>
    <n v="800.28"/>
    <n v="0"/>
    <s v="Cust 3061"/>
    <s v="Steve Carroll"/>
    <x v="3"/>
    <s v="Columbus"/>
    <s v="Georgia"/>
    <x v="2"/>
  </r>
  <r>
    <s v="REG101334"/>
    <x v="617"/>
    <s v="Cust 4732"/>
    <x v="3"/>
    <n v="359.44"/>
    <n v="1"/>
    <n v="107.83"/>
    <n v="0.05"/>
    <s v="Cust 4732"/>
    <s v="Dennis Kane"/>
    <x v="0"/>
    <s v="New York City"/>
    <s v="New York"/>
    <x v="0"/>
  </r>
  <r>
    <s v="REG101323"/>
    <x v="710"/>
    <s v="Cust 4732"/>
    <x v="3"/>
    <n v="4922.3999999999996"/>
    <n v="10"/>
    <n v="1476.72"/>
    <n v="0"/>
    <s v="Cust 4732"/>
    <s v="Dennis Kane"/>
    <x v="0"/>
    <s v="New York City"/>
    <s v="New York"/>
    <x v="2"/>
  </r>
  <r>
    <s v="REG101324"/>
    <x v="593"/>
    <s v="Cust 9889"/>
    <x v="6"/>
    <n v="4158.3100000000004"/>
    <n v="9"/>
    <n v="1247.49"/>
    <n v="0.15"/>
    <s v="Cust 9889"/>
    <s v="Sanjit Engle"/>
    <x v="1"/>
    <s v="Costa Mesa"/>
    <s v="California"/>
    <x v="0"/>
  </r>
  <r>
    <s v="REG101325"/>
    <x v="711"/>
    <s v="Cust 2165"/>
    <x v="2"/>
    <n v="2168.9299999999998"/>
    <n v="17"/>
    <n v="650.67999999999995"/>
    <n v="0.1"/>
    <s v="Cust 2165"/>
    <s v="Luke Foster"/>
    <x v="1"/>
    <s v="Houston"/>
    <s v="Texas"/>
    <x v="1"/>
  </r>
  <r>
    <s v="REG101326"/>
    <x v="712"/>
    <s v="Cust 6121"/>
    <x v="0"/>
    <n v="5429.16"/>
    <n v="12"/>
    <n v="1628.75"/>
    <n v="0.1"/>
    <s v="Cust 6121"/>
    <s v="Odella Nelson"/>
    <x v="2"/>
    <s v="Cary"/>
    <s v="North Carolina"/>
    <x v="0"/>
  </r>
  <r>
    <s v="REG101327"/>
    <x v="353"/>
    <s v="Cust 4071"/>
    <x v="6"/>
    <n v="1476.59"/>
    <n v="10"/>
    <n v="442.98"/>
    <n v="0.05"/>
    <s v="Cust 4071"/>
    <s v="Tom Boeckenhauer"/>
    <x v="0"/>
    <s v="Alexandria"/>
    <s v="Virginia"/>
    <x v="0"/>
  </r>
  <r>
    <s v="REG101328"/>
    <x v="713"/>
    <s v="Cust 5249"/>
    <x v="6"/>
    <n v="3667.14"/>
    <n v="18"/>
    <n v="1100.1400000000001"/>
    <n v="0"/>
    <s v="Cust 5249"/>
    <s v="David Flashing"/>
    <x v="2"/>
    <s v="Vallejo"/>
    <s v="California"/>
    <x v="0"/>
  </r>
  <r>
    <s v="REG101329"/>
    <x v="471"/>
    <s v="Cust 4262"/>
    <x v="1"/>
    <n v="1183.48"/>
    <n v="3"/>
    <n v="355.04"/>
    <n v="0.15"/>
    <s v="Cust 4262"/>
    <s v="Emily Phan"/>
    <x v="1"/>
    <s v="Philadelphia"/>
    <s v="Pennsylvania"/>
    <x v="0"/>
  </r>
  <r>
    <s v="REG101330"/>
    <x v="485"/>
    <s v="Cust 9314"/>
    <x v="3"/>
    <n v="751.45"/>
    <n v="2"/>
    <n v="225.44"/>
    <n v="0.15"/>
    <s v="Cust 9314"/>
    <s v="Sally Knutson"/>
    <x v="3"/>
    <s v="Toledo"/>
    <s v="Ohio"/>
    <x v="1"/>
  </r>
  <r>
    <s v="REG101331"/>
    <x v="714"/>
    <s v="Cust 7703"/>
    <x v="1"/>
    <n v="551.35"/>
    <n v="7"/>
    <n v="165.41"/>
    <n v="0.05"/>
    <s v="Cust 7703"/>
    <s v="Fred Harton"/>
    <x v="2"/>
    <s v="Seattle"/>
    <s v="Washington"/>
    <x v="2"/>
  </r>
  <r>
    <s v="REG101332"/>
    <x v="164"/>
    <s v="Cust 8367"/>
    <x v="1"/>
    <n v="5173.17"/>
    <n v="13"/>
    <n v="1551.95"/>
    <n v="0.15"/>
    <s v="Cust 8367"/>
    <s v="Eric Hoffmann"/>
    <x v="2"/>
    <s v="Plainfield"/>
    <s v="New Jersey"/>
    <x v="2"/>
  </r>
  <r>
    <s v="REG100160"/>
    <x v="165"/>
    <s v="Cust 8367"/>
    <x v="5"/>
    <n v="3784.3"/>
    <n v="13"/>
    <n v="1135.29"/>
    <n v="0"/>
    <s v="Cust 8367"/>
    <s v="Eric Hoffmann"/>
    <x v="2"/>
    <s v="Plainfield"/>
    <s v="New Jersey"/>
    <x v="0"/>
  </r>
  <r>
    <s v="REG101333"/>
    <x v="431"/>
    <s v="Cust 7872"/>
    <x v="6"/>
    <n v="32.26"/>
    <n v="3"/>
    <n v="9.68"/>
    <n v="0.05"/>
    <s v="Cust 7872"/>
    <s v="Joe Elijah"/>
    <x v="3"/>
    <s v="Las Cruces"/>
    <s v="New Mexico"/>
    <x v="0"/>
  </r>
  <r>
    <s v="REG101069"/>
    <x v="502"/>
    <s v="Cust 7872"/>
    <x v="3"/>
    <n v="891.96"/>
    <n v="3"/>
    <n v="267.58999999999997"/>
    <n v="0.05"/>
    <s v="Cust 7872"/>
    <s v="Joe Elijah"/>
    <x v="3"/>
    <s v="Las Cruces"/>
    <s v="New Mexico"/>
    <x v="0"/>
  </r>
  <r>
    <s v="REG101334"/>
    <x v="617"/>
    <s v="Cust 4732"/>
    <x v="3"/>
    <n v="359.44"/>
    <n v="1"/>
    <n v="107.83"/>
    <n v="0.05"/>
    <s v="Cust 4732"/>
    <s v="Ken Lonsdale"/>
    <x v="0"/>
    <s v="Newark"/>
    <s v="Delaware"/>
    <x v="2"/>
  </r>
  <r>
    <s v="REG101323"/>
    <x v="710"/>
    <s v="Cust 4732"/>
    <x v="3"/>
    <n v="4922.3999999999996"/>
    <n v="10"/>
    <n v="1476.72"/>
    <n v="0"/>
    <s v="Cust 4732"/>
    <s v="Ken Lonsdale"/>
    <x v="0"/>
    <s v="Newark"/>
    <s v="Delaware"/>
    <x v="0"/>
  </r>
  <r>
    <s v="REG101335"/>
    <x v="715"/>
    <s v="Cust 1007"/>
    <x v="6"/>
    <n v="366.36"/>
    <n v="6"/>
    <n v="109.91"/>
    <n v="0"/>
    <s v="Cust 1007"/>
    <s v="Edward Becker"/>
    <x v="4"/>
    <s v="Hoover"/>
    <s v="Alabama"/>
    <x v="0"/>
  </r>
  <r>
    <s v="REG101336"/>
    <x v="181"/>
    <s v="Cust 1946"/>
    <x v="6"/>
    <n v="1235.56"/>
    <n v="14"/>
    <n v="370.67"/>
    <n v="0.1"/>
    <s v="Cust 1946"/>
    <s v="Bruce Degenhardt"/>
    <x v="1"/>
    <s v="Newark"/>
    <s v="Ohio"/>
    <x v="0"/>
  </r>
  <r>
    <s v="REG101337"/>
    <x v="716"/>
    <s v="Cust 6347"/>
    <x v="0"/>
    <n v="1684.5"/>
    <n v="16"/>
    <n v="505.35"/>
    <n v="0.15"/>
    <s v="Cust 6347"/>
    <s v="MaryBeth Skach"/>
    <x v="4"/>
    <s v="San Diego"/>
    <s v="California"/>
    <x v="1"/>
  </r>
  <r>
    <s v="REG101352"/>
    <x v="311"/>
    <s v="Cust 6499"/>
    <x v="6"/>
    <n v="1970.64"/>
    <n v="12"/>
    <n v="591.19000000000005"/>
    <n v="0"/>
    <s v="Cust 6499"/>
    <s v="Stewart Carmichael"/>
    <x v="0"/>
    <s v="San Francisco"/>
    <s v="California"/>
    <x v="0"/>
  </r>
  <r>
    <s v="REG101338"/>
    <x v="447"/>
    <s v="Cust 6499"/>
    <x v="0"/>
    <n v="1372.56"/>
    <n v="16"/>
    <n v="411.77"/>
    <n v="0.05"/>
    <s v="Cust 6499"/>
    <s v="Stewart Carmichael"/>
    <x v="0"/>
    <s v="San Francisco"/>
    <s v="California"/>
    <x v="0"/>
  </r>
  <r>
    <s v="REG101339"/>
    <x v="511"/>
    <s v="Cust 1420"/>
    <x v="6"/>
    <n v="7628.74"/>
    <n v="18"/>
    <n v="2288.62"/>
    <n v="0.1"/>
    <s v="Cust 1420"/>
    <s v="Fred McMath"/>
    <x v="3"/>
    <s v="Jacksonville"/>
    <s v="North Carolina"/>
    <x v="0"/>
  </r>
  <r>
    <s v="REG101340"/>
    <x v="598"/>
    <s v="Cust 6744"/>
    <x v="5"/>
    <n v="4601.3999999999996"/>
    <n v="12"/>
    <n v="1380.42"/>
    <n v="0"/>
    <s v="Cust 6744"/>
    <s v="Kean Thornton"/>
    <x v="1"/>
    <s v="Franklin"/>
    <s v="Massachusetts"/>
    <x v="0"/>
  </r>
  <r>
    <s v="REG101341"/>
    <x v="276"/>
    <s v="Cust 5690"/>
    <x v="6"/>
    <n v="4996.9799999999996"/>
    <n v="20"/>
    <n v="1499.09"/>
    <n v="0.15"/>
    <s v="Cust 5690"/>
    <s v="Anne Pryor"/>
    <x v="0"/>
    <s v="Frisco"/>
    <s v="Texas"/>
    <x v="0"/>
  </r>
  <r>
    <s v="REG101342"/>
    <x v="62"/>
    <s v="Cust 1265"/>
    <x v="2"/>
    <n v="908.02"/>
    <n v="2"/>
    <n v="272.41000000000003"/>
    <n v="0"/>
    <s v="Cust 1265"/>
    <s v="Ritsa Hightower"/>
    <x v="0"/>
    <s v="Tallahassee"/>
    <s v="Florida"/>
    <x v="0"/>
  </r>
  <r>
    <s v="REG101343"/>
    <x v="717"/>
    <s v="Cust 7676"/>
    <x v="3"/>
    <n v="776.86"/>
    <n v="5"/>
    <n v="233.06"/>
    <n v="0.05"/>
    <s v="Cust 7676"/>
    <s v="Carlos Soltero"/>
    <x v="1"/>
    <s v="Seattle"/>
    <s v="Washington"/>
    <x v="2"/>
  </r>
  <r>
    <s v="REG101344"/>
    <x v="674"/>
    <s v="Cust 4442"/>
    <x v="5"/>
    <n v="1699.32"/>
    <n v="12"/>
    <n v="509.8"/>
    <n v="0"/>
    <s v="Cust 4442"/>
    <s v="Tamara Manning"/>
    <x v="2"/>
    <s v="Vacaville"/>
    <s v="California"/>
    <x v="2"/>
  </r>
  <r>
    <s v="REG101345"/>
    <x v="388"/>
    <s v="Cust 2975"/>
    <x v="3"/>
    <n v="1793.77"/>
    <n v="6"/>
    <n v="538.13"/>
    <n v="0.1"/>
    <s v="Cust 2975"/>
    <s v="Herbert Flentye"/>
    <x v="1"/>
    <s v="Los Angeles"/>
    <s v="California"/>
    <x v="0"/>
  </r>
  <r>
    <s v="REG101346"/>
    <x v="718"/>
    <s v="Cust 7832"/>
    <x v="5"/>
    <n v="5521.12"/>
    <n v="14"/>
    <n v="1656.34"/>
    <n v="0.15"/>
    <s v="Cust 7832"/>
    <s v="George Ashbrook"/>
    <x v="3"/>
    <s v="San Francisco"/>
    <s v="California"/>
    <x v="0"/>
  </r>
  <r>
    <s v="REG101347"/>
    <x v="162"/>
    <s v="Cust 7753"/>
    <x v="2"/>
    <n v="580.29999999999995"/>
    <n v="10"/>
    <n v="174.09"/>
    <n v="0.15"/>
    <s v="Cust 7753"/>
    <s v="Erica Smith"/>
    <x v="1"/>
    <s v="New York City"/>
    <s v="New York"/>
    <x v="0"/>
  </r>
  <r>
    <s v="REG100945"/>
    <x v="541"/>
    <s v="Cust 7753"/>
    <x v="0"/>
    <n v="8654.4599999999991"/>
    <n v="17"/>
    <n v="2596.34"/>
    <n v="0.05"/>
    <s v="Cust 7753"/>
    <s v="Erica Smith"/>
    <x v="1"/>
    <s v="New York City"/>
    <s v="New York"/>
    <x v="0"/>
  </r>
  <r>
    <s v="REG101348"/>
    <x v="515"/>
    <s v="Cust 8639"/>
    <x v="0"/>
    <n v="205.28"/>
    <n v="8"/>
    <n v="61.58"/>
    <n v="0.05"/>
    <s v="Cust 8639"/>
    <s v="Julie Prescott"/>
    <x v="3"/>
    <s v="Columbus"/>
    <s v="Georgia"/>
    <x v="0"/>
  </r>
  <r>
    <s v="REG101349"/>
    <x v="562"/>
    <s v="Cust 9878"/>
    <x v="6"/>
    <n v="638.28"/>
    <n v="9"/>
    <n v="191.48"/>
    <n v="0.1"/>
    <s v="Cust 9878"/>
    <s v="Dean percer"/>
    <x v="2"/>
    <s v="Murray"/>
    <s v="Utah"/>
    <x v="0"/>
  </r>
  <r>
    <s v="REG100786"/>
    <x v="563"/>
    <s v="Cust 9878"/>
    <x v="6"/>
    <n v="3772.25"/>
    <n v="13"/>
    <n v="1131.67"/>
    <n v="0.15"/>
    <s v="Cust 9878"/>
    <s v="Dean percer"/>
    <x v="2"/>
    <s v="Murray"/>
    <s v="Utah"/>
    <x v="0"/>
  </r>
  <r>
    <s v="REG101350"/>
    <x v="676"/>
    <s v="Cust 4205"/>
    <x v="6"/>
    <n v="2375.65"/>
    <n v="16"/>
    <n v="712.69"/>
    <n v="0.15"/>
    <s v="Cust 4205"/>
    <s v="Neil Knudson"/>
    <x v="4"/>
    <s v="San Francisco"/>
    <s v="California"/>
    <x v="0"/>
  </r>
  <r>
    <s v="REG101166"/>
    <x v="30"/>
    <s v="Cust 4205"/>
    <x v="3"/>
    <n v="386"/>
    <n v="20"/>
    <n v="115.8"/>
    <n v="0"/>
    <s v="Cust 4205"/>
    <s v="Neil Knudson"/>
    <x v="4"/>
    <s v="San Francisco"/>
    <s v="California"/>
    <x v="0"/>
  </r>
  <r>
    <s v="REG101351"/>
    <x v="385"/>
    <s v="Cust 4009"/>
    <x v="4"/>
    <n v="1163.03"/>
    <n v="4"/>
    <n v="348.91"/>
    <n v="0.05"/>
    <s v="Cust 4009"/>
    <s v="Paul Lucas"/>
    <x v="3"/>
    <s v="Philadelphia"/>
    <s v="Pennsylvania"/>
    <x v="0"/>
  </r>
  <r>
    <s v="REG100649"/>
    <x v="504"/>
    <s v="Cust 4009"/>
    <x v="3"/>
    <n v="7103.04"/>
    <n v="12"/>
    <n v="2130.91"/>
    <n v="0"/>
    <s v="Cust 4009"/>
    <s v="Paul Lucas"/>
    <x v="3"/>
    <s v="Philadelphia"/>
    <s v="Pennsylvania"/>
    <x v="0"/>
  </r>
  <r>
    <s v="REG101352"/>
    <x v="311"/>
    <s v="Cust 6499"/>
    <x v="6"/>
    <n v="1970.64"/>
    <n v="12"/>
    <n v="591.19000000000005"/>
    <n v="0"/>
    <s v="Cust 6499"/>
    <s v="Robert Waldorf"/>
    <x v="1"/>
    <s v="Philadelphia"/>
    <s v="Pennsylvania"/>
    <x v="1"/>
  </r>
  <r>
    <s v="REG101338"/>
    <x v="447"/>
    <s v="Cust 6499"/>
    <x v="0"/>
    <n v="1372.56"/>
    <n v="16"/>
    <n v="411.77"/>
    <n v="0.05"/>
    <s v="Cust 6499"/>
    <s v="Robert Waldorf"/>
    <x v="1"/>
    <s v="Philadelphia"/>
    <s v="Pennsylvania"/>
    <x v="1"/>
  </r>
  <r>
    <s v="REG101353"/>
    <x v="69"/>
    <s v="Cust 4389"/>
    <x v="6"/>
    <n v="6725.8"/>
    <n v="20"/>
    <n v="2017.74"/>
    <n v="0"/>
    <s v="Cust 4389"/>
    <s v="Michael Oakman"/>
    <x v="2"/>
    <s v="Dallas"/>
    <s v="Texas"/>
    <x v="1"/>
  </r>
  <r>
    <s v="REG101354"/>
    <x v="719"/>
    <s v="Cust 2008"/>
    <x v="6"/>
    <n v="1135.58"/>
    <n v="7"/>
    <n v="340.67"/>
    <n v="0.1"/>
    <s v="Cust 2008"/>
    <s v="Jennifer Jackson"/>
    <x v="4"/>
    <s v="Waukesha"/>
    <s v="Wisconsin"/>
    <x v="0"/>
  </r>
  <r>
    <s v="REG101355"/>
    <x v="525"/>
    <s v="Cust 6509"/>
    <x v="5"/>
    <n v="21.75"/>
    <n v="1"/>
    <n v="6.53"/>
    <n v="0"/>
    <s v="Cust 6509"/>
    <s v="Brian Thompson"/>
    <x v="2"/>
    <s v="Fort Lauderdale"/>
    <s v="Florida"/>
    <x v="0"/>
  </r>
  <r>
    <s v="REG101356"/>
    <x v="188"/>
    <s v="Cust 4270"/>
    <x v="6"/>
    <n v="1745.17"/>
    <n v="13"/>
    <n v="523.54999999999995"/>
    <n v="0.1"/>
    <s v="Cust 4270"/>
    <s v="Rob Dowd"/>
    <x v="4"/>
    <s v="Detroit"/>
    <s v="Michigan"/>
    <x v="2"/>
  </r>
  <r>
    <s v="REG100924"/>
    <x v="462"/>
    <s v="Cust 4270"/>
    <x v="0"/>
    <n v="561.92999999999995"/>
    <n v="3"/>
    <n v="168.58"/>
    <n v="0.05"/>
    <s v="Cust 4270"/>
    <s v="Rob Dowd"/>
    <x v="4"/>
    <s v="Detroit"/>
    <s v="Michigan"/>
    <x v="0"/>
  </r>
  <r>
    <s v="REG100585"/>
    <x v="109"/>
    <s v="Cust 4270"/>
    <x v="1"/>
    <n v="79.12"/>
    <n v="4"/>
    <n v="23.74"/>
    <n v="0.15"/>
    <s v="Cust 4270"/>
    <s v="Rob Dowd"/>
    <x v="4"/>
    <s v="Detroit"/>
    <s v="Michigan"/>
    <x v="1"/>
  </r>
  <r>
    <s v="REG101357"/>
    <x v="720"/>
    <s v="Cust 4414"/>
    <x v="3"/>
    <n v="1314.36"/>
    <n v="7"/>
    <n v="394.31"/>
    <n v="0.15"/>
    <s v="Cust 4414"/>
    <s v="Max Ludwig"/>
    <x v="3"/>
    <s v="Springfield"/>
    <s v="Ohio"/>
    <x v="0"/>
  </r>
  <r>
    <s v="REG101358"/>
    <x v="264"/>
    <s v="Cust 6409"/>
    <x v="3"/>
    <n v="327.84"/>
    <n v="1"/>
    <n v="98.35"/>
    <n v="0.1"/>
    <s v="Cust 6409"/>
    <s v="Joel Eaton"/>
    <x v="0"/>
    <s v="San Diego"/>
    <s v="California"/>
    <x v="0"/>
  </r>
  <r>
    <s v="REG101359"/>
    <x v="254"/>
    <s v="Cust 1621"/>
    <x v="5"/>
    <n v="2757.78"/>
    <n v="9"/>
    <n v="827.33"/>
    <n v="0"/>
    <s v="Cust 1621"/>
    <s v="Elpida Rittenbach"/>
    <x v="2"/>
    <s v="Colorado Springs"/>
    <s v="Colorado"/>
    <x v="0"/>
  </r>
  <r>
    <s v="REG101360"/>
    <x v="416"/>
    <s v="Cust 6790"/>
    <x v="6"/>
    <n v="9541.7999999999993"/>
    <n v="18"/>
    <n v="2862.54"/>
    <n v="0.1"/>
    <s v="Cust 6790"/>
    <s v="Jessica Myrick"/>
    <x v="2"/>
    <s v="Bakersfield"/>
    <s v="California"/>
    <x v="0"/>
  </r>
  <r>
    <s v="REG101361"/>
    <x v="721"/>
    <s v="Cust 4045"/>
    <x v="2"/>
    <n v="3592.08"/>
    <n v="16"/>
    <n v="1077.6199999999999"/>
    <n v="0.1"/>
    <s v="Cust 4045"/>
    <s v="Saphhira Shifley"/>
    <x v="1"/>
    <s v="Pompano Beach"/>
    <s v="Florida"/>
    <x v="1"/>
  </r>
  <r>
    <s v="REG101362"/>
    <x v="453"/>
    <s v="Cust 1258"/>
    <x v="5"/>
    <n v="8366.08"/>
    <n v="20"/>
    <n v="2509.8200000000002"/>
    <n v="0.05"/>
    <s v="Cust 1258"/>
    <s v="Toby Carlisle"/>
    <x v="2"/>
    <s v="New York City"/>
    <s v="New York"/>
    <x v="0"/>
  </r>
  <r>
    <s v="REG101363"/>
    <x v="100"/>
    <s v="Cust 8051"/>
    <x v="6"/>
    <n v="304.02"/>
    <n v="3"/>
    <n v="91.21"/>
    <n v="0"/>
    <s v="Cust 8051"/>
    <s v="Hunter Glantz"/>
    <x v="3"/>
    <s v="Lakeville"/>
    <s v="Minnesota"/>
    <x v="0"/>
  </r>
  <r>
    <s v="REG101364"/>
    <x v="623"/>
    <s v="Cust 9371"/>
    <x v="1"/>
    <n v="5032.5"/>
    <n v="17"/>
    <n v="1509.75"/>
    <n v="0.05"/>
    <s v="Cust 9371"/>
    <s v="Lisa DeCherney"/>
    <x v="1"/>
    <s v="Detroit"/>
    <s v="Michigan"/>
    <x v="0"/>
  </r>
  <r>
    <s v="REG101365"/>
    <x v="722"/>
    <s v="Cust 9881"/>
    <x v="5"/>
    <n v="750.01"/>
    <n v="2"/>
    <n v="225"/>
    <n v="0.15"/>
    <s v="Cust 9881"/>
    <s v="Alejandro Savely"/>
    <x v="1"/>
    <s v="Philadelphia"/>
    <s v="Pennsylvania"/>
    <x v="0"/>
  </r>
  <r>
    <s v="REG101366"/>
    <x v="217"/>
    <s v="Cust 2153"/>
    <x v="3"/>
    <n v="5159.88"/>
    <n v="20"/>
    <n v="1547.96"/>
    <n v="0.1"/>
    <s v="Cust 2153"/>
    <s v="Michael Paige"/>
    <x v="2"/>
    <s v="Troy"/>
    <s v="Ohio"/>
    <x v="0"/>
  </r>
  <r>
    <s v="REG100220"/>
    <x v="218"/>
    <s v="Cust 2153"/>
    <x v="1"/>
    <n v="2661.3"/>
    <n v="10"/>
    <n v="798.39"/>
    <n v="0"/>
    <s v="Cust 2153"/>
    <s v="Michael Paige"/>
    <x v="2"/>
    <s v="Troy"/>
    <s v="Ohio"/>
    <x v="0"/>
  </r>
  <r>
    <s v="REG101367"/>
    <x v="453"/>
    <s v="Cust 9189"/>
    <x v="4"/>
    <n v="5972.83"/>
    <n v="13"/>
    <n v="1791.85"/>
    <n v="0.05"/>
    <s v="Cust 9189"/>
    <s v="Cynthia Delaney"/>
    <x v="2"/>
    <s v="Los Angeles"/>
    <s v="California"/>
    <x v="0"/>
  </r>
  <r>
    <s v="REG101368"/>
    <x v="66"/>
    <s v="Cust 8802"/>
    <x v="6"/>
    <n v="2311.54"/>
    <n v="8"/>
    <n v="693.46"/>
    <n v="0.05"/>
    <s v="Cust 8802"/>
    <s v="Michael Dominguez"/>
    <x v="4"/>
    <s v="Corpus Christi"/>
    <s v="Texas"/>
    <x v="0"/>
  </r>
  <r>
    <s v="REG101369"/>
    <x v="478"/>
    <s v="Cust 8707"/>
    <x v="4"/>
    <n v="4069.89"/>
    <n v="10"/>
    <n v="1220.97"/>
    <n v="0.1"/>
    <s v="Cust 8707"/>
    <s v="Brian Moss"/>
    <x v="0"/>
    <s v="Omaha"/>
    <s v="Nebraska"/>
    <x v="1"/>
  </r>
  <r>
    <s v="REG101455"/>
    <x v="723"/>
    <s v="Cust 5638"/>
    <x v="6"/>
    <n v="2726.64"/>
    <n v="14"/>
    <n v="817.99"/>
    <n v="0.1"/>
    <s v="Cust 5638"/>
    <s v="Kean Nguyen"/>
    <x v="0"/>
    <s v="Redondo Beach"/>
    <s v="California"/>
    <x v="1"/>
  </r>
  <r>
    <s v="REG101370"/>
    <x v="724"/>
    <s v="Cust 5638"/>
    <x v="4"/>
    <n v="893.38"/>
    <n v="4"/>
    <n v="268.01"/>
    <n v="0.1"/>
    <s v="Cust 5638"/>
    <s v="Kean Nguyen"/>
    <x v="0"/>
    <s v="Redondo Beach"/>
    <s v="California"/>
    <x v="1"/>
  </r>
  <r>
    <s v="REG101371"/>
    <x v="656"/>
    <s v="Cust 6036"/>
    <x v="0"/>
    <n v="2080"/>
    <n v="4"/>
    <n v="624"/>
    <n v="0"/>
    <s v="Cust 6036"/>
    <s v="Ivan Gibson"/>
    <x v="0"/>
    <s v="Little Rock"/>
    <s v="Arkansas"/>
    <x v="1"/>
  </r>
  <r>
    <s v="REG101372"/>
    <x v="725"/>
    <s v="Cust 5504"/>
    <x v="3"/>
    <n v="6281.77"/>
    <n v="11"/>
    <n v="1884.53"/>
    <n v="0"/>
    <s v="Cust 5504"/>
    <s v="Jill Stevenson"/>
    <x v="1"/>
    <s v="Miami"/>
    <s v="Florida"/>
    <x v="2"/>
  </r>
  <r>
    <s v="REG101373"/>
    <x v="464"/>
    <s v="Cust 1161"/>
    <x v="6"/>
    <n v="649.14"/>
    <n v="11"/>
    <n v="194.74"/>
    <n v="0.1"/>
    <s v="Cust 1161"/>
    <s v="Guy Armstrong"/>
    <x v="0"/>
    <s v="Salem"/>
    <s v="Oregon"/>
    <x v="2"/>
  </r>
  <r>
    <s v="REG101374"/>
    <x v="469"/>
    <s v="Cust 5420"/>
    <x v="6"/>
    <n v="1588.08"/>
    <n v="4"/>
    <n v="476.42"/>
    <n v="0"/>
    <s v="Cust 5420"/>
    <s v="Denise Leinenbach"/>
    <x v="1"/>
    <s v="Las Cruces"/>
    <s v="New Mexico"/>
    <x v="2"/>
  </r>
  <r>
    <s v="REG101375"/>
    <x v="701"/>
    <s v="Cust 7745"/>
    <x v="0"/>
    <n v="1608.83"/>
    <n v="10"/>
    <n v="482.65"/>
    <n v="0.05"/>
    <s v="Cust 7745"/>
    <s v="Cindy Stewart"/>
    <x v="4"/>
    <s v="San Francisco"/>
    <s v="California"/>
    <x v="2"/>
  </r>
  <r>
    <s v="REG101376"/>
    <x v="157"/>
    <s v="Cust 4365"/>
    <x v="6"/>
    <n v="2910.76"/>
    <n v="9"/>
    <n v="873.23"/>
    <n v="0.05"/>
    <s v="Cust 4365"/>
    <s v="Charles Crestani"/>
    <x v="3"/>
    <s v="El Paso"/>
    <s v="Texas"/>
    <x v="2"/>
  </r>
  <r>
    <s v="REG101377"/>
    <x v="706"/>
    <s v="Cust 3291"/>
    <x v="5"/>
    <n v="114.19"/>
    <n v="1"/>
    <n v="34.26"/>
    <n v="0.05"/>
    <s v="Cust 3291"/>
    <s v="Michelle Huthwaite"/>
    <x v="2"/>
    <s v="Seattle"/>
    <s v="Washington"/>
    <x v="2"/>
  </r>
  <r>
    <s v="REG101304"/>
    <x v="707"/>
    <s v="Cust 3291"/>
    <x v="2"/>
    <n v="46.99"/>
    <n v="2"/>
    <n v="14.1"/>
    <n v="0.15"/>
    <s v="Cust 3291"/>
    <s v="Michelle Huthwaite"/>
    <x v="2"/>
    <s v="Seattle"/>
    <s v="Washington"/>
    <x v="0"/>
  </r>
  <r>
    <s v="REG101378"/>
    <x v="19"/>
    <s v="Cust 9020"/>
    <x v="1"/>
    <n v="1871.76"/>
    <n v="13"/>
    <n v="561.53"/>
    <n v="0.15"/>
    <s v="Cust 9020"/>
    <s v="Mike Pelletier"/>
    <x v="2"/>
    <s v="Milwaukee"/>
    <s v="Wisconsin"/>
    <x v="0"/>
  </r>
  <r>
    <s v="REG101379"/>
    <x v="498"/>
    <s v="Cust 2667"/>
    <x v="6"/>
    <n v="1621.84"/>
    <n v="10"/>
    <n v="486.55"/>
    <n v="0.05"/>
    <s v="Cust 2667"/>
    <s v="Daniel Raglin"/>
    <x v="4"/>
    <s v="Franklin"/>
    <s v="Massachusetts"/>
    <x v="0"/>
  </r>
  <r>
    <s v="REG101380"/>
    <x v="660"/>
    <s v="Cust 6158"/>
    <x v="2"/>
    <n v="2476.84"/>
    <n v="9"/>
    <n v="743.05"/>
    <n v="0.15"/>
    <s v="Cust 6158"/>
    <s v="Darrin Martin"/>
    <x v="4"/>
    <s v="Encinitas"/>
    <s v="California"/>
    <x v="0"/>
  </r>
  <r>
    <s v="REG101381"/>
    <x v="52"/>
    <s v="Cust 7404"/>
    <x v="3"/>
    <n v="1927.44"/>
    <n v="4"/>
    <n v="578.23"/>
    <n v="0"/>
    <s v="Cust 7404"/>
    <s v="Brian DeCherney"/>
    <x v="3"/>
    <s v="Anaheim"/>
    <s v="California"/>
    <x v="0"/>
  </r>
  <r>
    <s v="REG101382"/>
    <x v="463"/>
    <s v="Cust 8572"/>
    <x v="1"/>
    <n v="312.2"/>
    <n v="4"/>
    <n v="93.66"/>
    <n v="0"/>
    <s v="Cust 8572"/>
    <s v="Dan Campbell"/>
    <x v="3"/>
    <s v="Arlington"/>
    <s v="Texas"/>
    <x v="0"/>
  </r>
  <r>
    <s v="REG101383"/>
    <x v="726"/>
    <s v="Cust 1043"/>
    <x v="6"/>
    <n v="309.95999999999998"/>
    <n v="6"/>
    <n v="92.99"/>
    <n v="0.1"/>
    <s v="Cust 1043"/>
    <s v="Michelle Tran"/>
    <x v="0"/>
    <s v="Houston"/>
    <s v="Texas"/>
    <x v="2"/>
  </r>
  <r>
    <s v="REG101384"/>
    <x v="315"/>
    <s v="Cust 1766"/>
    <x v="0"/>
    <n v="3480.6"/>
    <n v="9"/>
    <n v="1044.18"/>
    <n v="0.15"/>
    <s v="Cust 1766"/>
    <s v="Max Jones"/>
    <x v="1"/>
    <s v="Lancaster"/>
    <s v="Ohio"/>
    <x v="0"/>
  </r>
  <r>
    <s v="REG101385"/>
    <x v="72"/>
    <s v="Cust 4461"/>
    <x v="2"/>
    <n v="3822.09"/>
    <n v="11"/>
    <n v="1146.6300000000001"/>
    <n v="0.05"/>
    <s v="Cust 4461"/>
    <s v="Natalie DeCherney"/>
    <x v="3"/>
    <s v="Portland"/>
    <s v="Oregon"/>
    <x v="0"/>
  </r>
  <r>
    <s v="REG101386"/>
    <x v="182"/>
    <s v="Cust 4390"/>
    <x v="1"/>
    <n v="710.75"/>
    <n v="7"/>
    <n v="213.23"/>
    <n v="0.05"/>
    <s v="Cust 4390"/>
    <s v="Carol Adams"/>
    <x v="0"/>
    <s v="Hoover"/>
    <s v="Alabama"/>
    <x v="0"/>
  </r>
  <r>
    <s v="REG101387"/>
    <x v="432"/>
    <s v="Cust 9451"/>
    <x v="4"/>
    <n v="451.76"/>
    <n v="2"/>
    <n v="135.53"/>
    <n v="0.1"/>
    <s v="Cust 9451"/>
    <s v="Guy Armstrong"/>
    <x v="1"/>
    <s v="Los Angeles"/>
    <s v="California"/>
    <x v="0"/>
  </r>
  <r>
    <s v="REG101388"/>
    <x v="562"/>
    <s v="Cust 5335"/>
    <x v="5"/>
    <n v="4257.29"/>
    <n v="8"/>
    <n v="1277.19"/>
    <n v="0.1"/>
    <s v="Cust 5335"/>
    <s v="Toby Carlisle"/>
    <x v="1"/>
    <s v="Tallahassee"/>
    <s v="Florida"/>
    <x v="0"/>
  </r>
  <r>
    <s v="REG101389"/>
    <x v="560"/>
    <s v="Cust 3487"/>
    <x v="5"/>
    <n v="6323.41"/>
    <n v="18"/>
    <n v="1897.02"/>
    <n v="0.05"/>
    <s v="Cust 3487"/>
    <s v="Jennifer Braxton"/>
    <x v="4"/>
    <s v="New York City"/>
    <s v="New York"/>
    <x v="0"/>
  </r>
  <r>
    <s v="REG101390"/>
    <x v="727"/>
    <s v="Cust 7613"/>
    <x v="2"/>
    <n v="2244.2399999999998"/>
    <n v="15"/>
    <n v="673.27"/>
    <n v="0.1"/>
    <s v="Cust 7613"/>
    <s v="Christine Kargatis"/>
    <x v="4"/>
    <s v="Chesapeake"/>
    <s v="Virginia"/>
    <x v="0"/>
  </r>
  <r>
    <s v="REG101391"/>
    <x v="144"/>
    <s v="Cust 9436"/>
    <x v="4"/>
    <n v="2659.75"/>
    <n v="12"/>
    <n v="797.93"/>
    <n v="0.15"/>
    <s v="Cust 9436"/>
    <s v="Rob Lucas"/>
    <x v="2"/>
    <s v="Fayetteville"/>
    <s v="North Carolina"/>
    <x v="0"/>
  </r>
  <r>
    <s v="REG101392"/>
    <x v="482"/>
    <s v="Cust 2197"/>
    <x v="0"/>
    <n v="3311.99"/>
    <n v="10"/>
    <n v="993.6"/>
    <n v="0.05"/>
    <s v="Cust 2197"/>
    <s v="Anna Chung"/>
    <x v="4"/>
    <s v="Huntsville"/>
    <s v="Texas"/>
    <x v="0"/>
  </r>
  <r>
    <s v="REG101393"/>
    <x v="54"/>
    <s v="Cust 5620"/>
    <x v="3"/>
    <n v="2366.4"/>
    <n v="5"/>
    <n v="709.92"/>
    <n v="0"/>
    <s v="Cust 5620"/>
    <s v="Brosina Hoffman"/>
    <x v="2"/>
    <s v="Philadelphia"/>
    <s v="Pennsylvania"/>
    <x v="0"/>
  </r>
  <r>
    <s v="REG101394"/>
    <x v="433"/>
    <s v="Cust 4101"/>
    <x v="3"/>
    <n v="6429.28"/>
    <n v="16"/>
    <n v="1928.78"/>
    <n v="0"/>
    <s v="Cust 4101"/>
    <s v="Brooke Gillingham"/>
    <x v="2"/>
    <s v="Woodstock"/>
    <s v="Illinois"/>
    <x v="0"/>
  </r>
  <r>
    <s v="REG100638"/>
    <x v="478"/>
    <s v="Cust 4101"/>
    <x v="3"/>
    <n v="5249.56"/>
    <n v="13"/>
    <n v="1574.87"/>
    <n v="0.1"/>
    <s v="Cust 4101"/>
    <s v="Brooke Gillingham"/>
    <x v="2"/>
    <s v="Woodstock"/>
    <s v="Illinois"/>
    <x v="0"/>
  </r>
  <r>
    <s v="REG101395"/>
    <x v="398"/>
    <s v="Cust 8828"/>
    <x v="1"/>
    <n v="2692.9"/>
    <n v="10"/>
    <n v="807.87"/>
    <n v="0"/>
    <s v="Cust 8828"/>
    <s v="Xylona Preis"/>
    <x v="2"/>
    <s v="Everett"/>
    <s v="Massachusetts"/>
    <x v="0"/>
  </r>
  <r>
    <s v="REG101254"/>
    <x v="6"/>
    <s v="Cust 8828"/>
    <x v="1"/>
    <n v="1811.08"/>
    <n v="4"/>
    <n v="543.32000000000005"/>
    <n v="0"/>
    <s v="Cust 8828"/>
    <s v="Xylona Preis"/>
    <x v="2"/>
    <s v="Everett"/>
    <s v="Massachusetts"/>
    <x v="0"/>
  </r>
  <r>
    <s v="REG101396"/>
    <x v="434"/>
    <s v="Cust 3187"/>
    <x v="2"/>
    <n v="1227.48"/>
    <n v="4"/>
    <n v="368.24"/>
    <n v="0.05"/>
    <s v="Cust 3187"/>
    <s v="Skye Norling"/>
    <x v="2"/>
    <s v="Chicago"/>
    <s v="Illinois"/>
    <x v="0"/>
  </r>
  <r>
    <s v="REG101397"/>
    <x v="728"/>
    <s v="Cust 1081"/>
    <x v="5"/>
    <n v="5608.6"/>
    <n v="15"/>
    <n v="1682.58"/>
    <n v="0.15"/>
    <s v="Cust 1081"/>
    <s v="Denise Monton"/>
    <x v="4"/>
    <s v="Roswell"/>
    <s v="Georgia"/>
    <x v="1"/>
  </r>
  <r>
    <s v="REG101398"/>
    <x v="239"/>
    <s v="Cust 5049"/>
    <x v="5"/>
    <n v="7342.97"/>
    <n v="16"/>
    <n v="2202.89"/>
    <n v="0.05"/>
    <s v="Cust 5049"/>
    <s v="Anthony Jacobs"/>
    <x v="4"/>
    <s v="Palm Coast"/>
    <s v="Florida"/>
    <x v="1"/>
  </r>
  <r>
    <s v="REG101270"/>
    <x v="276"/>
    <s v="Cust 5049"/>
    <x v="1"/>
    <n v="3944.49"/>
    <n v="11"/>
    <n v="1183.3499999999999"/>
    <n v="0"/>
    <s v="Cust 5049"/>
    <s v="Anthony Jacobs"/>
    <x v="4"/>
    <s v="Palm Coast"/>
    <s v="Florida"/>
    <x v="1"/>
  </r>
  <r>
    <s v="REG101479"/>
    <x v="331"/>
    <s v="Cust 5409"/>
    <x v="6"/>
    <n v="2144.88"/>
    <n v="9"/>
    <n v="643.46"/>
    <n v="0"/>
    <s v="Cust 5409"/>
    <s v="Karen Carlisle"/>
    <x v="0"/>
    <s v="Philadelphia"/>
    <s v="Pennsylvania"/>
    <x v="1"/>
  </r>
  <r>
    <s v="REG101399"/>
    <x v="665"/>
    <s v="Cust 5409"/>
    <x v="1"/>
    <n v="302.66000000000003"/>
    <n v="13"/>
    <n v="90.8"/>
    <n v="0.15"/>
    <s v="Cust 5409"/>
    <s v="Karen Carlisle"/>
    <x v="0"/>
    <s v="Philadelphia"/>
    <s v="Pennsylvania"/>
    <x v="2"/>
  </r>
  <r>
    <s v="REG101400"/>
    <x v="15"/>
    <s v="Cust 2372"/>
    <x v="5"/>
    <n v="7396.09"/>
    <n v="18"/>
    <n v="2218.83"/>
    <n v="0.05"/>
    <s v="Cust 2372"/>
    <s v="Vicky Freymann"/>
    <x v="0"/>
    <s v="Columbus"/>
    <s v="Indiana"/>
    <x v="2"/>
  </r>
  <r>
    <s v="REG100012"/>
    <x v="16"/>
    <s v="Cust 2372"/>
    <x v="1"/>
    <n v="114.5"/>
    <n v="1"/>
    <n v="34.35"/>
    <n v="0.05"/>
    <s v="Cust 2372"/>
    <s v="Vicky Freymann"/>
    <x v="0"/>
    <s v="Columbus"/>
    <s v="Indiana"/>
    <x v="0"/>
  </r>
  <r>
    <s v="REG101401"/>
    <x v="729"/>
    <s v="Cust 2741"/>
    <x v="4"/>
    <n v="920.37"/>
    <n v="3"/>
    <n v="276.11"/>
    <n v="0.15"/>
    <s v="Cust 2741"/>
    <s v="Susan Vittorini"/>
    <x v="4"/>
    <s v="Oceanside"/>
    <s v="New York"/>
    <x v="0"/>
  </r>
  <r>
    <s v="REG101402"/>
    <x v="178"/>
    <s v="Cust 2571"/>
    <x v="6"/>
    <n v="1865.61"/>
    <n v="5"/>
    <n v="559.67999999999995"/>
    <n v="0.1"/>
    <s v="Cust 2571"/>
    <s v="Eleni McCrary"/>
    <x v="0"/>
    <s v="Franklin"/>
    <s v="Massachusetts"/>
    <x v="1"/>
  </r>
  <r>
    <s v="REG101403"/>
    <x v="448"/>
    <s v="Cust 6301"/>
    <x v="6"/>
    <n v="272.16000000000003"/>
    <n v="4"/>
    <n v="81.650000000000006"/>
    <n v="0"/>
    <s v="Cust 6301"/>
    <s v="Raymond Buch"/>
    <x v="3"/>
    <s v="Sioux Falls"/>
    <s v="South Dakota"/>
    <x v="1"/>
  </r>
  <r>
    <s v="REG101404"/>
    <x v="53"/>
    <s v="Cust 7918"/>
    <x v="1"/>
    <n v="3467.92"/>
    <n v="10"/>
    <n v="1040.3699999999999"/>
    <n v="0.15"/>
    <s v="Cust 7918"/>
    <s v="Don Jones"/>
    <x v="0"/>
    <s v="San Diego"/>
    <s v="California"/>
    <x v="0"/>
  </r>
  <r>
    <s v="REG101405"/>
    <x v="232"/>
    <s v="Cust 3456"/>
    <x v="6"/>
    <n v="4121.55"/>
    <n v="15"/>
    <n v="1236.47"/>
    <n v="0"/>
    <s v="Cust 3456"/>
    <s v="Christopher Conant"/>
    <x v="0"/>
    <s v="Fayetteville"/>
    <s v="North Carolina"/>
    <x v="0"/>
  </r>
  <r>
    <s v="REG101406"/>
    <x v="367"/>
    <s v="Cust 8272"/>
    <x v="2"/>
    <n v="405.58"/>
    <n v="15"/>
    <n v="121.67"/>
    <n v="0.15"/>
    <s v="Cust 8272"/>
    <s v="Shahid Collister"/>
    <x v="0"/>
    <s v="Atlanta"/>
    <s v="Georgia"/>
    <x v="0"/>
  </r>
  <r>
    <s v="REG101407"/>
    <x v="370"/>
    <s v="Cust 7302"/>
    <x v="4"/>
    <n v="3756.48"/>
    <n v="14"/>
    <n v="1126.94"/>
    <n v="0"/>
    <s v="Cust 7302"/>
    <s v="Rick Hansen"/>
    <x v="1"/>
    <s v="Orlando"/>
    <s v="Florida"/>
    <x v="0"/>
  </r>
  <r>
    <s v="REG101408"/>
    <x v="543"/>
    <s v="Cust 6716"/>
    <x v="6"/>
    <n v="6319.67"/>
    <n v="19"/>
    <n v="1895.9"/>
    <n v="0.05"/>
    <s v="Cust 6716"/>
    <s v="Jay Kimmel"/>
    <x v="3"/>
    <s v="San Francisco"/>
    <s v="California"/>
    <x v="0"/>
  </r>
  <r>
    <s v="REG100887"/>
    <x v="104"/>
    <s v="Cust 6716"/>
    <x v="5"/>
    <n v="2440.0500000000002"/>
    <n v="7"/>
    <n v="732.02"/>
    <n v="0.1"/>
    <s v="Cust 6716"/>
    <s v="Jay Kimmel"/>
    <x v="3"/>
    <s v="San Francisco"/>
    <s v="California"/>
    <x v="0"/>
  </r>
  <r>
    <s v="REG101409"/>
    <x v="730"/>
    <s v="Cust 5484"/>
    <x v="2"/>
    <n v="2814.23"/>
    <n v="9"/>
    <n v="844.27"/>
    <n v="0.05"/>
    <s v="Cust 5484"/>
    <s v="Art Foster"/>
    <x v="3"/>
    <s v="Toledo"/>
    <s v="Ohio"/>
    <x v="0"/>
  </r>
  <r>
    <s v="REG101410"/>
    <x v="189"/>
    <s v="Cust 4652"/>
    <x v="5"/>
    <n v="548.22"/>
    <n v="1"/>
    <n v="164.46"/>
    <n v="0.05"/>
    <s v="Cust 4652"/>
    <s v="Lena Creighton"/>
    <x v="0"/>
    <s v="Saint Petersburg"/>
    <s v="Florida"/>
    <x v="0"/>
  </r>
  <r>
    <s v="REG101411"/>
    <x v="407"/>
    <s v="Cust 1222"/>
    <x v="3"/>
    <n v="2939.38"/>
    <n v="6"/>
    <n v="881.81"/>
    <n v="0.1"/>
    <s v="Cust 1222"/>
    <s v="Beth Fritzler"/>
    <x v="3"/>
    <s v="Tucson"/>
    <s v="Arizona"/>
    <x v="0"/>
  </r>
  <r>
    <s v="REG100472"/>
    <x v="408"/>
    <s v="Cust 1222"/>
    <x v="6"/>
    <n v="949.69"/>
    <n v="13"/>
    <n v="284.91000000000003"/>
    <n v="0.1"/>
    <s v="Cust 1222"/>
    <s v="Beth Fritzler"/>
    <x v="3"/>
    <s v="Tucson"/>
    <s v="Arizona"/>
    <x v="1"/>
  </r>
  <r>
    <s v="REG101412"/>
    <x v="223"/>
    <s v="Cust 3559"/>
    <x v="0"/>
    <n v="5071.1899999999996"/>
    <n v="18"/>
    <n v="1521.36"/>
    <n v="0.15"/>
    <s v="Cust 3559"/>
    <s v="Stuart Calhoun"/>
    <x v="1"/>
    <s v="Los Angeles"/>
    <s v="California"/>
    <x v="1"/>
  </r>
  <r>
    <s v="REG101080"/>
    <x v="151"/>
    <s v="Cust 3559"/>
    <x v="4"/>
    <n v="4381.53"/>
    <n v="18"/>
    <n v="1314.46"/>
    <n v="0.05"/>
    <s v="Cust 3559"/>
    <s v="Stuart Calhoun"/>
    <x v="1"/>
    <s v="Los Angeles"/>
    <s v="California"/>
    <x v="0"/>
  </r>
  <r>
    <s v="REG101413"/>
    <x v="700"/>
    <s v="Cust 1287"/>
    <x v="0"/>
    <n v="379.13"/>
    <n v="1"/>
    <n v="113.74"/>
    <n v="0.1"/>
    <s v="Cust 1287"/>
    <s v="Scott Williamson"/>
    <x v="0"/>
    <s v="San Diego"/>
    <s v="California"/>
    <x v="0"/>
  </r>
  <r>
    <s v="REG101414"/>
    <x v="72"/>
    <s v="Cust 5444"/>
    <x v="6"/>
    <n v="1998.07"/>
    <n v="4"/>
    <n v="599.41999999999996"/>
    <n v="0.1"/>
    <s v="Cust 5444"/>
    <s v="Michael Chen"/>
    <x v="2"/>
    <s v="New York City"/>
    <s v="New York"/>
    <x v="0"/>
  </r>
  <r>
    <s v="REG101415"/>
    <x v="527"/>
    <s v="Cust 4018"/>
    <x v="0"/>
    <n v="4826.57"/>
    <n v="19"/>
    <n v="1447.97"/>
    <n v="0"/>
    <s v="Cust 4018"/>
    <s v="Tamara Dahlen"/>
    <x v="1"/>
    <s v="San Diego"/>
    <s v="California"/>
    <x v="0"/>
  </r>
  <r>
    <s v="REG100875"/>
    <x v="459"/>
    <s v="Cust 4018"/>
    <x v="4"/>
    <n v="203.74"/>
    <n v="2"/>
    <n v="61.12"/>
    <n v="0"/>
    <s v="Cust 4018"/>
    <s v="Tamara Dahlen"/>
    <x v="1"/>
    <s v="San Diego"/>
    <s v="California"/>
    <x v="0"/>
  </r>
  <r>
    <s v="REG101416"/>
    <x v="201"/>
    <s v="Cust 6355"/>
    <x v="6"/>
    <n v="4084.56"/>
    <n v="9"/>
    <n v="1225.3699999999999"/>
    <n v="0.15"/>
    <s v="Cust 6355"/>
    <s v="Dean percer"/>
    <x v="4"/>
    <s v="Westfield"/>
    <s v="New Jersey"/>
    <x v="0"/>
  </r>
  <r>
    <s v="REG101417"/>
    <x v="233"/>
    <s v="Cust 6620"/>
    <x v="2"/>
    <n v="1520.51"/>
    <n v="7"/>
    <n v="456.15"/>
    <n v="0.1"/>
    <s v="Cust 6620"/>
    <s v="Shirley Daniels"/>
    <x v="4"/>
    <s v="Orange"/>
    <s v="New Jersey"/>
    <x v="0"/>
  </r>
  <r>
    <s v="REG101418"/>
    <x v="51"/>
    <s v="Cust 4092"/>
    <x v="6"/>
    <n v="1675.87"/>
    <n v="11"/>
    <n v="502.76"/>
    <n v="0.05"/>
    <s v="Cust 4092"/>
    <s v="Tamara Manning"/>
    <x v="2"/>
    <s v="Woodstock"/>
    <s v="Illinois"/>
    <x v="0"/>
  </r>
  <r>
    <s v="REG101419"/>
    <x v="334"/>
    <s v="Cust 4812"/>
    <x v="6"/>
    <n v="377.19"/>
    <n v="1"/>
    <n v="113.16"/>
    <n v="0.1"/>
    <s v="Cust 4812"/>
    <s v="Berenike Kampe"/>
    <x v="0"/>
    <s v="San Francisco"/>
    <s v="California"/>
    <x v="1"/>
  </r>
  <r>
    <s v="REG101420"/>
    <x v="599"/>
    <s v="Cust 8389"/>
    <x v="0"/>
    <n v="1532.86"/>
    <n v="13"/>
    <n v="459.86"/>
    <n v="0.15"/>
    <s v="Cust 8389"/>
    <s v="Jeremy Farry"/>
    <x v="0"/>
    <s v="San Francisco"/>
    <s v="California"/>
    <x v="0"/>
  </r>
  <r>
    <s v="REG101421"/>
    <x v="553"/>
    <s v="Cust 4529"/>
    <x v="5"/>
    <n v="3688.32"/>
    <n v="8"/>
    <n v="1106.5"/>
    <n v="0"/>
    <s v="Cust 4529"/>
    <s v="Emily Phan"/>
    <x v="4"/>
    <s v="Tempe"/>
    <s v="Arizona"/>
    <x v="0"/>
  </r>
  <r>
    <s v="REG101422"/>
    <x v="475"/>
    <s v="Cust 2365"/>
    <x v="1"/>
    <n v="2673.37"/>
    <n v="6"/>
    <n v="802.01"/>
    <n v="0.15"/>
    <s v="Cust 2365"/>
    <s v="Emily Phan"/>
    <x v="1"/>
    <s v="Los Angeles"/>
    <s v="California"/>
    <x v="1"/>
  </r>
  <r>
    <s v="REG100601"/>
    <x v="193"/>
    <s v="Cust 2365"/>
    <x v="5"/>
    <n v="3172.46"/>
    <n v="18"/>
    <n v="951.74"/>
    <n v="0.15"/>
    <s v="Cust 2365"/>
    <s v="Emily Phan"/>
    <x v="1"/>
    <s v="Los Angeles"/>
    <s v="California"/>
    <x v="1"/>
  </r>
  <r>
    <s v="REG101423"/>
    <x v="19"/>
    <s v="Cust 6361"/>
    <x v="3"/>
    <n v="4395.0200000000004"/>
    <n v="16"/>
    <n v="1318.51"/>
    <n v="0.1"/>
    <s v="Cust 6361"/>
    <s v="Ken Heidel"/>
    <x v="3"/>
    <s v="Seattle"/>
    <s v="Washington"/>
    <x v="0"/>
  </r>
  <r>
    <s v="REG100367"/>
    <x v="28"/>
    <s v="Cust 6361"/>
    <x v="6"/>
    <n v="2112.27"/>
    <n v="4"/>
    <n v="633.67999999999995"/>
    <n v="0.05"/>
    <s v="Cust 6361"/>
    <s v="Ken Heidel"/>
    <x v="3"/>
    <s v="Seattle"/>
    <s v="Washington"/>
    <x v="0"/>
  </r>
  <r>
    <s v="REG101424"/>
    <x v="490"/>
    <s v="Cust 4228"/>
    <x v="4"/>
    <n v="7019.36"/>
    <n v="16"/>
    <n v="2105.81"/>
    <n v="0"/>
    <s v="Cust 4228"/>
    <s v="Harry Greene"/>
    <x v="2"/>
    <s v="Lake Charles"/>
    <s v="Louisiana"/>
    <x v="1"/>
  </r>
  <r>
    <s v="REG101425"/>
    <x v="406"/>
    <s v="Cust 3940"/>
    <x v="4"/>
    <n v="1745.64"/>
    <n v="10"/>
    <n v="523.69000000000005"/>
    <n v="0.1"/>
    <s v="Cust 3940"/>
    <s v="Julie Creighton"/>
    <x v="2"/>
    <s v="Rochester"/>
    <s v="New York"/>
    <x v="1"/>
  </r>
  <r>
    <s v="REG101426"/>
    <x v="2"/>
    <s v="Cust 4392"/>
    <x v="1"/>
    <n v="9925.18"/>
    <n v="18"/>
    <n v="2977.55"/>
    <n v="0.05"/>
    <s v="Cust 4392"/>
    <s v="Kunst Miller"/>
    <x v="0"/>
    <s v="Long Beach"/>
    <s v="New York"/>
    <x v="1"/>
  </r>
  <r>
    <s v="REG101427"/>
    <x v="731"/>
    <s v="Cust 4404"/>
    <x v="5"/>
    <n v="1483.11"/>
    <n v="18"/>
    <n v="444.93"/>
    <n v="0.1"/>
    <s v="Cust 4404"/>
    <s v="Erica Bern"/>
    <x v="3"/>
    <s v="Charlotte"/>
    <s v="North Carolina"/>
    <x v="1"/>
  </r>
  <r>
    <s v="REG101428"/>
    <x v="288"/>
    <s v="Cust 2981"/>
    <x v="6"/>
    <n v="1331.23"/>
    <n v="13"/>
    <n v="399.37"/>
    <n v="0.1"/>
    <s v="Cust 2981"/>
    <s v="Pierre Wener"/>
    <x v="4"/>
    <s v="Houston"/>
    <s v="Texas"/>
    <x v="0"/>
  </r>
  <r>
    <s v="REG101429"/>
    <x v="637"/>
    <s v="Cust 3571"/>
    <x v="6"/>
    <n v="7646.56"/>
    <n v="16"/>
    <n v="2293.9699999999998"/>
    <n v="0"/>
    <s v="Cust 3571"/>
    <s v="Paul Gonzalez"/>
    <x v="2"/>
    <s v="New York City"/>
    <s v="New York"/>
    <x v="1"/>
  </r>
  <r>
    <s v="REG101430"/>
    <x v="257"/>
    <s v="Cust 2592"/>
    <x v="0"/>
    <n v="3860.51"/>
    <n v="14"/>
    <n v="1158.1500000000001"/>
    <n v="0.1"/>
    <s v="Cust 2592"/>
    <s v="Daniel Byrd"/>
    <x v="3"/>
    <s v="Columbus"/>
    <s v="Georgia"/>
    <x v="1"/>
  </r>
  <r>
    <s v="REG101431"/>
    <x v="732"/>
    <s v="Cust 6209"/>
    <x v="6"/>
    <n v="134.53"/>
    <n v="17"/>
    <n v="40.36"/>
    <n v="0.05"/>
    <s v="Cust 6209"/>
    <s v="Craig Reiter"/>
    <x v="0"/>
    <s v="Chicago"/>
    <s v="Illinois"/>
    <x v="1"/>
  </r>
  <r>
    <s v="REG101432"/>
    <x v="274"/>
    <s v="Cust 6600"/>
    <x v="1"/>
    <n v="1977.1"/>
    <n v="6"/>
    <n v="593.13"/>
    <n v="0.05"/>
    <s v="Cust 6600"/>
    <s v="Katharine Harms"/>
    <x v="0"/>
    <s v="Highland Park"/>
    <s v="Illinois"/>
    <x v="1"/>
  </r>
  <r>
    <s v="REG101433"/>
    <x v="76"/>
    <s v="Cust 6899"/>
    <x v="2"/>
    <n v="2813.08"/>
    <n v="14"/>
    <n v="843.92"/>
    <n v="0.1"/>
    <s v="Cust 6899"/>
    <s v="Daniel Lacy"/>
    <x v="3"/>
    <s v="Eagan"/>
    <s v="Minnesota"/>
    <x v="0"/>
  </r>
  <r>
    <s v="REG101434"/>
    <x v="733"/>
    <s v="Cust 1563"/>
    <x v="2"/>
    <n v="3174.6"/>
    <n v="6"/>
    <n v="952.38"/>
    <n v="0"/>
    <s v="Cust 1563"/>
    <s v="Max Engle"/>
    <x v="2"/>
    <s v="Seattle"/>
    <s v="Washington"/>
    <x v="0"/>
  </r>
  <r>
    <s v="REG101435"/>
    <x v="510"/>
    <s v="Cust 6733"/>
    <x v="6"/>
    <n v="963.67"/>
    <n v="11"/>
    <n v="289.10000000000002"/>
    <n v="0.1"/>
    <s v="Cust 6733"/>
    <s v="Valerie Dominguez"/>
    <x v="3"/>
    <s v="Coral Springs"/>
    <s v="Florida"/>
    <x v="0"/>
  </r>
  <r>
    <s v="REG101436"/>
    <x v="128"/>
    <s v="Cust 7635"/>
    <x v="3"/>
    <n v="4186.6099999999997"/>
    <n v="11"/>
    <n v="1255.98"/>
    <n v="0.1"/>
    <s v="Cust 7635"/>
    <s v="Chloris Kastensmidt"/>
    <x v="0"/>
    <s v="Hempstead"/>
    <s v="New York"/>
    <x v="0"/>
  </r>
  <r>
    <s v="REG101437"/>
    <x v="313"/>
    <s v="Cust 4354"/>
    <x v="5"/>
    <n v="2117.25"/>
    <n v="4"/>
    <n v="635.16999999999996"/>
    <n v="0.05"/>
    <s v="Cust 4354"/>
    <s v="Daniel Lacy"/>
    <x v="1"/>
    <s v="Noblesville"/>
    <s v="Indiana"/>
    <x v="0"/>
  </r>
  <r>
    <s v="REG101438"/>
    <x v="12"/>
    <s v="Cust 1462"/>
    <x v="4"/>
    <n v="3723.17"/>
    <n v="9"/>
    <n v="1116.95"/>
    <n v="0.1"/>
    <s v="Cust 1462"/>
    <s v="Sanjit Engle"/>
    <x v="3"/>
    <s v="Dallas"/>
    <s v="Texas"/>
    <x v="0"/>
  </r>
  <r>
    <s v="REG100010"/>
    <x v="13"/>
    <s v="Cust 1462"/>
    <x v="2"/>
    <n v="6671.95"/>
    <n v="15"/>
    <n v="2001.58"/>
    <n v="0.15"/>
    <s v="Cust 1462"/>
    <s v="Sanjit Engle"/>
    <x v="3"/>
    <s v="Dallas"/>
    <s v="Texas"/>
    <x v="2"/>
  </r>
  <r>
    <s v="REG101439"/>
    <x v="377"/>
    <s v="Cust 1376"/>
    <x v="5"/>
    <n v="3552.12"/>
    <n v="8"/>
    <n v="1065.6400000000001"/>
    <n v="0.1"/>
    <s v="Cust 1376"/>
    <s v="Luke Schmidt"/>
    <x v="4"/>
    <s v="Philadelphia"/>
    <s v="Pennsylvania"/>
    <x v="2"/>
  </r>
  <r>
    <s v="REG101440"/>
    <x v="228"/>
    <s v="Cust 6542"/>
    <x v="0"/>
    <n v="5571.67"/>
    <n v="13"/>
    <n v="1671.5"/>
    <n v="0"/>
    <s v="Cust 6542"/>
    <s v="Michael Moore"/>
    <x v="1"/>
    <s v="San Francisco"/>
    <s v="California"/>
    <x v="2"/>
  </r>
  <r>
    <s v="REG101441"/>
    <x v="308"/>
    <s v="Cust 1186"/>
    <x v="0"/>
    <n v="1610.03"/>
    <n v="7"/>
    <n v="483.01"/>
    <n v="0.05"/>
    <s v="Cust 1186"/>
    <s v="Deborah Brumfield"/>
    <x v="0"/>
    <s v="Austin"/>
    <s v="Texas"/>
    <x v="2"/>
  </r>
  <r>
    <s v="REG100867"/>
    <x v="591"/>
    <s v="Cust 1186"/>
    <x v="6"/>
    <n v="10216.299999999999"/>
    <n v="19"/>
    <n v="3064.89"/>
    <n v="0"/>
    <s v="Cust 1186"/>
    <s v="Deborah Brumfield"/>
    <x v="0"/>
    <s v="Austin"/>
    <s v="Texas"/>
    <x v="0"/>
  </r>
  <r>
    <s v="REG101442"/>
    <x v="586"/>
    <s v="Cust 4386"/>
    <x v="6"/>
    <n v="7709.69"/>
    <n v="17"/>
    <n v="2312.91"/>
    <n v="0.05"/>
    <s v="Cust 4386"/>
    <s v="Rob Williams"/>
    <x v="1"/>
    <s v="Detroit"/>
    <s v="Michigan"/>
    <x v="0"/>
  </r>
  <r>
    <s v="REG101443"/>
    <x v="187"/>
    <s v="Cust 6708"/>
    <x v="3"/>
    <n v="745.56"/>
    <n v="3"/>
    <n v="223.67"/>
    <n v="0.05"/>
    <s v="Cust 6708"/>
    <s v="Justin MacKendrick"/>
    <x v="1"/>
    <s v="Watertown"/>
    <s v="New York"/>
    <x v="0"/>
  </r>
  <r>
    <s v="REG101444"/>
    <x v="203"/>
    <s v="Cust 6354"/>
    <x v="0"/>
    <n v="2372.34"/>
    <n v="6"/>
    <n v="711.7"/>
    <n v="0.05"/>
    <s v="Cust 6354"/>
    <s v="Becky Pak"/>
    <x v="3"/>
    <s v="Columbus"/>
    <s v="Georgia"/>
    <x v="0"/>
  </r>
  <r>
    <s v="REG101445"/>
    <x v="482"/>
    <s v="Cust 3477"/>
    <x v="4"/>
    <n v="1494.9"/>
    <n v="15"/>
    <n v="448.47"/>
    <n v="0"/>
    <s v="Cust 3477"/>
    <s v="Carol Triggs"/>
    <x v="2"/>
    <s v="Apple Valley"/>
    <s v="Minnesota"/>
    <x v="0"/>
  </r>
  <r>
    <s v="REG101446"/>
    <x v="561"/>
    <s v="Cust 6646"/>
    <x v="0"/>
    <n v="755.62"/>
    <n v="16"/>
    <n v="226.68"/>
    <n v="0.15"/>
    <s v="Cust 6646"/>
    <s v="Tracy Hopkins"/>
    <x v="3"/>
    <s v="Burlington"/>
    <s v="North Carolina"/>
    <x v="0"/>
  </r>
  <r>
    <s v="REG101447"/>
    <x v="699"/>
    <s v="Cust 4250"/>
    <x v="1"/>
    <n v="4625.93"/>
    <n v="20"/>
    <n v="1387.78"/>
    <n v="0.05"/>
    <s v="Cust 4250"/>
    <s v="Maria Etezadi"/>
    <x v="0"/>
    <s v="Saginaw"/>
    <s v="Michigan"/>
    <x v="2"/>
  </r>
  <r>
    <s v="REG101283"/>
    <x v="112"/>
    <s v="Cust 4250"/>
    <x v="1"/>
    <n v="2398.56"/>
    <n v="5"/>
    <n v="719.57"/>
    <n v="0.05"/>
    <s v="Cust 4250"/>
    <s v="Maria Etezadi"/>
    <x v="0"/>
    <s v="Saginaw"/>
    <s v="Michigan"/>
    <x v="0"/>
  </r>
  <r>
    <s v="REG101448"/>
    <x v="571"/>
    <s v="Cust 5351"/>
    <x v="6"/>
    <n v="1837.34"/>
    <n v="11"/>
    <n v="551.20000000000005"/>
    <n v="0.1"/>
    <s v="Cust 5351"/>
    <s v="Thomas Thornton"/>
    <x v="0"/>
    <s v="San Francisco"/>
    <s v="California"/>
    <x v="0"/>
  </r>
  <r>
    <s v="REG100814"/>
    <x v="283"/>
    <s v="Cust 5351"/>
    <x v="6"/>
    <n v="1248.21"/>
    <n v="3"/>
    <n v="374.46"/>
    <n v="0.05"/>
    <s v="Cust 5351"/>
    <s v="Thomas Thornton"/>
    <x v="0"/>
    <s v="San Francisco"/>
    <s v="California"/>
    <x v="0"/>
  </r>
  <r>
    <s v="REG101449"/>
    <x v="132"/>
    <s v="Cust 6284"/>
    <x v="2"/>
    <n v="3630.12"/>
    <n v="11"/>
    <n v="1089.04"/>
    <n v="0.05"/>
    <s v="Cust 6284"/>
    <s v="Greg Tran"/>
    <x v="3"/>
    <s v="Seattle"/>
    <s v="Washington"/>
    <x v="0"/>
  </r>
  <r>
    <s v="REG101450"/>
    <x v="734"/>
    <s v="Cust 9099"/>
    <x v="6"/>
    <n v="4531.93"/>
    <n v="15"/>
    <n v="1359.58"/>
    <n v="0.05"/>
    <s v="Cust 9099"/>
    <s v="Justin Deggeller"/>
    <x v="4"/>
    <s v="Milwaukee"/>
    <s v="Wisconsin"/>
    <x v="0"/>
  </r>
  <r>
    <s v="REG101451"/>
    <x v="294"/>
    <s v="Cust 3944"/>
    <x v="3"/>
    <n v="3089.96"/>
    <n v="15"/>
    <n v="926.99"/>
    <n v="0.15"/>
    <s v="Cust 3944"/>
    <s v="Mick Crebagga"/>
    <x v="4"/>
    <s v="Los Angeles"/>
    <s v="California"/>
    <x v="0"/>
  </r>
  <r>
    <s v="REG101016"/>
    <x v="515"/>
    <s v="Cust 3944"/>
    <x v="0"/>
    <n v="1036.44"/>
    <n v="8"/>
    <n v="310.93"/>
    <n v="0.1"/>
    <s v="Cust 3944"/>
    <s v="Mick Crebagga"/>
    <x v="4"/>
    <s v="Los Angeles"/>
    <s v="California"/>
    <x v="0"/>
  </r>
  <r>
    <s v="REG101452"/>
    <x v="468"/>
    <s v="Cust 6124"/>
    <x v="2"/>
    <n v="209.33"/>
    <n v="3"/>
    <n v="62.8"/>
    <n v="0.15"/>
    <s v="Cust 6124"/>
    <s v="Lisa Hazard"/>
    <x v="2"/>
    <s v="San Francisco"/>
    <s v="California"/>
    <x v="0"/>
  </r>
  <r>
    <s v="REG101453"/>
    <x v="675"/>
    <s v="Cust 8533"/>
    <x v="5"/>
    <n v="2428.71"/>
    <n v="10"/>
    <n v="728.61"/>
    <n v="0.15"/>
    <s v="Cust 8533"/>
    <s v="Mike Pelletier"/>
    <x v="1"/>
    <s v="San Diego"/>
    <s v="California"/>
    <x v="0"/>
  </r>
  <r>
    <s v="REG101454"/>
    <x v="585"/>
    <s v="Cust 1135"/>
    <x v="0"/>
    <n v="5225.26"/>
    <n v="17"/>
    <n v="1567.58"/>
    <n v="0.1"/>
    <s v="Cust 1135"/>
    <s v="Eugene Moren"/>
    <x v="0"/>
    <s v="Glendale"/>
    <s v="Arizona"/>
    <x v="0"/>
  </r>
  <r>
    <s v="REG101252"/>
    <x v="692"/>
    <s v="Cust 1135"/>
    <x v="2"/>
    <n v="5195.3999999999996"/>
    <n v="13"/>
    <n v="1558.62"/>
    <n v="0.05"/>
    <s v="Cust 1135"/>
    <s v="Eugene Moren"/>
    <x v="0"/>
    <s v="Glendale"/>
    <s v="Arizona"/>
    <x v="0"/>
  </r>
  <r>
    <s v="REG101455"/>
    <x v="723"/>
    <s v="Cust 5638"/>
    <x v="6"/>
    <n v="2726.64"/>
    <n v="14"/>
    <n v="817.99"/>
    <n v="0.1"/>
    <s v="Cust 5638"/>
    <s v="Greg Guthrie"/>
    <x v="1"/>
    <s v="New York City"/>
    <s v="New York"/>
    <x v="0"/>
  </r>
  <r>
    <s v="REG101370"/>
    <x v="724"/>
    <s v="Cust 5638"/>
    <x v="4"/>
    <n v="893.38"/>
    <n v="4"/>
    <n v="268.01"/>
    <n v="0.1"/>
    <s v="Cust 5638"/>
    <s v="Greg Guthrie"/>
    <x v="1"/>
    <s v="New York City"/>
    <s v="New York"/>
    <x v="0"/>
  </r>
  <r>
    <s v="REG101456"/>
    <x v="570"/>
    <s v="Cust 1333"/>
    <x v="1"/>
    <n v="3151.94"/>
    <n v="16"/>
    <n v="945.58"/>
    <n v="0.15"/>
    <s v="Cust 1333"/>
    <s v="Michelle Arnett"/>
    <x v="1"/>
    <s v="Watertown"/>
    <s v="New York"/>
    <x v="0"/>
  </r>
  <r>
    <s v="REG101457"/>
    <x v="735"/>
    <s v="Cust 2394"/>
    <x v="0"/>
    <n v="365.75"/>
    <n v="7"/>
    <n v="109.72"/>
    <n v="0.15"/>
    <s v="Cust 2394"/>
    <s v="Shahid Hopkins"/>
    <x v="1"/>
    <s v="Springfield"/>
    <s v="Ohio"/>
    <x v="0"/>
  </r>
  <r>
    <s v="REG101458"/>
    <x v="8"/>
    <s v="Cust 8495"/>
    <x v="2"/>
    <n v="6516.6"/>
    <n v="15"/>
    <n v="1954.98"/>
    <n v="0"/>
    <s v="Cust 8495"/>
    <s v="Kean Takahito"/>
    <x v="2"/>
    <s v="Los Angeles"/>
    <s v="California"/>
    <x v="0"/>
  </r>
  <r>
    <s v="REG101459"/>
    <x v="666"/>
    <s v="Cust 3988"/>
    <x v="3"/>
    <n v="7744.16"/>
    <n v="16"/>
    <n v="2323.25"/>
    <n v="0"/>
    <s v="Cust 3988"/>
    <s v="Philisse Overcash"/>
    <x v="4"/>
    <s v="Seattle"/>
    <s v="Washington"/>
    <x v="0"/>
  </r>
  <r>
    <s v="REG101460"/>
    <x v="228"/>
    <s v="Cust 4664"/>
    <x v="2"/>
    <n v="110.16"/>
    <n v="2"/>
    <n v="33.049999999999997"/>
    <n v="0"/>
    <s v="Cust 4664"/>
    <s v="Andy Yotov"/>
    <x v="3"/>
    <s v="Oceanside"/>
    <s v="California"/>
    <x v="0"/>
  </r>
  <r>
    <s v="REG101461"/>
    <x v="108"/>
    <s v="Cust 5086"/>
    <x v="4"/>
    <n v="2469.0100000000002"/>
    <n v="13"/>
    <n v="740.7"/>
    <n v="0.15"/>
    <s v="Cust 5086"/>
    <s v="Corey-Lock"/>
    <x v="2"/>
    <s v="Skokie"/>
    <s v="Illinois"/>
    <x v="0"/>
  </r>
  <r>
    <s v="REG101462"/>
    <x v="192"/>
    <s v="Cust 8858"/>
    <x v="1"/>
    <n v="5727.44"/>
    <n v="11"/>
    <n v="1718.23"/>
    <n v="0.05"/>
    <s v="Cust 8858"/>
    <s v="Jill Fjeld"/>
    <x v="0"/>
    <s v="Fayetteville"/>
    <s v="North Carolina"/>
    <x v="0"/>
  </r>
  <r>
    <s v="REG101463"/>
    <x v="448"/>
    <s v="Cust 8796"/>
    <x v="2"/>
    <n v="1470.04"/>
    <n v="11"/>
    <n v="441.01"/>
    <n v="0"/>
    <s v="Cust 8796"/>
    <s v="Andrew Roberts"/>
    <x v="3"/>
    <s v="Tulsa"/>
    <s v="Oklahoma"/>
    <x v="0"/>
  </r>
  <r>
    <s v="REG101083"/>
    <x v="267"/>
    <s v="Cust 8796"/>
    <x v="3"/>
    <n v="900.25"/>
    <n v="6"/>
    <n v="270.08"/>
    <n v="0.15"/>
    <s v="Cust 8796"/>
    <s v="Andrew Roberts"/>
    <x v="3"/>
    <s v="Tulsa"/>
    <s v="Oklahoma"/>
    <x v="0"/>
  </r>
  <r>
    <s v="REG101464"/>
    <x v="519"/>
    <s v="Cust 2496"/>
    <x v="3"/>
    <n v="6307.34"/>
    <n v="19"/>
    <n v="1892.2"/>
    <n v="0.1"/>
    <s v="Cust 2496"/>
    <s v="Anna Gayman"/>
    <x v="2"/>
    <s v="Allen"/>
    <s v="Texas"/>
    <x v="0"/>
  </r>
  <r>
    <s v="REG101465"/>
    <x v="736"/>
    <s v="Cust 5465"/>
    <x v="3"/>
    <n v="1623.72"/>
    <n v="14"/>
    <n v="487.12"/>
    <n v="0"/>
    <s v="Cust 5465"/>
    <s v="Darrin Van Huff"/>
    <x v="3"/>
    <s v="Philadelphia"/>
    <s v="Pennsylvania"/>
    <x v="1"/>
  </r>
  <r>
    <s v="REG101466"/>
    <x v="737"/>
    <s v="Cust 2311"/>
    <x v="5"/>
    <n v="421.06"/>
    <n v="9"/>
    <n v="126.32"/>
    <n v="0.15"/>
    <s v="Cust 2311"/>
    <s v="Hunter Lopez"/>
    <x v="1"/>
    <s v="Rochester"/>
    <s v="New York"/>
    <x v="0"/>
  </r>
  <r>
    <s v="REG101467"/>
    <x v="507"/>
    <s v="Cust 4575"/>
    <x v="5"/>
    <n v="606.25"/>
    <n v="4"/>
    <n v="181.88"/>
    <n v="0.05"/>
    <s v="Cust 4575"/>
    <s v="Natalie DeCherney"/>
    <x v="3"/>
    <s v="Mount Pleasant"/>
    <s v="South Carolina"/>
    <x v="0"/>
  </r>
  <r>
    <s v="REG101468"/>
    <x v="1"/>
    <s v="Cust 8054"/>
    <x v="0"/>
    <n v="2252.25"/>
    <n v="15"/>
    <n v="675.68"/>
    <n v="0"/>
    <s v="Cust 8054"/>
    <s v="Giulietta Baptist"/>
    <x v="3"/>
    <s v="Philadelphia"/>
    <s v="Pennsylvania"/>
    <x v="1"/>
  </r>
  <r>
    <s v="REG101469"/>
    <x v="90"/>
    <s v="Cust 2553"/>
    <x v="3"/>
    <n v="521.37"/>
    <n v="9"/>
    <n v="156.41"/>
    <n v="0"/>
    <s v="Cust 2553"/>
    <s v="Clay Ludtke"/>
    <x v="2"/>
    <s v="Seattle"/>
    <s v="Washington"/>
    <x v="1"/>
  </r>
  <r>
    <s v="REG100359"/>
    <x v="324"/>
    <s v="Cust 2553"/>
    <x v="6"/>
    <n v="2788.58"/>
    <n v="13"/>
    <n v="836.57"/>
    <n v="0.1"/>
    <s v="Cust 2553"/>
    <s v="Clay Ludtke"/>
    <x v="2"/>
    <s v="Seattle"/>
    <s v="Washington"/>
    <x v="0"/>
  </r>
  <r>
    <s v="REG101470"/>
    <x v="712"/>
    <s v="Cust 7547"/>
    <x v="0"/>
    <n v="1666.6"/>
    <n v="4"/>
    <n v="499.98"/>
    <n v="0.05"/>
    <s v="Cust 7547"/>
    <s v="Ryan Crowe"/>
    <x v="3"/>
    <s v="Springfield"/>
    <s v="Oregon"/>
    <x v="0"/>
  </r>
  <r>
    <s v="REG101471"/>
    <x v="50"/>
    <s v="Cust 8150"/>
    <x v="5"/>
    <n v="3217.44"/>
    <n v="6"/>
    <n v="965.23"/>
    <n v="0"/>
    <s v="Cust 8150"/>
    <s v="Julia Barnett"/>
    <x v="1"/>
    <s v="Columbus"/>
    <s v="Georgia"/>
    <x v="0"/>
  </r>
  <r>
    <s v="REG101101"/>
    <x v="541"/>
    <s v="Cust 8150"/>
    <x v="4"/>
    <n v="1194.25"/>
    <n v="10"/>
    <n v="358.28"/>
    <n v="0.15"/>
    <s v="Cust 8150"/>
    <s v="Julia Barnett"/>
    <x v="1"/>
    <s v="Columbus"/>
    <s v="Georgia"/>
    <x v="0"/>
  </r>
  <r>
    <s v="REG100901"/>
    <x v="542"/>
    <s v="Cust 8150"/>
    <x v="4"/>
    <n v="1073.73"/>
    <n v="8"/>
    <n v="322.12"/>
    <n v="0.05"/>
    <s v="Cust 8150"/>
    <s v="Julia Barnett"/>
    <x v="1"/>
    <s v="Columbus"/>
    <s v="Georgia"/>
    <x v="0"/>
  </r>
  <r>
    <s v="REG100731"/>
    <x v="543"/>
    <s v="Cust 8150"/>
    <x v="5"/>
    <n v="417.53"/>
    <n v="2"/>
    <n v="125.26"/>
    <n v="0.1"/>
    <s v="Cust 8150"/>
    <s v="Julia Barnett"/>
    <x v="1"/>
    <s v="Columbus"/>
    <s v="Georgia"/>
    <x v="1"/>
  </r>
  <r>
    <s v="REG101472"/>
    <x v="173"/>
    <s v="Cust 5635"/>
    <x v="1"/>
    <n v="8005.86"/>
    <n v="20"/>
    <n v="2401.7600000000002"/>
    <n v="0.1"/>
    <s v="Cust 5635"/>
    <s v="Matthew Clasen"/>
    <x v="1"/>
    <s v="Los Angeles"/>
    <s v="California"/>
    <x v="1"/>
  </r>
  <r>
    <s v="REG101473"/>
    <x v="109"/>
    <s v="Cust 4360"/>
    <x v="4"/>
    <n v="1802.85"/>
    <n v="10"/>
    <n v="540.86"/>
    <n v="0.15"/>
    <s v="Cust 4360"/>
    <s v="Tim Taslimi"/>
    <x v="3"/>
    <s v="New York City"/>
    <s v="New York"/>
    <x v="1"/>
  </r>
  <r>
    <s v="REG101474"/>
    <x v="637"/>
    <s v="Cust 1624"/>
    <x v="1"/>
    <n v="3897.22"/>
    <n v="9"/>
    <n v="1169.1600000000001"/>
    <n v="0.15"/>
    <s v="Cust 1624"/>
    <s v="Max Jones"/>
    <x v="1"/>
    <s v="Detroit"/>
    <s v="Michigan"/>
    <x v="2"/>
  </r>
  <r>
    <s v="REG101475"/>
    <x v="331"/>
    <s v="Cust 6593"/>
    <x v="5"/>
    <n v="1605.96"/>
    <n v="8"/>
    <n v="481.79"/>
    <n v="0.15"/>
    <s v="Cust 6593"/>
    <s v="Annie Thurman"/>
    <x v="4"/>
    <s v="Stockton"/>
    <s v="California"/>
    <x v="0"/>
  </r>
  <r>
    <s v="REG101476"/>
    <x v="312"/>
    <s v="Cust 9072"/>
    <x v="4"/>
    <n v="147.4"/>
    <n v="1"/>
    <n v="44.22"/>
    <n v="0"/>
    <s v="Cust 9072"/>
    <s v="Philip Brown"/>
    <x v="3"/>
    <s v="Phoenix"/>
    <s v="Arizona"/>
    <x v="0"/>
  </r>
  <r>
    <s v="REG100700"/>
    <x v="466"/>
    <s v="Cust 9072"/>
    <x v="6"/>
    <n v="1893.17"/>
    <n v="14"/>
    <n v="567.95000000000005"/>
    <n v="0.15"/>
    <s v="Cust 9072"/>
    <s v="Philip Brown"/>
    <x v="3"/>
    <s v="Phoenix"/>
    <s v="Arizona"/>
    <x v="0"/>
  </r>
  <r>
    <s v="REG101477"/>
    <x v="479"/>
    <s v="Cust 1116"/>
    <x v="6"/>
    <n v="2126.02"/>
    <n v="8"/>
    <n v="637.80999999999995"/>
    <n v="0.05"/>
    <s v="Cust 1116"/>
    <s v="Natalie Webber"/>
    <x v="4"/>
    <s v="Philadelphia"/>
    <s v="Pennsylvania"/>
    <x v="0"/>
  </r>
  <r>
    <s v="REG100607"/>
    <x v="388"/>
    <s v="Cust 1116"/>
    <x v="1"/>
    <n v="355.68"/>
    <n v="1"/>
    <n v="106.7"/>
    <n v="0.15"/>
    <s v="Cust 1116"/>
    <s v="Natalie Webber"/>
    <x v="4"/>
    <s v="Philadelphia"/>
    <s v="Pennsylvania"/>
    <x v="0"/>
  </r>
  <r>
    <s v="REG101478"/>
    <x v="738"/>
    <s v="Cust 8458"/>
    <x v="0"/>
    <n v="868.14"/>
    <n v="3"/>
    <n v="260.44"/>
    <n v="0.05"/>
    <s v="Cust 8458"/>
    <s v="Victor Preis"/>
    <x v="4"/>
    <s v="Sterling Heights"/>
    <s v="Michigan"/>
    <x v="0"/>
  </r>
  <r>
    <s v="REG101479"/>
    <x v="331"/>
    <s v="Cust 5409"/>
    <x v="6"/>
    <n v="2144.88"/>
    <n v="9"/>
    <n v="643.46"/>
    <n v="0"/>
    <s v="Cust 5409"/>
    <s v="Ross DeVincentis"/>
    <x v="1"/>
    <s v="Rochester"/>
    <s v="New York"/>
    <x v="0"/>
  </r>
  <r>
    <s v="REG101399"/>
    <x v="665"/>
    <s v="Cust 5409"/>
    <x v="1"/>
    <n v="302.66000000000003"/>
    <n v="13"/>
    <n v="90.8"/>
    <n v="0.15"/>
    <s v="Cust 5409"/>
    <s v="Ross DeVincentis"/>
    <x v="1"/>
    <s v="Rochester"/>
    <s v="New York"/>
    <x v="2"/>
  </r>
  <r>
    <s v="REG101480"/>
    <x v="739"/>
    <s v="Cust 8847"/>
    <x v="4"/>
    <n v="6960.53"/>
    <n v="16"/>
    <n v="2088.16"/>
    <n v="0.1"/>
    <s v="Cust 8847"/>
    <s v="Michael Grace"/>
    <x v="4"/>
    <s v="New York City"/>
    <s v="New York"/>
    <x v="2"/>
  </r>
  <r>
    <s v="REG101481"/>
    <x v="740"/>
    <s v="Cust 7857"/>
    <x v="5"/>
    <n v="909.32"/>
    <n v="6"/>
    <n v="272.8"/>
    <n v="0.05"/>
    <s v="Cust 7857"/>
    <s v="Pete Armstrong"/>
    <x v="2"/>
    <s v="Eau Claire"/>
    <s v="Wisconsin"/>
    <x v="2"/>
  </r>
  <r>
    <s v="REG101482"/>
    <x v="553"/>
    <s v="Cust 7810"/>
    <x v="2"/>
    <n v="4798.26"/>
    <n v="19"/>
    <n v="1439.48"/>
    <n v="0.1"/>
    <s v="Cust 7810"/>
    <s v="Craig Reiter"/>
    <x v="0"/>
    <s v="New York City"/>
    <s v="New York"/>
    <x v="0"/>
  </r>
  <r>
    <s v="REG101483"/>
    <x v="170"/>
    <s v="Cust 5665"/>
    <x v="6"/>
    <n v="740.96"/>
    <n v="2"/>
    <n v="222.29"/>
    <n v="0.05"/>
    <s v="Cust 5665"/>
    <s v="Allen Armold"/>
    <x v="0"/>
    <s v="Rancho Cucamonga"/>
    <s v="California"/>
    <x v="1"/>
  </r>
  <r>
    <s v="REG101484"/>
    <x v="427"/>
    <s v="Cust 8015"/>
    <x v="5"/>
    <n v="7012.59"/>
    <n v="17"/>
    <n v="2103.7800000000002"/>
    <n v="0.15"/>
    <s v="Cust 8015"/>
    <s v="James Galang"/>
    <x v="2"/>
    <s v="Murray"/>
    <s v="Kentucky"/>
    <x v="1"/>
  </r>
  <r>
    <s v="REG101485"/>
    <x v="142"/>
    <s v="Cust 7211"/>
    <x v="0"/>
    <n v="1888.96"/>
    <n v="4"/>
    <n v="566.69000000000005"/>
    <n v="0"/>
    <s v="Cust 7211"/>
    <s v="Rick Reed"/>
    <x v="1"/>
    <s v="Toledo"/>
    <s v="Ohio"/>
    <x v="1"/>
  </r>
  <r>
    <s v="REG101486"/>
    <x v="538"/>
    <s v="Cust 8705"/>
    <x v="5"/>
    <n v="1148.24"/>
    <n v="8"/>
    <n v="344.47"/>
    <n v="0"/>
    <s v="Cust 8705"/>
    <s v="Sharelle Roach"/>
    <x v="0"/>
    <s v="Louisville"/>
    <s v="Colorado"/>
    <x v="2"/>
  </r>
  <r>
    <s v="REG101487"/>
    <x v="47"/>
    <s v="Cust 2905"/>
    <x v="3"/>
    <n v="799.6"/>
    <n v="5"/>
    <n v="239.88"/>
    <n v="0"/>
    <s v="Cust 2905"/>
    <s v="Lindsay Shagiari"/>
    <x v="2"/>
    <s v="New York City"/>
    <s v="New York"/>
    <x v="2"/>
  </r>
  <r>
    <s v="REG101488"/>
    <x v="741"/>
    <s v="Cust 5777"/>
    <x v="5"/>
    <n v="5524.65"/>
    <n v="13"/>
    <n v="1657.39"/>
    <n v="0.05"/>
    <s v="Cust 5777"/>
    <s v="Mick Hernandez"/>
    <x v="3"/>
    <s v="Pharr"/>
    <s v="Texas"/>
    <x v="2"/>
  </r>
  <r>
    <s v="REG101489"/>
    <x v="742"/>
    <s v="Cust 6695"/>
    <x v="1"/>
    <n v="2302.56"/>
    <n v="13"/>
    <n v="690.77"/>
    <n v="0.1"/>
    <s v="Cust 6695"/>
    <s v="Sanjit Chand"/>
    <x v="1"/>
    <s v="West Jordan"/>
    <s v="Utah"/>
    <x v="0"/>
  </r>
  <r>
    <s v="REG101490"/>
    <x v="743"/>
    <s v="Cust 1977"/>
    <x v="3"/>
    <n v="1311.69"/>
    <n v="3"/>
    <n v="393.51"/>
    <n v="0.1"/>
    <s v="Cust 1977"/>
    <s v="Joy Bell-"/>
    <x v="3"/>
    <s v="Brownsville"/>
    <s v="Texas"/>
    <x v="0"/>
  </r>
  <r>
    <s v="REG101491"/>
    <x v="744"/>
    <s v="Cust 7979"/>
    <x v="1"/>
    <n v="2791.02"/>
    <n v="16"/>
    <n v="837.31"/>
    <n v="0.05"/>
    <s v="Cust 7979"/>
    <s v="Amy Cox"/>
    <x v="4"/>
    <s v="New York City"/>
    <s v="New York"/>
    <x v="0"/>
  </r>
  <r>
    <s v="REG101492"/>
    <x v="696"/>
    <s v="Cust 2437"/>
    <x v="5"/>
    <n v="708.83"/>
    <n v="2"/>
    <n v="212.65"/>
    <n v="0.05"/>
    <s v="Cust 2437"/>
    <s v="Meg O'Connel"/>
    <x v="0"/>
    <s v="Philadelphia"/>
    <s v="Pennsylvania"/>
    <x v="0"/>
  </r>
  <r>
    <s v="REG101493"/>
    <x v="745"/>
    <s v="Cust 2516"/>
    <x v="5"/>
    <n v="8970.56"/>
    <n v="17"/>
    <n v="2691.17"/>
    <n v="0"/>
    <s v="Cust 2516"/>
    <s v="Robert Barroso"/>
    <x v="4"/>
    <s v="Billings"/>
    <s v="Montana"/>
    <x v="0"/>
  </r>
  <r>
    <s v="REG101494"/>
    <x v="686"/>
    <s v="Cust 6791"/>
    <x v="6"/>
    <n v="1006.45"/>
    <n v="5"/>
    <n v="301.94"/>
    <n v="0"/>
    <s v="Cust 6791"/>
    <s v="Arianne Irving"/>
    <x v="0"/>
    <s v="Chesapeake"/>
    <s v="Virginia"/>
    <x v="2"/>
  </r>
  <r>
    <s v="REG101495"/>
    <x v="152"/>
    <s v="Cust 5227"/>
    <x v="2"/>
    <n v="1661.82"/>
    <n v="13"/>
    <n v="498.54"/>
    <n v="0.05"/>
    <s v="Cust 5227"/>
    <s v="Dan Reichenbach"/>
    <x v="4"/>
    <s v="Gresham"/>
    <s v="Oregon"/>
    <x v="2"/>
  </r>
  <r>
    <s v="REG101496"/>
    <x v="746"/>
    <s v="Cust 5559"/>
    <x v="3"/>
    <n v="3209.18"/>
    <n v="18"/>
    <n v="962.75"/>
    <n v="0.15"/>
    <s v="Cust 5559"/>
    <s v="Dario Medina"/>
    <x v="1"/>
    <s v="Lincoln Park"/>
    <s v="Michigan"/>
    <x v="2"/>
  </r>
  <r>
    <s v="REG101497"/>
    <x v="506"/>
    <s v="Cust 8981"/>
    <x v="2"/>
    <n v="272.5"/>
    <n v="1"/>
    <n v="81.75"/>
    <n v="0"/>
    <s v="Cust 8981"/>
    <s v="Justin Hirsh"/>
    <x v="0"/>
    <s v="Gresham"/>
    <s v="Oregon"/>
    <x v="2"/>
  </r>
  <r>
    <s v="REG101498"/>
    <x v="598"/>
    <s v="Cust 1824"/>
    <x v="5"/>
    <n v="3493.51"/>
    <n v="14"/>
    <n v="1048.05"/>
    <n v="0.05"/>
    <s v="Cust 1824"/>
    <s v="Adam Bellavance"/>
    <x v="3"/>
    <s v="Philadelphia"/>
    <s v="Pennsylvania"/>
    <x v="0"/>
  </r>
  <r>
    <s v="REG101499"/>
    <x v="520"/>
    <s v="Cust 1935"/>
    <x v="3"/>
    <n v="2878.07"/>
    <n v="13"/>
    <n v="863.42"/>
    <n v="0"/>
    <s v="Cust 1935"/>
    <s v="Brian Dahlen"/>
    <x v="4"/>
    <s v="Monroe"/>
    <s v="Louisiana"/>
    <x v="0"/>
  </r>
  <r>
    <s v="REG100684"/>
    <x v="521"/>
    <s v="Cust 1935"/>
    <x v="3"/>
    <n v="7465.64"/>
    <n v="15"/>
    <n v="2239.69"/>
    <n v="0.1"/>
    <s v="Cust 1935"/>
    <s v="Brian Dahlen"/>
    <x v="4"/>
    <s v="Monroe"/>
    <s v="Louisia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E43E3-5E6F-4CDD-B1A5-8B5F4165A32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M11" firstHeaderRow="1" firstDataRow="2" firstDataCol="1"/>
  <pivotFields count="15">
    <pivotField showAll="0"/>
    <pivotField numFmtId="14" showAll="0">
      <items count="748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t="default"/>
      </items>
    </pivotField>
    <pivotField showAll="0"/>
    <pivotField axis="axisRow" showAll="0">
      <items count="8">
        <item x="3"/>
        <item x="2"/>
        <item x="0"/>
        <item x="5"/>
        <item x="1"/>
        <item x="4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4CCA9-5DBF-4EC0-B8EB-5BCB9594AD0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14" firstHeaderRow="1" firstDataRow="1" firstDataCol="1"/>
  <pivotFields count="15">
    <pivotField showAll="0"/>
    <pivotField numFmtId="14" showAll="0">
      <items count="748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64FC6-E64F-43EF-A53F-FCC636DEAB5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8" firstHeaderRow="0" firstDataRow="1" firstDataCol="1"/>
  <pivotFields count="15">
    <pivotField showAll="0"/>
    <pivotField numFmtId="14" showAll="0">
      <items count="748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C74A5-13EB-4F98-9979-CC546EAC0A4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753" firstHeaderRow="0" firstDataRow="1" firstDataCol="1"/>
  <pivotFields count="15">
    <pivotField showAll="0"/>
    <pivotField axis="axisRow" numFmtId="14" showAll="0">
      <items count="748">
        <item x="238"/>
        <item x="735"/>
        <item x="728"/>
        <item x="95"/>
        <item x="489"/>
        <item x="483"/>
        <item x="445"/>
        <item x="9"/>
        <item x="267"/>
        <item x="7"/>
        <item x="353"/>
        <item x="682"/>
        <item x="534"/>
        <item x="406"/>
        <item x="602"/>
        <item x="706"/>
        <item x="664"/>
        <item x="437"/>
        <item x="503"/>
        <item x="256"/>
        <item x="218"/>
        <item x="261"/>
        <item x="608"/>
        <item x="68"/>
        <item x="541"/>
        <item x="690"/>
        <item x="550"/>
        <item x="335"/>
        <item x="262"/>
        <item x="176"/>
        <item x="473"/>
        <item x="298"/>
        <item x="263"/>
        <item x="257"/>
        <item x="188"/>
        <item x="325"/>
        <item x="81"/>
        <item x="308"/>
        <item x="195"/>
        <item x="518"/>
        <item x="577"/>
        <item x="462"/>
        <item x="247"/>
        <item x="454"/>
        <item x="0"/>
        <item x="380"/>
        <item x="20"/>
        <item x="304"/>
        <item x="186"/>
        <item x="727"/>
        <item x="26"/>
        <item x="158"/>
        <item x="532"/>
        <item x="365"/>
        <item x="372"/>
        <item x="166"/>
        <item x="98"/>
        <item x="144"/>
        <item x="389"/>
        <item x="465"/>
        <item x="427"/>
        <item x="58"/>
        <item x="155"/>
        <item x="149"/>
        <item x="559"/>
        <item x="284"/>
        <item x="587"/>
        <item x="459"/>
        <item x="135"/>
        <item x="224"/>
        <item x="210"/>
        <item x="371"/>
        <item x="102"/>
        <item x="334"/>
        <item x="562"/>
        <item x="625"/>
        <item x="37"/>
        <item x="407"/>
        <item x="689"/>
        <item x="179"/>
        <item x="197"/>
        <item x="294"/>
        <item x="361"/>
        <item x="300"/>
        <item x="66"/>
        <item x="442"/>
        <item x="637"/>
        <item x="733"/>
        <item x="591"/>
        <item x="157"/>
        <item x="350"/>
        <item x="423"/>
        <item x="204"/>
        <item x="295"/>
        <item x="457"/>
        <item x="458"/>
        <item x="239"/>
        <item x="320"/>
        <item x="649"/>
        <item x="600"/>
        <item x="428"/>
        <item x="714"/>
        <item x="33"/>
        <item x="2"/>
        <item x="738"/>
        <item x="469"/>
        <item x="223"/>
        <item x="165"/>
        <item x="214"/>
        <item x="522"/>
        <item x="641"/>
        <item x="49"/>
        <item x="651"/>
        <item x="538"/>
        <item x="67"/>
        <item x="172"/>
        <item x="720"/>
        <item x="94"/>
        <item x="449"/>
        <item x="590"/>
        <item x="148"/>
        <item x="341"/>
        <item x="724"/>
        <item x="384"/>
        <item x="604"/>
        <item x="569"/>
        <item x="44"/>
        <item x="253"/>
        <item x="71"/>
        <item x="374"/>
        <item x="138"/>
        <item x="388"/>
        <item x="421"/>
        <item x="207"/>
        <item x="328"/>
        <item x="292"/>
        <item x="23"/>
        <item x="397"/>
        <item x="5"/>
        <item x="441"/>
        <item x="659"/>
        <item x="187"/>
        <item x="443"/>
        <item x="411"/>
        <item x="50"/>
        <item x="455"/>
        <item x="349"/>
        <item x="274"/>
        <item x="435"/>
        <item x="620"/>
        <item x="226"/>
        <item x="665"/>
        <item x="644"/>
        <item x="472"/>
        <item x="535"/>
        <item x="323"/>
        <item x="145"/>
        <item x="413"/>
        <item x="369"/>
        <item x="415"/>
        <item x="16"/>
        <item x="111"/>
        <item x="48"/>
        <item x="575"/>
        <item x="266"/>
        <item x="86"/>
        <item x="265"/>
        <item x="25"/>
        <item x="76"/>
        <item x="542"/>
        <item x="583"/>
        <item x="717"/>
        <item x="314"/>
        <item x="28"/>
        <item x="557"/>
        <item x="672"/>
        <item x="150"/>
        <item x="46"/>
        <item x="680"/>
        <item x="206"/>
        <item x="412"/>
        <item x="199"/>
        <item x="405"/>
        <item x="509"/>
        <item x="410"/>
        <item x="676"/>
        <item x="357"/>
        <item x="660"/>
        <item x="337"/>
        <item x="553"/>
        <item x="229"/>
        <item x="656"/>
        <item x="321"/>
        <item x="249"/>
        <item x="500"/>
        <item x="255"/>
        <item x="163"/>
        <item x="160"/>
        <item x="291"/>
        <item x="211"/>
        <item x="474"/>
        <item x="39"/>
        <item x="736"/>
        <item x="588"/>
        <item x="502"/>
        <item x="316"/>
        <item x="276"/>
        <item x="530"/>
        <item x="385"/>
        <item x="120"/>
        <item x="565"/>
        <item x="730"/>
        <item x="221"/>
        <item x="319"/>
        <item x="143"/>
        <item x="370"/>
        <item x="303"/>
        <item x="586"/>
        <item x="492"/>
        <item x="601"/>
        <item x="386"/>
        <item x="89"/>
        <item x="117"/>
        <item x="531"/>
        <item x="75"/>
        <item x="420"/>
        <item x="118"/>
        <item x="684"/>
        <item x="471"/>
        <item x="723"/>
        <item x="743"/>
        <item x="529"/>
        <item x="476"/>
        <item x="650"/>
        <item x="104"/>
        <item x="8"/>
        <item x="705"/>
        <item x="83"/>
        <item x="668"/>
        <item x="30"/>
        <item x="484"/>
        <item x="643"/>
        <item x="82"/>
        <item x="329"/>
        <item x="647"/>
        <item x="403"/>
        <item x="285"/>
        <item x="381"/>
        <item x="352"/>
        <item x="208"/>
        <item x="216"/>
        <item x="282"/>
        <item x="626"/>
        <item x="232"/>
        <item x="694"/>
        <item x="358"/>
        <item x="708"/>
        <item x="377"/>
        <item x="100"/>
        <item x="362"/>
        <item x="312"/>
        <item x="260"/>
        <item x="513"/>
        <item x="709"/>
        <item x="450"/>
        <item x="194"/>
        <item x="191"/>
        <item x="235"/>
        <item x="379"/>
        <item x="22"/>
        <item x="132"/>
        <item x="419"/>
        <item x="409"/>
        <item x="673"/>
        <item x="662"/>
        <item x="464"/>
        <item x="74"/>
        <item x="514"/>
        <item x="490"/>
        <item x="164"/>
        <item x="495"/>
        <item x="90"/>
        <item x="737"/>
        <item x="296"/>
        <item x="404"/>
        <item x="597"/>
        <item x="171"/>
        <item x="493"/>
        <item x="511"/>
        <item x="363"/>
        <item x="528"/>
        <item x="209"/>
        <item x="505"/>
        <item x="250"/>
        <item x="91"/>
        <item x="175"/>
        <item x="508"/>
        <item x="62"/>
        <item x="582"/>
        <item x="681"/>
        <item x="605"/>
        <item x="55"/>
        <item x="581"/>
        <item x="746"/>
        <item x="438"/>
        <item x="594"/>
        <item x="84"/>
        <item x="507"/>
        <item x="463"/>
        <item x="540"/>
        <item x="481"/>
        <item x="418"/>
        <item x="632"/>
        <item x="136"/>
        <item x="170"/>
        <item x="133"/>
        <item x="128"/>
        <item x="523"/>
        <item x="305"/>
        <item x="311"/>
        <item x="169"/>
        <item x="646"/>
        <item x="631"/>
        <item x="515"/>
        <item x="697"/>
        <item x="718"/>
        <item x="711"/>
        <item x="478"/>
        <item x="309"/>
        <item x="376"/>
        <item x="679"/>
        <item x="35"/>
        <item x="639"/>
        <item x="42"/>
        <item x="92"/>
        <item x="440"/>
        <item x="27"/>
        <item x="713"/>
        <item x="6"/>
        <item x="616"/>
        <item x="220"/>
        <item x="168"/>
        <item x="73"/>
        <item x="638"/>
        <item x="392"/>
        <item x="640"/>
        <item x="479"/>
        <item x="177"/>
        <item x="80"/>
        <item x="628"/>
        <item x="368"/>
        <item x="516"/>
        <item x="134"/>
        <item x="564"/>
        <item x="695"/>
        <item x="56"/>
        <item x="126"/>
        <item x="162"/>
        <item x="447"/>
        <item x="69"/>
        <item x="146"/>
        <item x="124"/>
        <item x="61"/>
        <item x="704"/>
        <item x="652"/>
        <item x="617"/>
        <item x="722"/>
        <item x="228"/>
        <item x="233"/>
        <item x="539"/>
        <item x="574"/>
        <item x="422"/>
        <item x="444"/>
        <item x="687"/>
        <item x="258"/>
        <item x="198"/>
        <item x="13"/>
        <item x="623"/>
        <item x="521"/>
        <item x="190"/>
        <item x="475"/>
        <item x="271"/>
        <item x="63"/>
        <item x="131"/>
        <item x="107"/>
        <item x="426"/>
        <item x="286"/>
        <item x="496"/>
        <item x="317"/>
        <item x="504"/>
        <item x="477"/>
        <item x="154"/>
        <item x="430"/>
        <item x="373"/>
        <item x="93"/>
        <item x="400"/>
        <item x="486"/>
        <item x="584"/>
        <item x="367"/>
        <item x="512"/>
        <item x="470"/>
        <item x="147"/>
        <item x="519"/>
        <item x="560"/>
        <item x="533"/>
        <item x="667"/>
        <item x="546"/>
        <item x="29"/>
        <item x="619"/>
        <item x="364"/>
        <item x="110"/>
        <item x="21"/>
        <item x="726"/>
        <item x="43"/>
        <item x="310"/>
        <item x="432"/>
        <item x="215"/>
        <item x="51"/>
        <item x="54"/>
        <item x="85"/>
        <item x="338"/>
        <item x="571"/>
        <item x="572"/>
        <item x="648"/>
        <item x="234"/>
        <item x="222"/>
        <item x="382"/>
        <item x="47"/>
        <item x="566"/>
        <item x="548"/>
        <item x="396"/>
        <item x="278"/>
        <item x="387"/>
        <item x="731"/>
        <item x="685"/>
        <item x="527"/>
        <item x="259"/>
        <item x="123"/>
        <item x="611"/>
        <item x="189"/>
        <item x="122"/>
        <item x="290"/>
        <item x="185"/>
        <item x="578"/>
        <item x="696"/>
        <item x="322"/>
        <item x="716"/>
        <item x="115"/>
        <item x="137"/>
        <item x="561"/>
        <item x="488"/>
        <item x="181"/>
        <item x="14"/>
        <item x="446"/>
        <item x="125"/>
        <item x="264"/>
        <item x="630"/>
        <item x="439"/>
        <item x="140"/>
        <item x="576"/>
        <item x="744"/>
        <item x="734"/>
        <item x="273"/>
        <item x="703"/>
        <item x="506"/>
        <item x="715"/>
        <item x="480"/>
        <item x="139"/>
        <item x="558"/>
        <item x="719"/>
        <item x="299"/>
        <item x="212"/>
        <item x="645"/>
        <item x="205"/>
        <item x="675"/>
        <item x="657"/>
        <item x="244"/>
        <item x="130"/>
        <item x="333"/>
        <item x="395"/>
        <item x="230"/>
        <item x="283"/>
        <item x="739"/>
        <item x="182"/>
        <item x="612"/>
        <item x="394"/>
        <item x="658"/>
        <item x="655"/>
        <item x="167"/>
        <item x="252"/>
        <item x="114"/>
        <item x="402"/>
        <item x="344"/>
        <item x="433"/>
        <item x="200"/>
        <item x="635"/>
        <item x="677"/>
        <item x="57"/>
        <item x="359"/>
        <item x="331"/>
        <item x="60"/>
        <item x="307"/>
        <item x="585"/>
        <item x="485"/>
        <item x="707"/>
        <item x="275"/>
        <item x="398"/>
        <item x="336"/>
        <item x="729"/>
        <item x="745"/>
        <item x="653"/>
        <item x="243"/>
        <item x="416"/>
        <item x="383"/>
        <item x="429"/>
        <item x="592"/>
        <item x="227"/>
        <item x="683"/>
        <item x="293"/>
        <item x="510"/>
        <item x="297"/>
        <item x="87"/>
        <item x="544"/>
        <item x="151"/>
        <item x="589"/>
        <item x="10"/>
        <item x="417"/>
        <item x="596"/>
        <item x="301"/>
        <item x="573"/>
        <item x="327"/>
        <item x="88"/>
        <item x="12"/>
        <item x="721"/>
        <item x="614"/>
        <item x="661"/>
        <item x="549"/>
        <item x="393"/>
        <item x="366"/>
        <item x="526"/>
        <item x="289"/>
        <item x="339"/>
        <item x="237"/>
        <item x="183"/>
        <item x="702"/>
        <item x="161"/>
        <item x="356"/>
        <item x="360"/>
        <item x="236"/>
        <item x="401"/>
        <item x="272"/>
        <item x="78"/>
        <item x="99"/>
        <item x="451"/>
        <item x="32"/>
        <item x="248"/>
        <item x="580"/>
        <item x="225"/>
        <item x="375"/>
        <item x="251"/>
        <item x="217"/>
        <item x="456"/>
        <item x="742"/>
        <item x="302"/>
        <item x="688"/>
        <item x="610"/>
        <item x="634"/>
        <item x="113"/>
        <item x="598"/>
        <item x="725"/>
        <item x="34"/>
        <item x="18"/>
        <item x="554"/>
        <item x="460"/>
        <item x="633"/>
        <item x="193"/>
        <item x="642"/>
        <item x="654"/>
        <item x="313"/>
        <item x="468"/>
        <item x="254"/>
        <item x="1"/>
        <item x="552"/>
        <item x="156"/>
        <item x="425"/>
        <item x="498"/>
        <item x="77"/>
        <item x="153"/>
        <item x="241"/>
        <item x="537"/>
        <item x="678"/>
        <item x="499"/>
        <item x="461"/>
        <item x="399"/>
        <item x="567"/>
        <item x="348"/>
        <item x="693"/>
        <item x="453"/>
        <item x="345"/>
        <item x="332"/>
        <item x="390"/>
        <item x="545"/>
        <item x="434"/>
        <item x="101"/>
        <item x="452"/>
        <item x="686"/>
        <item x="609"/>
        <item x="59"/>
        <item x="17"/>
        <item x="448"/>
        <item x="159"/>
        <item x="732"/>
        <item x="213"/>
        <item x="268"/>
        <item x="70"/>
        <item x="547"/>
        <item x="627"/>
        <item x="741"/>
        <item x="621"/>
        <item x="287"/>
        <item x="108"/>
        <item x="517"/>
        <item x="196"/>
        <item x="53"/>
        <item x="615"/>
        <item x="347"/>
        <item x="354"/>
        <item x="466"/>
        <item x="45"/>
        <item x="670"/>
        <item x="280"/>
        <item x="674"/>
        <item x="174"/>
        <item x="231"/>
        <item x="671"/>
        <item x="603"/>
        <item x="152"/>
        <item x="629"/>
        <item x="491"/>
        <item x="270"/>
        <item x="414"/>
        <item x="636"/>
        <item x="595"/>
        <item x="324"/>
        <item x="3"/>
        <item x="15"/>
        <item x="408"/>
        <item x="103"/>
        <item x="245"/>
        <item x="180"/>
        <item x="11"/>
        <item x="65"/>
        <item x="279"/>
        <item x="36"/>
        <item x="246"/>
        <item x="431"/>
        <item x="555"/>
        <item x="79"/>
        <item x="109"/>
        <item x="551"/>
        <item x="281"/>
        <item x="52"/>
        <item x="330"/>
        <item x="219"/>
        <item x="40"/>
        <item x="72"/>
        <item x="622"/>
        <item x="691"/>
        <item x="315"/>
        <item x="599"/>
        <item x="192"/>
        <item x="4"/>
        <item x="288"/>
        <item x="391"/>
        <item x="343"/>
        <item x="184"/>
        <item x="203"/>
        <item x="607"/>
        <item x="543"/>
        <item x="593"/>
        <item x="436"/>
        <item x="351"/>
        <item x="606"/>
        <item x="105"/>
        <item x="202"/>
        <item x="129"/>
        <item x="482"/>
        <item x="342"/>
        <item x="112"/>
        <item x="127"/>
        <item x="277"/>
        <item x="494"/>
        <item x="501"/>
        <item x="701"/>
        <item x="666"/>
        <item x="568"/>
        <item x="269"/>
        <item x="613"/>
        <item x="624"/>
        <item x="698"/>
        <item x="692"/>
        <item x="318"/>
        <item x="525"/>
        <item x="306"/>
        <item x="700"/>
        <item x="38"/>
        <item x="520"/>
        <item x="19"/>
        <item x="106"/>
        <item x="712"/>
        <item x="710"/>
        <item x="142"/>
        <item x="378"/>
        <item x="669"/>
        <item x="487"/>
        <item x="346"/>
        <item x="96"/>
        <item x="570"/>
        <item x="340"/>
        <item x="97"/>
        <item x="524"/>
        <item x="240"/>
        <item x="618"/>
        <item x="740"/>
        <item x="556"/>
        <item x="242"/>
        <item x="579"/>
        <item x="24"/>
        <item x="497"/>
        <item x="141"/>
        <item x="119"/>
        <item x="64"/>
        <item x="121"/>
        <item x="424"/>
        <item x="326"/>
        <item x="31"/>
        <item x="663"/>
        <item x="355"/>
        <item x="41"/>
        <item x="536"/>
        <item x="178"/>
        <item x="699"/>
        <item x="116"/>
        <item x="467"/>
        <item x="563"/>
        <item x="201"/>
        <item x="17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75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>
      <x v="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>
      <x v="3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F11A5-0060-4164-A203-FA1AB1D953FB}" name="Table3" displayName="Table3" ref="A2:F36" totalsRowShown="0">
  <autoFilter ref="A2:F36" xr:uid="{A3CF11A5-0060-4164-A203-FA1AB1D953FB}"/>
  <tableColumns count="6">
    <tableColumn id="1" xr3:uid="{B0E9A124-D0B1-4478-9081-E8700E138560}" name="Row Labels" dataDxfId="0"/>
    <tableColumn id="2" xr3:uid="{FEE0A877-BA21-430B-812E-37AE8F438764}" name="Sum of sales"/>
    <tableColumn id="3" xr3:uid="{D20BE10E-DA36-427F-B371-C1C6AB216F0C}" name="Sum of profit"/>
    <tableColumn id="4" xr3:uid="{CD6A6243-EBD8-416E-A109-97489A1D9086}" name="Previous Month Sales ">
      <calculatedColumnFormula>B2</calculatedColumnFormula>
    </tableColumn>
    <tableColumn id="5" xr3:uid="{5EB30555-4ED1-4BAE-BC71-95E0CBCA5815}" name="Sales Variance">
      <calculatedColumnFormula>B3-D3</calculatedColumnFormula>
    </tableColumn>
    <tableColumn id="6" xr3:uid="{CD65871E-E3C7-4B32-8BE6-20CB758A44DD}" name="Growth Percent ">
      <calculatedColumnFormula>(E3/D3)*100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52501-31AC-4181-B566-AF1D8662D7B2}" name="Table4" displayName="Table4" ref="A2:D8" totalsRowShown="0">
  <autoFilter ref="A2:D8" xr:uid="{8F752501-31AC-4181-B566-AF1D8662D7B2}"/>
  <tableColumns count="4">
    <tableColumn id="1" xr3:uid="{F7471A91-DF43-4C46-A528-5F2D8B4A479E}" name="Row Labels"/>
    <tableColumn id="2" xr3:uid="{12FC3421-BE6C-4359-A40F-5624C510E73C}" name="Sum of sales"/>
    <tableColumn id="3" xr3:uid="{8D5AFF37-90C9-4ACF-AA05-E8A54BCD0E59}" name="Sum of profit"/>
    <tableColumn id="4" xr3:uid="{ECCDB1B8-4D2E-4C8E-A358-1321A0D0BDCC}" name="Profit Margin">
      <calculatedColumnFormula>(C3/B3)*100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233202-F2A6-4CB2-BF60-EAE8F0E0230D}" name="Table5" displayName="Table5" ref="F2:H6" totalsRowShown="0">
  <autoFilter ref="F2:H6" xr:uid="{5E233202-F2A6-4CB2-BF60-EAE8F0E0230D}"/>
  <tableColumns count="3">
    <tableColumn id="1" xr3:uid="{0B58C3FD-0A48-485C-AD1B-FB649D20F041}" name="Row Labels"/>
    <tableColumn id="2" xr3:uid="{C5BF3852-117C-4825-B6A4-8987E6887849}" name="Sum of sales"/>
    <tableColumn id="3" xr3:uid="{BE16C019-222A-4231-BAE7-72B0106639FC}" name="Revenue Contribut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1FB0CF-BE56-4724-87A7-26E72E63019E}" name="Table6" displayName="Table6" ref="J3:P11" totalsRowShown="0">
  <autoFilter ref="J3:P11" xr:uid="{541FB0CF-BE56-4724-87A7-26E72E63019E}"/>
  <tableColumns count="7">
    <tableColumn id="1" xr3:uid="{49F31A82-FAB5-4982-9769-3AACAB3B7E2D}" name="Row Labels"/>
    <tableColumn id="2" xr3:uid="{6110C263-5493-4734-A456-202C0E15E85C}" name="2023"/>
    <tableColumn id="3" xr3:uid="{A3F11045-B537-44D9-9FEB-96DB2C2266AE}" name="2024"/>
    <tableColumn id="4" xr3:uid="{C49C2E33-C2BD-4F85-807B-B661F9C9AAB4}" name="2025"/>
    <tableColumn id="5" xr3:uid="{3BE2FAC5-3C60-4699-A45C-C99593ACE80A}" name="Grand Total"/>
    <tableColumn id="6" xr3:uid="{EC512815-563C-43BC-ADAC-00D81198CC01}" name="Growth % (2023-24)"/>
    <tableColumn id="7" xr3:uid="{3AC04664-D668-4B1A-BD03-C0475ED3A899}" name="Growth %(2024-25)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72A8-A7AD-4EDE-92D1-17A47B5626AD}">
  <dimension ref="A1:S1771"/>
  <sheetViews>
    <sheetView workbookViewId="0">
      <selection activeCell="F15" sqref="F15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2.140625" bestFit="1" customWidth="1"/>
    <col min="4" max="4" width="14" bestFit="1" customWidth="1"/>
    <col min="5" max="5" width="9" bestFit="1" customWidth="1"/>
    <col min="6" max="6" width="8.42578125" bestFit="1" customWidth="1"/>
    <col min="7" max="7" width="8" bestFit="1" customWidth="1"/>
    <col min="8" max="8" width="8.85546875" bestFit="1" customWidth="1"/>
    <col min="9" max="9" width="14" bestFit="1" customWidth="1"/>
    <col min="10" max="10" width="22.7109375" bestFit="1" customWidth="1"/>
    <col min="11" max="11" width="7.28515625" bestFit="1" customWidth="1"/>
    <col min="12" max="12" width="19" bestFit="1" customWidth="1"/>
    <col min="13" max="13" width="18.7109375" bestFit="1" customWidth="1"/>
    <col min="14" max="14" width="11.7109375" bestFit="1" customWidth="1"/>
    <col min="16" max="16" width="12.85546875" bestFit="1" customWidth="1"/>
    <col min="18" max="18" width="22.57031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3965</v>
      </c>
      <c r="P1" s="2" t="s">
        <v>3986</v>
      </c>
      <c r="R1" s="2" t="s">
        <v>3987</v>
      </c>
      <c r="S1">
        <f>SUM(E2:E1771)</f>
        <v>5138308.9799999958</v>
      </c>
    </row>
    <row r="2" spans="1:19" x14ac:dyDescent="0.25">
      <c r="A2" t="s">
        <v>13</v>
      </c>
      <c r="B2" s="1">
        <v>44980</v>
      </c>
      <c r="C2" t="s">
        <v>14</v>
      </c>
      <c r="D2" t="s">
        <v>15</v>
      </c>
      <c r="E2">
        <v>2290.4</v>
      </c>
      <c r="F2">
        <v>14</v>
      </c>
      <c r="G2">
        <v>687.12</v>
      </c>
      <c r="H2">
        <v>0</v>
      </c>
      <c r="I2" t="s">
        <v>14</v>
      </c>
      <c r="J2" t="s">
        <v>16</v>
      </c>
      <c r="K2" t="s">
        <v>17</v>
      </c>
      <c r="L2" t="s">
        <v>18</v>
      </c>
      <c r="M2" t="s">
        <v>19</v>
      </c>
      <c r="N2" t="s">
        <v>3966</v>
      </c>
      <c r="P2">
        <f>G2/E2</f>
        <v>0.3</v>
      </c>
    </row>
    <row r="3" spans="1:19" x14ac:dyDescent="0.25">
      <c r="A3" t="s">
        <v>20</v>
      </c>
      <c r="B3" s="1">
        <v>45645</v>
      </c>
      <c r="C3" t="s">
        <v>21</v>
      </c>
      <c r="D3" t="s">
        <v>22</v>
      </c>
      <c r="E3">
        <v>544.01</v>
      </c>
      <c r="F3">
        <v>1</v>
      </c>
      <c r="G3">
        <v>163.19999999999999</v>
      </c>
      <c r="H3">
        <v>0</v>
      </c>
      <c r="I3" t="s">
        <v>21</v>
      </c>
      <c r="J3" t="s">
        <v>23</v>
      </c>
      <c r="K3" t="s">
        <v>24</v>
      </c>
      <c r="L3" t="s">
        <v>25</v>
      </c>
      <c r="M3" t="s">
        <v>26</v>
      </c>
      <c r="N3" t="s">
        <v>3966</v>
      </c>
      <c r="P3">
        <f t="shared" ref="P3:P66" si="0">G3/E3</f>
        <v>0.29999448539548906</v>
      </c>
      <c r="R3" s="2" t="s">
        <v>3988</v>
      </c>
      <c r="S3">
        <f>COUNTA(A2:A1771)</f>
        <v>1770</v>
      </c>
    </row>
    <row r="4" spans="1:19" x14ac:dyDescent="0.25">
      <c r="A4" t="s">
        <v>27</v>
      </c>
      <c r="B4" s="1">
        <v>45056</v>
      </c>
      <c r="C4" t="s">
        <v>28</v>
      </c>
      <c r="D4" t="s">
        <v>29</v>
      </c>
      <c r="E4">
        <v>4361.87</v>
      </c>
      <c r="F4">
        <v>14</v>
      </c>
      <c r="G4">
        <v>1308.56</v>
      </c>
      <c r="H4">
        <v>0.1</v>
      </c>
      <c r="I4" t="s">
        <v>28</v>
      </c>
      <c r="J4" t="s">
        <v>30</v>
      </c>
      <c r="K4" t="s">
        <v>31</v>
      </c>
      <c r="L4" t="s">
        <v>32</v>
      </c>
      <c r="M4" t="s">
        <v>33</v>
      </c>
      <c r="N4" t="s">
        <v>3967</v>
      </c>
      <c r="P4">
        <f t="shared" si="0"/>
        <v>0.29999977074053102</v>
      </c>
    </row>
    <row r="5" spans="1:19" x14ac:dyDescent="0.25">
      <c r="A5" t="s">
        <v>34</v>
      </c>
      <c r="B5" s="1">
        <v>45714</v>
      </c>
      <c r="C5" t="s">
        <v>35</v>
      </c>
      <c r="D5" t="s">
        <v>36</v>
      </c>
      <c r="E5">
        <v>5887.75</v>
      </c>
      <c r="F5">
        <v>18</v>
      </c>
      <c r="G5">
        <v>1766.32</v>
      </c>
      <c r="H5">
        <v>0.15</v>
      </c>
      <c r="I5" t="s">
        <v>35</v>
      </c>
      <c r="J5" t="s">
        <v>37</v>
      </c>
      <c r="K5" t="s">
        <v>38</v>
      </c>
      <c r="L5" t="s">
        <v>25</v>
      </c>
      <c r="M5" t="s">
        <v>26</v>
      </c>
      <c r="N5" t="s">
        <v>3966</v>
      </c>
      <c r="P5">
        <f t="shared" si="0"/>
        <v>0.29999915077916012</v>
      </c>
      <c r="R5" s="2" t="s">
        <v>3989</v>
      </c>
      <c r="S5">
        <f>S1/S3</f>
        <v>2902.9994237288111</v>
      </c>
    </row>
    <row r="6" spans="1:19" x14ac:dyDescent="0.25">
      <c r="A6" t="s">
        <v>39</v>
      </c>
      <c r="B6" s="1">
        <v>45744</v>
      </c>
      <c r="C6" t="s">
        <v>40</v>
      </c>
      <c r="D6" t="s">
        <v>41</v>
      </c>
      <c r="E6">
        <v>5313.52</v>
      </c>
      <c r="F6">
        <v>20</v>
      </c>
      <c r="G6">
        <v>1594.06</v>
      </c>
      <c r="H6">
        <v>0.15</v>
      </c>
      <c r="I6" t="s">
        <v>40</v>
      </c>
      <c r="J6" t="s">
        <v>42</v>
      </c>
      <c r="K6" t="s">
        <v>17</v>
      </c>
      <c r="L6" t="s">
        <v>43</v>
      </c>
      <c r="M6" t="s">
        <v>44</v>
      </c>
      <c r="N6" t="s">
        <v>3966</v>
      </c>
      <c r="P6">
        <f t="shared" si="0"/>
        <v>0.30000075279663946</v>
      </c>
    </row>
    <row r="7" spans="1:19" x14ac:dyDescent="0.25">
      <c r="A7" t="s">
        <v>45</v>
      </c>
      <c r="B7" s="1">
        <v>45101</v>
      </c>
      <c r="C7" t="s">
        <v>40</v>
      </c>
      <c r="D7" t="s">
        <v>29</v>
      </c>
      <c r="E7">
        <v>4279.68</v>
      </c>
      <c r="F7">
        <v>18</v>
      </c>
      <c r="G7">
        <v>1283.9000000000001</v>
      </c>
      <c r="H7">
        <v>0</v>
      </c>
      <c r="I7" t="s">
        <v>40</v>
      </c>
      <c r="J7" t="s">
        <v>42</v>
      </c>
      <c r="K7" t="s">
        <v>17</v>
      </c>
      <c r="L7" t="s">
        <v>43</v>
      </c>
      <c r="M7" t="s">
        <v>44</v>
      </c>
      <c r="N7" t="s">
        <v>3966</v>
      </c>
      <c r="P7">
        <f t="shared" si="0"/>
        <v>0.29999906535068044</v>
      </c>
    </row>
    <row r="8" spans="1:19" x14ac:dyDescent="0.25">
      <c r="A8" t="s">
        <v>46</v>
      </c>
      <c r="B8" s="1">
        <v>45342</v>
      </c>
      <c r="C8" t="s">
        <v>47</v>
      </c>
      <c r="D8" t="s">
        <v>48</v>
      </c>
      <c r="E8">
        <v>654.65</v>
      </c>
      <c r="F8">
        <v>2</v>
      </c>
      <c r="G8">
        <v>196.4</v>
      </c>
      <c r="H8">
        <v>0.15</v>
      </c>
      <c r="I8" t="s">
        <v>47</v>
      </c>
      <c r="J8" t="s">
        <v>49</v>
      </c>
      <c r="K8" t="s">
        <v>38</v>
      </c>
      <c r="L8" t="s">
        <v>50</v>
      </c>
      <c r="M8" t="s">
        <v>51</v>
      </c>
      <c r="N8" t="s">
        <v>3966</v>
      </c>
      <c r="P8">
        <f t="shared" si="0"/>
        <v>0.30000763766898342</v>
      </c>
    </row>
    <row r="9" spans="1:19" x14ac:dyDescent="0.25">
      <c r="A9" t="s">
        <v>52</v>
      </c>
      <c r="B9" s="1">
        <v>44937</v>
      </c>
      <c r="C9" t="s">
        <v>53</v>
      </c>
      <c r="D9" t="s">
        <v>36</v>
      </c>
      <c r="E9">
        <v>110.25</v>
      </c>
      <c r="F9">
        <v>7</v>
      </c>
      <c r="G9">
        <v>33.08</v>
      </c>
      <c r="H9">
        <v>0.1</v>
      </c>
      <c r="I9" t="s">
        <v>53</v>
      </c>
      <c r="J9" t="s">
        <v>54</v>
      </c>
      <c r="K9" t="s">
        <v>24</v>
      </c>
      <c r="L9" t="s">
        <v>55</v>
      </c>
      <c r="M9" t="s">
        <v>56</v>
      </c>
      <c r="N9" t="s">
        <v>3966</v>
      </c>
      <c r="P9">
        <f t="shared" si="0"/>
        <v>0.30004535147392286</v>
      </c>
    </row>
    <row r="10" spans="1:19" x14ac:dyDescent="0.25">
      <c r="A10" t="s">
        <v>57</v>
      </c>
      <c r="B10" s="1">
        <v>45218</v>
      </c>
      <c r="C10" t="s">
        <v>58</v>
      </c>
      <c r="D10" t="s">
        <v>36</v>
      </c>
      <c r="E10">
        <v>4599.2700000000004</v>
      </c>
      <c r="F10">
        <v>13</v>
      </c>
      <c r="G10">
        <v>1379.78</v>
      </c>
      <c r="H10">
        <v>0.1</v>
      </c>
      <c r="I10" t="s">
        <v>58</v>
      </c>
      <c r="J10" t="s">
        <v>59</v>
      </c>
      <c r="K10" t="s">
        <v>38</v>
      </c>
      <c r="L10" t="s">
        <v>60</v>
      </c>
      <c r="M10" t="s">
        <v>61</v>
      </c>
      <c r="N10" t="s">
        <v>3966</v>
      </c>
      <c r="P10">
        <f t="shared" si="0"/>
        <v>0.29999978257419108</v>
      </c>
    </row>
    <row r="11" spans="1:19" x14ac:dyDescent="0.25">
      <c r="A11" t="s">
        <v>62</v>
      </c>
      <c r="B11" s="1">
        <v>44935</v>
      </c>
      <c r="C11" t="s">
        <v>58</v>
      </c>
      <c r="D11" t="s">
        <v>36</v>
      </c>
      <c r="E11">
        <v>842.06</v>
      </c>
      <c r="F11">
        <v>3</v>
      </c>
      <c r="G11">
        <v>252.62</v>
      </c>
      <c r="H11">
        <v>0.15</v>
      </c>
      <c r="I11" t="s">
        <v>58</v>
      </c>
      <c r="J11" t="s">
        <v>59</v>
      </c>
      <c r="K11" t="s">
        <v>38</v>
      </c>
      <c r="L11" t="s">
        <v>60</v>
      </c>
      <c r="M11" t="s">
        <v>61</v>
      </c>
      <c r="N11" t="s">
        <v>3966</v>
      </c>
      <c r="P11">
        <f t="shared" si="0"/>
        <v>0.30000237512766315</v>
      </c>
    </row>
    <row r="12" spans="1:19" x14ac:dyDescent="0.25">
      <c r="A12" t="s">
        <v>63</v>
      </c>
      <c r="B12" s="1">
        <v>45581</v>
      </c>
      <c r="C12" t="s">
        <v>64</v>
      </c>
      <c r="D12" t="s">
        <v>36</v>
      </c>
      <c r="E12">
        <v>1231.31</v>
      </c>
      <c r="F12">
        <v>3</v>
      </c>
      <c r="G12">
        <v>369.39</v>
      </c>
      <c r="H12">
        <v>0.05</v>
      </c>
      <c r="I12" t="s">
        <v>64</v>
      </c>
      <c r="J12" t="s">
        <v>65</v>
      </c>
      <c r="K12" t="s">
        <v>24</v>
      </c>
      <c r="L12" t="s">
        <v>66</v>
      </c>
      <c r="M12" t="s">
        <v>67</v>
      </c>
      <c r="N12" t="s">
        <v>3966</v>
      </c>
      <c r="P12">
        <f t="shared" si="0"/>
        <v>0.29999756357050622</v>
      </c>
    </row>
    <row r="13" spans="1:19" x14ac:dyDescent="0.25">
      <c r="A13" t="s">
        <v>68</v>
      </c>
      <c r="B13" s="1">
        <v>45721</v>
      </c>
      <c r="C13" t="s">
        <v>69</v>
      </c>
      <c r="D13" t="s">
        <v>29</v>
      </c>
      <c r="E13">
        <v>1454.76</v>
      </c>
      <c r="F13">
        <v>5</v>
      </c>
      <c r="G13">
        <v>436.43</v>
      </c>
      <c r="H13">
        <v>0.1</v>
      </c>
      <c r="I13" t="s">
        <v>69</v>
      </c>
      <c r="J13" t="s">
        <v>70</v>
      </c>
      <c r="K13" t="s">
        <v>71</v>
      </c>
      <c r="L13" t="s">
        <v>72</v>
      </c>
      <c r="M13" t="s">
        <v>26</v>
      </c>
      <c r="N13" t="s">
        <v>3966</v>
      </c>
      <c r="P13">
        <f t="shared" si="0"/>
        <v>0.30000137479721739</v>
      </c>
    </row>
    <row r="14" spans="1:19" x14ac:dyDescent="0.25">
      <c r="A14" t="s">
        <v>73</v>
      </c>
      <c r="B14" s="1">
        <v>45589</v>
      </c>
      <c r="C14" t="s">
        <v>74</v>
      </c>
      <c r="D14" t="s">
        <v>41</v>
      </c>
      <c r="E14">
        <v>3723.17</v>
      </c>
      <c r="F14">
        <v>9</v>
      </c>
      <c r="G14">
        <v>1116.95</v>
      </c>
      <c r="H14">
        <v>0.1</v>
      </c>
      <c r="I14" t="s">
        <v>74</v>
      </c>
      <c r="J14" t="s">
        <v>75</v>
      </c>
      <c r="K14" t="s">
        <v>31</v>
      </c>
      <c r="L14" t="s">
        <v>76</v>
      </c>
      <c r="M14" t="s">
        <v>77</v>
      </c>
      <c r="N14" t="s">
        <v>3966</v>
      </c>
      <c r="P14">
        <f t="shared" si="0"/>
        <v>0.29999973141167341</v>
      </c>
    </row>
    <row r="15" spans="1:19" x14ac:dyDescent="0.25">
      <c r="A15" t="s">
        <v>78</v>
      </c>
      <c r="B15" s="1">
        <v>45392</v>
      </c>
      <c r="C15" t="s">
        <v>74</v>
      </c>
      <c r="D15" t="s">
        <v>29</v>
      </c>
      <c r="E15">
        <v>6671.95</v>
      </c>
      <c r="F15">
        <v>15</v>
      </c>
      <c r="G15">
        <v>2001.58</v>
      </c>
      <c r="H15">
        <v>0.15</v>
      </c>
      <c r="I15" t="s">
        <v>74</v>
      </c>
      <c r="J15" t="s">
        <v>75</v>
      </c>
      <c r="K15" t="s">
        <v>31</v>
      </c>
      <c r="L15" t="s">
        <v>76</v>
      </c>
      <c r="M15" t="s">
        <v>77</v>
      </c>
      <c r="N15" t="s">
        <v>3966</v>
      </c>
      <c r="P15">
        <f t="shared" si="0"/>
        <v>0.29999925059390431</v>
      </c>
    </row>
    <row r="16" spans="1:19" x14ac:dyDescent="0.25">
      <c r="A16" t="s">
        <v>79</v>
      </c>
      <c r="B16" s="1">
        <v>45485</v>
      </c>
      <c r="C16" t="s">
        <v>80</v>
      </c>
      <c r="D16" t="s">
        <v>22</v>
      </c>
      <c r="E16">
        <v>3545.69</v>
      </c>
      <c r="F16">
        <v>19</v>
      </c>
      <c r="G16">
        <v>1063.71</v>
      </c>
      <c r="H16">
        <v>0.1</v>
      </c>
      <c r="I16" t="s">
        <v>80</v>
      </c>
      <c r="J16" t="s">
        <v>81</v>
      </c>
      <c r="K16" t="s">
        <v>17</v>
      </c>
      <c r="L16" t="s">
        <v>82</v>
      </c>
      <c r="M16" t="s">
        <v>83</v>
      </c>
      <c r="N16" t="s">
        <v>3968</v>
      </c>
      <c r="P16">
        <f t="shared" si="0"/>
        <v>0.30000084609765659</v>
      </c>
    </row>
    <row r="17" spans="1:16" x14ac:dyDescent="0.25">
      <c r="A17" t="s">
        <v>84</v>
      </c>
      <c r="B17" s="1">
        <v>45715</v>
      </c>
      <c r="C17" t="s">
        <v>85</v>
      </c>
      <c r="D17" t="s">
        <v>48</v>
      </c>
      <c r="E17">
        <v>7396.09</v>
      </c>
      <c r="F17">
        <v>18</v>
      </c>
      <c r="G17">
        <v>2218.83</v>
      </c>
      <c r="H17">
        <v>0.05</v>
      </c>
      <c r="I17" t="s">
        <v>85</v>
      </c>
      <c r="J17" t="s">
        <v>86</v>
      </c>
      <c r="K17" t="s">
        <v>38</v>
      </c>
      <c r="L17" t="s">
        <v>87</v>
      </c>
      <c r="M17" t="s">
        <v>67</v>
      </c>
      <c r="N17" t="s">
        <v>3968</v>
      </c>
      <c r="P17">
        <f t="shared" si="0"/>
        <v>0.30000040561972607</v>
      </c>
    </row>
    <row r="18" spans="1:16" x14ac:dyDescent="0.25">
      <c r="A18" t="s">
        <v>88</v>
      </c>
      <c r="B18" s="1">
        <v>45128</v>
      </c>
      <c r="C18" t="s">
        <v>85</v>
      </c>
      <c r="D18" t="s">
        <v>22</v>
      </c>
      <c r="E18">
        <v>114.5</v>
      </c>
      <c r="F18">
        <v>1</v>
      </c>
      <c r="G18">
        <v>34.35</v>
      </c>
      <c r="H18">
        <v>0.05</v>
      </c>
      <c r="I18" t="s">
        <v>85</v>
      </c>
      <c r="J18" t="s">
        <v>86</v>
      </c>
      <c r="K18" t="s">
        <v>38</v>
      </c>
      <c r="L18" t="s">
        <v>87</v>
      </c>
      <c r="M18" t="s">
        <v>67</v>
      </c>
      <c r="N18" t="s">
        <v>3966</v>
      </c>
      <c r="P18">
        <f t="shared" si="0"/>
        <v>0.3</v>
      </c>
    </row>
    <row r="19" spans="1:16" x14ac:dyDescent="0.25">
      <c r="A19" t="s">
        <v>89</v>
      </c>
      <c r="B19" s="1">
        <v>45675</v>
      </c>
      <c r="C19" t="s">
        <v>90</v>
      </c>
      <c r="D19" t="s">
        <v>91</v>
      </c>
      <c r="E19">
        <v>134.16</v>
      </c>
      <c r="F19">
        <v>1</v>
      </c>
      <c r="G19">
        <v>40.25</v>
      </c>
      <c r="H19">
        <v>0.15</v>
      </c>
      <c r="I19" t="s">
        <v>90</v>
      </c>
      <c r="J19" t="s">
        <v>92</v>
      </c>
      <c r="K19" t="s">
        <v>71</v>
      </c>
      <c r="L19" t="s">
        <v>25</v>
      </c>
      <c r="M19" t="s">
        <v>26</v>
      </c>
      <c r="N19" t="s">
        <v>3966</v>
      </c>
      <c r="P19">
        <f t="shared" si="0"/>
        <v>0.30001490757304711</v>
      </c>
    </row>
    <row r="20" spans="1:16" x14ac:dyDescent="0.25">
      <c r="A20" t="s">
        <v>93</v>
      </c>
      <c r="B20" s="1">
        <v>45634</v>
      </c>
      <c r="C20" t="s">
        <v>94</v>
      </c>
      <c r="D20" t="s">
        <v>29</v>
      </c>
      <c r="E20">
        <v>2808.83</v>
      </c>
      <c r="F20">
        <v>15</v>
      </c>
      <c r="G20">
        <v>842.65</v>
      </c>
      <c r="H20">
        <v>0.15</v>
      </c>
      <c r="I20" t="s">
        <v>94</v>
      </c>
      <c r="J20" t="s">
        <v>95</v>
      </c>
      <c r="K20" t="s">
        <v>31</v>
      </c>
      <c r="L20" t="s">
        <v>82</v>
      </c>
      <c r="M20" t="s">
        <v>83</v>
      </c>
      <c r="N20" t="s">
        <v>3966</v>
      </c>
      <c r="P20">
        <f t="shared" si="0"/>
        <v>0.30000035602012226</v>
      </c>
    </row>
    <row r="21" spans="1:16" x14ac:dyDescent="0.25">
      <c r="A21" t="s">
        <v>96</v>
      </c>
      <c r="B21" s="1">
        <v>45788</v>
      </c>
      <c r="C21" t="s">
        <v>97</v>
      </c>
      <c r="D21" t="s">
        <v>36</v>
      </c>
      <c r="E21">
        <v>2631.8</v>
      </c>
      <c r="F21">
        <v>17</v>
      </c>
      <c r="G21">
        <v>789.54</v>
      </c>
      <c r="H21">
        <v>0.05</v>
      </c>
      <c r="I21" t="s">
        <v>97</v>
      </c>
      <c r="J21" t="s">
        <v>98</v>
      </c>
      <c r="K21" t="s">
        <v>71</v>
      </c>
      <c r="L21" t="s">
        <v>99</v>
      </c>
      <c r="M21" t="s">
        <v>56</v>
      </c>
      <c r="N21" t="s">
        <v>3966</v>
      </c>
      <c r="P21">
        <f t="shared" si="0"/>
        <v>0.3</v>
      </c>
    </row>
    <row r="22" spans="1:16" x14ac:dyDescent="0.25">
      <c r="A22" t="s">
        <v>100</v>
      </c>
      <c r="B22" s="1">
        <v>44983</v>
      </c>
      <c r="C22" t="s">
        <v>101</v>
      </c>
      <c r="D22" t="s">
        <v>15</v>
      </c>
      <c r="E22">
        <v>4486.09</v>
      </c>
      <c r="F22">
        <v>19</v>
      </c>
      <c r="G22">
        <v>1345.83</v>
      </c>
      <c r="H22">
        <v>0</v>
      </c>
      <c r="I22" t="s">
        <v>101</v>
      </c>
      <c r="J22" t="s">
        <v>102</v>
      </c>
      <c r="K22" t="s">
        <v>71</v>
      </c>
      <c r="L22" t="s">
        <v>103</v>
      </c>
      <c r="M22" t="s">
        <v>56</v>
      </c>
      <c r="N22" t="s">
        <v>3966</v>
      </c>
      <c r="P22">
        <f t="shared" si="0"/>
        <v>0.3000006687337971</v>
      </c>
    </row>
    <row r="23" spans="1:16" x14ac:dyDescent="0.25">
      <c r="A23" t="s">
        <v>104</v>
      </c>
      <c r="B23" s="1">
        <v>45440</v>
      </c>
      <c r="C23" t="s">
        <v>105</v>
      </c>
      <c r="D23" t="s">
        <v>29</v>
      </c>
      <c r="E23">
        <v>5989.31</v>
      </c>
      <c r="F23">
        <v>11</v>
      </c>
      <c r="G23">
        <v>1796.79</v>
      </c>
      <c r="H23">
        <v>0.05</v>
      </c>
      <c r="I23" t="s">
        <v>105</v>
      </c>
      <c r="J23" t="s">
        <v>106</v>
      </c>
      <c r="K23" t="s">
        <v>38</v>
      </c>
      <c r="L23" t="s">
        <v>99</v>
      </c>
      <c r="M23" t="s">
        <v>56</v>
      </c>
      <c r="N23" t="s">
        <v>3967</v>
      </c>
      <c r="P23">
        <f t="shared" si="0"/>
        <v>0.29999949910757662</v>
      </c>
    </row>
    <row r="24" spans="1:16" x14ac:dyDescent="0.25">
      <c r="A24" t="s">
        <v>107</v>
      </c>
      <c r="B24" s="1">
        <v>45260</v>
      </c>
      <c r="C24" t="s">
        <v>108</v>
      </c>
      <c r="D24" t="s">
        <v>22</v>
      </c>
      <c r="E24">
        <v>8823.68</v>
      </c>
      <c r="F24">
        <v>20</v>
      </c>
      <c r="G24">
        <v>2647.1</v>
      </c>
      <c r="H24">
        <v>0.15</v>
      </c>
      <c r="I24" t="s">
        <v>108</v>
      </c>
      <c r="J24" t="s">
        <v>109</v>
      </c>
      <c r="K24" t="s">
        <v>17</v>
      </c>
      <c r="L24" t="s">
        <v>110</v>
      </c>
      <c r="M24" t="s">
        <v>111</v>
      </c>
      <c r="N24" t="s">
        <v>3967</v>
      </c>
      <c r="P24">
        <f t="shared" si="0"/>
        <v>0.29999954667440343</v>
      </c>
    </row>
    <row r="25" spans="1:16" x14ac:dyDescent="0.25">
      <c r="A25" t="s">
        <v>112</v>
      </c>
      <c r="B25" s="1">
        <v>45099</v>
      </c>
      <c r="C25" t="s">
        <v>113</v>
      </c>
      <c r="D25" t="s">
        <v>29</v>
      </c>
      <c r="E25">
        <v>431.62</v>
      </c>
      <c r="F25">
        <v>14</v>
      </c>
      <c r="G25">
        <v>129.49</v>
      </c>
      <c r="H25">
        <v>0</v>
      </c>
      <c r="I25" t="s">
        <v>113</v>
      </c>
      <c r="J25" t="s">
        <v>114</v>
      </c>
      <c r="K25" t="s">
        <v>71</v>
      </c>
      <c r="L25" t="s">
        <v>25</v>
      </c>
      <c r="M25" t="s">
        <v>26</v>
      </c>
      <c r="N25" t="s">
        <v>3966</v>
      </c>
      <c r="P25">
        <f t="shared" si="0"/>
        <v>0.30000926741114869</v>
      </c>
    </row>
    <row r="26" spans="1:16" x14ac:dyDescent="0.25">
      <c r="A26" t="s">
        <v>115</v>
      </c>
      <c r="B26" s="1">
        <v>45813</v>
      </c>
      <c r="C26" t="s">
        <v>116</v>
      </c>
      <c r="D26" t="s">
        <v>22</v>
      </c>
      <c r="E26">
        <v>3190.5</v>
      </c>
      <c r="F26">
        <v>10</v>
      </c>
      <c r="G26">
        <v>957.15</v>
      </c>
      <c r="H26">
        <v>0</v>
      </c>
      <c r="I26" t="s">
        <v>116</v>
      </c>
      <c r="J26" t="s">
        <v>117</v>
      </c>
      <c r="K26" t="s">
        <v>71</v>
      </c>
      <c r="L26" t="s">
        <v>118</v>
      </c>
      <c r="M26" t="s">
        <v>33</v>
      </c>
      <c r="N26" t="s">
        <v>3966</v>
      </c>
      <c r="P26">
        <f t="shared" si="0"/>
        <v>0.3</v>
      </c>
    </row>
    <row r="27" spans="1:16" x14ac:dyDescent="0.25">
      <c r="A27" t="s">
        <v>119</v>
      </c>
      <c r="B27" s="1">
        <v>45137</v>
      </c>
      <c r="C27" t="s">
        <v>120</v>
      </c>
      <c r="D27" t="s">
        <v>36</v>
      </c>
      <c r="E27">
        <v>475.48</v>
      </c>
      <c r="F27">
        <v>1</v>
      </c>
      <c r="G27">
        <v>142.63999999999999</v>
      </c>
      <c r="H27">
        <v>0.1</v>
      </c>
      <c r="I27" t="s">
        <v>120</v>
      </c>
      <c r="J27" t="s">
        <v>121</v>
      </c>
      <c r="K27" t="s">
        <v>38</v>
      </c>
      <c r="L27" t="s">
        <v>122</v>
      </c>
      <c r="M27" t="s">
        <v>123</v>
      </c>
      <c r="N27" t="s">
        <v>3966</v>
      </c>
      <c r="P27">
        <f t="shared" si="0"/>
        <v>0.2999915874484731</v>
      </c>
    </row>
    <row r="28" spans="1:16" x14ac:dyDescent="0.25">
      <c r="A28" t="s">
        <v>124</v>
      </c>
      <c r="B28" s="1">
        <v>44988</v>
      </c>
      <c r="C28" t="s">
        <v>120</v>
      </c>
      <c r="D28" t="s">
        <v>36</v>
      </c>
      <c r="E28">
        <v>4160.1099999999997</v>
      </c>
      <c r="F28">
        <v>14</v>
      </c>
      <c r="G28">
        <v>1248.03</v>
      </c>
      <c r="H28">
        <v>0.05</v>
      </c>
      <c r="I28" t="s">
        <v>120</v>
      </c>
      <c r="J28" t="s">
        <v>121</v>
      </c>
      <c r="K28" t="s">
        <v>38</v>
      </c>
      <c r="L28" t="s">
        <v>122</v>
      </c>
      <c r="M28" t="s">
        <v>123</v>
      </c>
      <c r="N28" t="s">
        <v>3966</v>
      </c>
      <c r="P28">
        <f t="shared" si="0"/>
        <v>0.29999927886522232</v>
      </c>
    </row>
    <row r="29" spans="1:16" x14ac:dyDescent="0.25">
      <c r="A29" t="s">
        <v>125</v>
      </c>
      <c r="B29" s="1">
        <v>45340</v>
      </c>
      <c r="C29" t="s">
        <v>126</v>
      </c>
      <c r="D29" t="s">
        <v>15</v>
      </c>
      <c r="E29">
        <v>5536.3</v>
      </c>
      <c r="F29">
        <v>14</v>
      </c>
      <c r="G29">
        <v>1660.89</v>
      </c>
      <c r="H29">
        <v>0</v>
      </c>
      <c r="I29" t="s">
        <v>126</v>
      </c>
      <c r="J29" t="s">
        <v>127</v>
      </c>
      <c r="K29" t="s">
        <v>31</v>
      </c>
      <c r="L29" t="s">
        <v>128</v>
      </c>
      <c r="M29" t="s">
        <v>129</v>
      </c>
      <c r="N29" t="s">
        <v>3966</v>
      </c>
      <c r="P29">
        <f t="shared" si="0"/>
        <v>0.3</v>
      </c>
    </row>
    <row r="30" spans="1:16" x14ac:dyDescent="0.25">
      <c r="A30" t="s">
        <v>130</v>
      </c>
      <c r="B30" s="1">
        <v>45144</v>
      </c>
      <c r="C30" t="s">
        <v>131</v>
      </c>
      <c r="D30" t="s">
        <v>15</v>
      </c>
      <c r="E30">
        <v>4821.74</v>
      </c>
      <c r="F30">
        <v>12</v>
      </c>
      <c r="G30">
        <v>1446.52</v>
      </c>
      <c r="H30">
        <v>0.15</v>
      </c>
      <c r="I30" t="s">
        <v>131</v>
      </c>
      <c r="J30" t="s">
        <v>132</v>
      </c>
      <c r="K30" t="s">
        <v>38</v>
      </c>
      <c r="L30" t="s">
        <v>133</v>
      </c>
      <c r="M30" t="s">
        <v>134</v>
      </c>
      <c r="N30" t="s">
        <v>3966</v>
      </c>
      <c r="P30">
        <f t="shared" si="0"/>
        <v>0.29999958521197745</v>
      </c>
    </row>
    <row r="31" spans="1:16" x14ac:dyDescent="0.25">
      <c r="A31" t="s">
        <v>135</v>
      </c>
      <c r="B31" s="1">
        <v>45435</v>
      </c>
      <c r="C31" t="s">
        <v>136</v>
      </c>
      <c r="D31" t="s">
        <v>29</v>
      </c>
      <c r="E31">
        <v>1440.05</v>
      </c>
      <c r="F31">
        <v>5</v>
      </c>
      <c r="G31">
        <v>432.02</v>
      </c>
      <c r="H31">
        <v>0</v>
      </c>
      <c r="I31" t="s">
        <v>136</v>
      </c>
      <c r="J31" t="s">
        <v>137</v>
      </c>
      <c r="K31" t="s">
        <v>31</v>
      </c>
      <c r="L31" t="s">
        <v>138</v>
      </c>
      <c r="M31" t="s">
        <v>139</v>
      </c>
      <c r="N31" t="s">
        <v>3966</v>
      </c>
      <c r="P31">
        <f t="shared" si="0"/>
        <v>0.30000347210166312</v>
      </c>
    </row>
    <row r="32" spans="1:16" x14ac:dyDescent="0.25">
      <c r="A32" t="s">
        <v>140</v>
      </c>
      <c r="B32" s="1">
        <v>45222</v>
      </c>
      <c r="C32" t="s">
        <v>141</v>
      </c>
      <c r="D32" t="s">
        <v>22</v>
      </c>
      <c r="E32">
        <v>7309.77</v>
      </c>
      <c r="F32">
        <v>13</v>
      </c>
      <c r="G32">
        <v>2192.9299999999998</v>
      </c>
      <c r="H32">
        <v>0</v>
      </c>
      <c r="I32" t="s">
        <v>141</v>
      </c>
      <c r="J32" t="s">
        <v>142</v>
      </c>
      <c r="K32" t="s">
        <v>17</v>
      </c>
      <c r="L32" t="s">
        <v>143</v>
      </c>
      <c r="M32" t="s">
        <v>144</v>
      </c>
      <c r="N32" t="s">
        <v>3966</v>
      </c>
      <c r="P32">
        <f t="shared" si="0"/>
        <v>0.29999986319679001</v>
      </c>
    </row>
    <row r="33" spans="1:16" x14ac:dyDescent="0.25">
      <c r="A33" t="s">
        <v>145</v>
      </c>
      <c r="B33" s="1">
        <v>45824</v>
      </c>
      <c r="C33" t="s">
        <v>146</v>
      </c>
      <c r="D33" t="s">
        <v>22</v>
      </c>
      <c r="E33">
        <v>101.73</v>
      </c>
      <c r="F33">
        <v>1</v>
      </c>
      <c r="G33">
        <v>30.52</v>
      </c>
      <c r="H33">
        <v>0</v>
      </c>
      <c r="I33" t="s">
        <v>146</v>
      </c>
      <c r="J33" t="s">
        <v>147</v>
      </c>
      <c r="K33" t="s">
        <v>71</v>
      </c>
      <c r="L33" t="s">
        <v>148</v>
      </c>
      <c r="M33" t="s">
        <v>144</v>
      </c>
      <c r="N33" t="s">
        <v>3966</v>
      </c>
      <c r="P33">
        <f t="shared" si="0"/>
        <v>0.30000982994200331</v>
      </c>
    </row>
    <row r="34" spans="1:16" x14ac:dyDescent="0.25">
      <c r="A34" t="s">
        <v>149</v>
      </c>
      <c r="B34" s="1">
        <v>44988</v>
      </c>
      <c r="C34" t="s">
        <v>150</v>
      </c>
      <c r="D34" t="s">
        <v>22</v>
      </c>
      <c r="E34">
        <v>1117.96</v>
      </c>
      <c r="F34">
        <v>4</v>
      </c>
      <c r="G34">
        <v>335.39</v>
      </c>
      <c r="H34">
        <v>0</v>
      </c>
      <c r="I34" t="s">
        <v>150</v>
      </c>
      <c r="J34" t="s">
        <v>151</v>
      </c>
      <c r="K34" t="s">
        <v>31</v>
      </c>
      <c r="L34" t="s">
        <v>25</v>
      </c>
      <c r="M34" t="s">
        <v>26</v>
      </c>
      <c r="N34" t="s">
        <v>3966</v>
      </c>
      <c r="P34">
        <f t="shared" si="0"/>
        <v>0.3000017889727718</v>
      </c>
    </row>
    <row r="35" spans="1:16" x14ac:dyDescent="0.25">
      <c r="A35" t="s">
        <v>152</v>
      </c>
      <c r="B35" s="1">
        <v>45614</v>
      </c>
      <c r="C35" t="s">
        <v>153</v>
      </c>
      <c r="D35" t="s">
        <v>15</v>
      </c>
      <c r="E35">
        <v>151.77000000000001</v>
      </c>
      <c r="F35">
        <v>1</v>
      </c>
      <c r="G35">
        <v>45.53</v>
      </c>
      <c r="H35">
        <v>0.15</v>
      </c>
      <c r="I35" t="s">
        <v>153</v>
      </c>
      <c r="J35" t="s">
        <v>154</v>
      </c>
      <c r="K35" t="s">
        <v>24</v>
      </c>
      <c r="L35" t="s">
        <v>155</v>
      </c>
      <c r="M35" t="s">
        <v>111</v>
      </c>
      <c r="N35" t="s">
        <v>3966</v>
      </c>
      <c r="P35">
        <f t="shared" si="0"/>
        <v>0.29999341108255911</v>
      </c>
    </row>
    <row r="36" spans="1:16" x14ac:dyDescent="0.25">
      <c r="A36" t="s">
        <v>156</v>
      </c>
      <c r="B36" s="1">
        <v>45055</v>
      </c>
      <c r="C36" t="s">
        <v>157</v>
      </c>
      <c r="D36" t="s">
        <v>91</v>
      </c>
      <c r="E36">
        <v>424.86</v>
      </c>
      <c r="F36">
        <v>1</v>
      </c>
      <c r="G36">
        <v>127.46</v>
      </c>
      <c r="H36">
        <v>0.1</v>
      </c>
      <c r="I36" t="s">
        <v>157</v>
      </c>
      <c r="J36" t="s">
        <v>158</v>
      </c>
      <c r="K36" t="s">
        <v>38</v>
      </c>
      <c r="L36" t="s">
        <v>159</v>
      </c>
      <c r="M36" t="s">
        <v>160</v>
      </c>
      <c r="N36" t="s">
        <v>3968</v>
      </c>
      <c r="P36">
        <f t="shared" si="0"/>
        <v>0.30000470743303675</v>
      </c>
    </row>
    <row r="37" spans="1:16" x14ac:dyDescent="0.25">
      <c r="A37" t="s">
        <v>161</v>
      </c>
      <c r="B37" s="1">
        <v>45633</v>
      </c>
      <c r="C37" t="s">
        <v>162</v>
      </c>
      <c r="D37" t="s">
        <v>91</v>
      </c>
      <c r="E37">
        <v>3675.48</v>
      </c>
      <c r="F37">
        <v>12</v>
      </c>
      <c r="G37">
        <v>1102.6400000000001</v>
      </c>
      <c r="H37">
        <v>0</v>
      </c>
      <c r="I37" t="s">
        <v>162</v>
      </c>
      <c r="J37" t="s">
        <v>163</v>
      </c>
      <c r="K37" t="s">
        <v>31</v>
      </c>
      <c r="L37" t="s">
        <v>164</v>
      </c>
      <c r="M37" t="s">
        <v>165</v>
      </c>
      <c r="N37" t="s">
        <v>3967</v>
      </c>
      <c r="P37">
        <f t="shared" si="0"/>
        <v>0.29999891170677029</v>
      </c>
    </row>
    <row r="38" spans="1:16" x14ac:dyDescent="0.25">
      <c r="A38" t="s">
        <v>166</v>
      </c>
      <c r="B38" s="1">
        <v>45335</v>
      </c>
      <c r="C38" t="s">
        <v>167</v>
      </c>
      <c r="D38" t="s">
        <v>22</v>
      </c>
      <c r="E38">
        <v>2586.88</v>
      </c>
      <c r="F38">
        <v>7</v>
      </c>
      <c r="G38">
        <v>776.06</v>
      </c>
      <c r="H38">
        <v>0.15</v>
      </c>
      <c r="I38" t="s">
        <v>167</v>
      </c>
      <c r="J38" t="s">
        <v>168</v>
      </c>
      <c r="K38" t="s">
        <v>31</v>
      </c>
      <c r="L38" t="s">
        <v>143</v>
      </c>
      <c r="M38" t="s">
        <v>144</v>
      </c>
      <c r="N38" t="s">
        <v>3967</v>
      </c>
      <c r="P38">
        <f t="shared" si="0"/>
        <v>0.29999845373577433</v>
      </c>
    </row>
    <row r="39" spans="1:16" x14ac:dyDescent="0.25">
      <c r="A39" t="s">
        <v>169</v>
      </c>
      <c r="B39" s="1">
        <v>45725</v>
      </c>
      <c r="C39" t="s">
        <v>170</v>
      </c>
      <c r="D39" t="s">
        <v>29</v>
      </c>
      <c r="E39">
        <v>389.88</v>
      </c>
      <c r="F39">
        <v>6</v>
      </c>
      <c r="G39">
        <v>116.96</v>
      </c>
      <c r="H39">
        <v>0</v>
      </c>
      <c r="I39" t="s">
        <v>170</v>
      </c>
      <c r="J39" t="s">
        <v>95</v>
      </c>
      <c r="K39" t="s">
        <v>24</v>
      </c>
      <c r="L39" t="s">
        <v>171</v>
      </c>
      <c r="M39" t="s">
        <v>129</v>
      </c>
      <c r="N39" t="s">
        <v>3968</v>
      </c>
      <c r="P39">
        <f t="shared" si="0"/>
        <v>0.29998974043295373</v>
      </c>
    </row>
    <row r="40" spans="1:16" x14ac:dyDescent="0.25">
      <c r="A40" t="s">
        <v>172</v>
      </c>
      <c r="B40" s="1">
        <v>45021</v>
      </c>
      <c r="C40" t="s">
        <v>173</v>
      </c>
      <c r="D40" t="s">
        <v>29</v>
      </c>
      <c r="E40">
        <v>8100.33</v>
      </c>
      <c r="F40">
        <v>17</v>
      </c>
      <c r="G40">
        <v>2430.1</v>
      </c>
      <c r="H40">
        <v>0</v>
      </c>
      <c r="I40" t="s">
        <v>173</v>
      </c>
      <c r="J40" t="s">
        <v>174</v>
      </c>
      <c r="K40" t="s">
        <v>38</v>
      </c>
      <c r="L40" t="s">
        <v>175</v>
      </c>
      <c r="M40" t="s">
        <v>176</v>
      </c>
      <c r="N40" t="s">
        <v>3968</v>
      </c>
      <c r="P40">
        <f t="shared" si="0"/>
        <v>0.30000012345176058</v>
      </c>
    </row>
    <row r="41" spans="1:16" x14ac:dyDescent="0.25">
      <c r="A41" t="s">
        <v>177</v>
      </c>
      <c r="B41" s="1">
        <v>45785</v>
      </c>
      <c r="C41" t="s">
        <v>178</v>
      </c>
      <c r="D41" t="s">
        <v>48</v>
      </c>
      <c r="E41">
        <v>1903.05</v>
      </c>
      <c r="F41">
        <v>4</v>
      </c>
      <c r="G41">
        <v>570.91</v>
      </c>
      <c r="H41">
        <v>0.15</v>
      </c>
      <c r="I41" t="s">
        <v>178</v>
      </c>
      <c r="J41" t="s">
        <v>179</v>
      </c>
      <c r="K41" t="s">
        <v>31</v>
      </c>
      <c r="L41" t="s">
        <v>99</v>
      </c>
      <c r="M41" t="s">
        <v>56</v>
      </c>
      <c r="N41" t="s">
        <v>3968</v>
      </c>
      <c r="P41">
        <f t="shared" si="0"/>
        <v>0.299997372638659</v>
      </c>
    </row>
    <row r="42" spans="1:16" x14ac:dyDescent="0.25">
      <c r="A42" t="s">
        <v>180</v>
      </c>
      <c r="B42" s="1">
        <v>45172</v>
      </c>
      <c r="C42" t="s">
        <v>181</v>
      </c>
      <c r="D42" t="s">
        <v>91</v>
      </c>
      <c r="E42">
        <v>1149.96</v>
      </c>
      <c r="F42">
        <v>14</v>
      </c>
      <c r="G42">
        <v>344.99</v>
      </c>
      <c r="H42">
        <v>0</v>
      </c>
      <c r="I42" t="s">
        <v>181</v>
      </c>
      <c r="J42" t="s">
        <v>174</v>
      </c>
      <c r="K42" t="s">
        <v>31</v>
      </c>
      <c r="L42" t="s">
        <v>99</v>
      </c>
      <c r="M42" t="s">
        <v>56</v>
      </c>
      <c r="N42" t="s">
        <v>3968</v>
      </c>
      <c r="P42">
        <f t="shared" si="0"/>
        <v>0.30000173919092837</v>
      </c>
    </row>
    <row r="43" spans="1:16" x14ac:dyDescent="0.25">
      <c r="A43" t="s">
        <v>182</v>
      </c>
      <c r="B43" s="1">
        <v>45737</v>
      </c>
      <c r="C43" t="s">
        <v>183</v>
      </c>
      <c r="D43" t="s">
        <v>36</v>
      </c>
      <c r="E43">
        <v>2934.45</v>
      </c>
      <c r="F43">
        <v>9</v>
      </c>
      <c r="G43">
        <v>880.33</v>
      </c>
      <c r="H43">
        <v>0.05</v>
      </c>
      <c r="I43" t="s">
        <v>183</v>
      </c>
      <c r="J43" t="s">
        <v>184</v>
      </c>
      <c r="K43" t="s">
        <v>38</v>
      </c>
      <c r="L43" t="s">
        <v>185</v>
      </c>
      <c r="M43" t="s">
        <v>186</v>
      </c>
      <c r="N43" t="s">
        <v>3967</v>
      </c>
      <c r="P43">
        <f t="shared" si="0"/>
        <v>0.29999829610318801</v>
      </c>
    </row>
    <row r="44" spans="1:16" x14ac:dyDescent="0.25">
      <c r="A44" t="s">
        <v>187</v>
      </c>
      <c r="B44" s="1">
        <v>45828</v>
      </c>
      <c r="C44" t="s">
        <v>188</v>
      </c>
      <c r="D44" t="s">
        <v>36</v>
      </c>
      <c r="E44">
        <v>1791.01</v>
      </c>
      <c r="F44">
        <v>7</v>
      </c>
      <c r="G44">
        <v>537.29999999999995</v>
      </c>
      <c r="H44">
        <v>0.15</v>
      </c>
      <c r="I44" t="s">
        <v>188</v>
      </c>
      <c r="J44" t="s">
        <v>189</v>
      </c>
      <c r="K44" t="s">
        <v>24</v>
      </c>
      <c r="L44" t="s">
        <v>72</v>
      </c>
      <c r="M44" t="s">
        <v>26</v>
      </c>
      <c r="N44" t="s">
        <v>3967</v>
      </c>
      <c r="P44">
        <f t="shared" si="0"/>
        <v>0.29999832496747642</v>
      </c>
    </row>
    <row r="45" spans="1:16" x14ac:dyDescent="0.25">
      <c r="A45" t="s">
        <v>190</v>
      </c>
      <c r="B45" s="1">
        <v>45337</v>
      </c>
      <c r="C45" t="s">
        <v>191</v>
      </c>
      <c r="D45" t="s">
        <v>41</v>
      </c>
      <c r="E45">
        <v>5394.44</v>
      </c>
      <c r="F45">
        <v>14</v>
      </c>
      <c r="G45">
        <v>1618.33</v>
      </c>
      <c r="H45">
        <v>0.1</v>
      </c>
      <c r="I45" t="s">
        <v>191</v>
      </c>
      <c r="J45" t="s">
        <v>192</v>
      </c>
      <c r="K45" t="s">
        <v>38</v>
      </c>
      <c r="L45" t="s">
        <v>193</v>
      </c>
      <c r="M45" t="s">
        <v>44</v>
      </c>
      <c r="N45" t="s">
        <v>3967</v>
      </c>
      <c r="P45">
        <f t="shared" si="0"/>
        <v>0.29999962924789231</v>
      </c>
    </row>
    <row r="46" spans="1:16" x14ac:dyDescent="0.25">
      <c r="A46" t="s">
        <v>194</v>
      </c>
      <c r="B46" s="1">
        <v>45442</v>
      </c>
      <c r="C46" t="s">
        <v>195</v>
      </c>
      <c r="D46" t="s">
        <v>41</v>
      </c>
      <c r="E46">
        <v>1061.1099999999999</v>
      </c>
      <c r="F46">
        <v>4</v>
      </c>
      <c r="G46">
        <v>318.33</v>
      </c>
      <c r="H46">
        <v>0.15</v>
      </c>
      <c r="I46" t="s">
        <v>195</v>
      </c>
      <c r="J46" t="s">
        <v>196</v>
      </c>
      <c r="K46" t="s">
        <v>38</v>
      </c>
      <c r="L46" t="s">
        <v>155</v>
      </c>
      <c r="M46" t="s">
        <v>111</v>
      </c>
      <c r="N46" t="s">
        <v>3967</v>
      </c>
      <c r="P46">
        <f t="shared" si="0"/>
        <v>0.29999717277190868</v>
      </c>
    </row>
    <row r="47" spans="1:16" x14ac:dyDescent="0.25">
      <c r="A47" t="s">
        <v>197</v>
      </c>
      <c r="B47" s="1">
        <v>45086</v>
      </c>
      <c r="C47" t="s">
        <v>195</v>
      </c>
      <c r="D47" t="s">
        <v>15</v>
      </c>
      <c r="E47">
        <v>855.58</v>
      </c>
      <c r="F47">
        <v>2</v>
      </c>
      <c r="G47">
        <v>256.67</v>
      </c>
      <c r="H47">
        <v>0.15</v>
      </c>
      <c r="I47" t="s">
        <v>195</v>
      </c>
      <c r="J47" t="s">
        <v>196</v>
      </c>
      <c r="K47" t="s">
        <v>38</v>
      </c>
      <c r="L47" t="s">
        <v>155</v>
      </c>
      <c r="M47" t="s">
        <v>111</v>
      </c>
      <c r="N47" t="s">
        <v>3967</v>
      </c>
      <c r="P47">
        <f t="shared" si="0"/>
        <v>0.29999532480890156</v>
      </c>
    </row>
    <row r="48" spans="1:16" x14ac:dyDescent="0.25">
      <c r="A48" t="s">
        <v>198</v>
      </c>
      <c r="B48" s="1">
        <v>45696</v>
      </c>
      <c r="C48" t="s">
        <v>199</v>
      </c>
      <c r="D48" t="s">
        <v>41</v>
      </c>
      <c r="E48">
        <v>606.41999999999996</v>
      </c>
      <c r="F48">
        <v>10</v>
      </c>
      <c r="G48">
        <v>181.93</v>
      </c>
      <c r="H48">
        <v>0.1</v>
      </c>
      <c r="I48" t="s">
        <v>199</v>
      </c>
      <c r="J48" t="s">
        <v>127</v>
      </c>
      <c r="K48" t="s">
        <v>24</v>
      </c>
      <c r="L48" t="s">
        <v>200</v>
      </c>
      <c r="M48" t="s">
        <v>201</v>
      </c>
      <c r="N48" t="s">
        <v>3966</v>
      </c>
      <c r="P48">
        <f t="shared" si="0"/>
        <v>0.30000659608851954</v>
      </c>
    </row>
    <row r="49" spans="1:16" x14ac:dyDescent="0.25">
      <c r="A49" t="s">
        <v>202</v>
      </c>
      <c r="B49" s="1">
        <v>45148</v>
      </c>
      <c r="C49" t="s">
        <v>199</v>
      </c>
      <c r="D49" t="s">
        <v>41</v>
      </c>
      <c r="E49">
        <v>2116.44</v>
      </c>
      <c r="F49">
        <v>5</v>
      </c>
      <c r="G49">
        <v>634.92999999999995</v>
      </c>
      <c r="H49">
        <v>0.1</v>
      </c>
      <c r="I49" t="s">
        <v>199</v>
      </c>
      <c r="J49" t="s">
        <v>127</v>
      </c>
      <c r="K49" t="s">
        <v>24</v>
      </c>
      <c r="L49" t="s">
        <v>200</v>
      </c>
      <c r="M49" t="s">
        <v>201</v>
      </c>
      <c r="N49" t="s">
        <v>3966</v>
      </c>
      <c r="P49">
        <f t="shared" si="0"/>
        <v>0.29999905501691515</v>
      </c>
    </row>
    <row r="50" spans="1:16" x14ac:dyDescent="0.25">
      <c r="A50" t="s">
        <v>203</v>
      </c>
      <c r="B50" s="1">
        <v>45459</v>
      </c>
      <c r="C50" t="s">
        <v>204</v>
      </c>
      <c r="D50" t="s">
        <v>41</v>
      </c>
      <c r="E50">
        <v>1238.23</v>
      </c>
      <c r="F50">
        <v>20</v>
      </c>
      <c r="G50">
        <v>371.47</v>
      </c>
      <c r="H50">
        <v>0.05</v>
      </c>
      <c r="I50" t="s">
        <v>204</v>
      </c>
      <c r="J50" t="s">
        <v>205</v>
      </c>
      <c r="K50" t="s">
        <v>38</v>
      </c>
      <c r="L50" t="s">
        <v>206</v>
      </c>
      <c r="M50" t="s">
        <v>123</v>
      </c>
      <c r="N50" t="s">
        <v>3966</v>
      </c>
      <c r="P50">
        <f t="shared" si="0"/>
        <v>0.30000080760440306</v>
      </c>
    </row>
    <row r="51" spans="1:16" x14ac:dyDescent="0.25">
      <c r="A51" t="s">
        <v>207</v>
      </c>
      <c r="B51" s="1">
        <v>45130</v>
      </c>
      <c r="C51" t="s">
        <v>208</v>
      </c>
      <c r="D51" t="s">
        <v>15</v>
      </c>
      <c r="E51">
        <v>434.04</v>
      </c>
      <c r="F51">
        <v>12</v>
      </c>
      <c r="G51">
        <v>130.21</v>
      </c>
      <c r="H51">
        <v>0</v>
      </c>
      <c r="I51" t="s">
        <v>208</v>
      </c>
      <c r="J51" t="s">
        <v>209</v>
      </c>
      <c r="K51" t="s">
        <v>24</v>
      </c>
      <c r="L51" t="s">
        <v>99</v>
      </c>
      <c r="M51" t="s">
        <v>56</v>
      </c>
      <c r="N51" t="s">
        <v>3966</v>
      </c>
      <c r="P51">
        <f t="shared" si="0"/>
        <v>0.29999539212975762</v>
      </c>
    </row>
    <row r="52" spans="1:16" x14ac:dyDescent="0.25">
      <c r="A52" t="s">
        <v>210</v>
      </c>
      <c r="B52" s="1">
        <v>45066</v>
      </c>
      <c r="C52" t="s">
        <v>211</v>
      </c>
      <c r="D52" t="s">
        <v>41</v>
      </c>
      <c r="E52">
        <v>1561.65</v>
      </c>
      <c r="F52">
        <v>4</v>
      </c>
      <c r="G52">
        <v>468.5</v>
      </c>
      <c r="H52">
        <v>0.15</v>
      </c>
      <c r="I52" t="s">
        <v>211</v>
      </c>
      <c r="J52" t="s">
        <v>212</v>
      </c>
      <c r="K52" t="s">
        <v>38</v>
      </c>
      <c r="L52" t="s">
        <v>25</v>
      </c>
      <c r="M52" t="s">
        <v>26</v>
      </c>
      <c r="N52" t="s">
        <v>3966</v>
      </c>
      <c r="P52">
        <f t="shared" si="0"/>
        <v>0.30000320174174749</v>
      </c>
    </row>
    <row r="53" spans="1:16" x14ac:dyDescent="0.25">
      <c r="A53" t="s">
        <v>213</v>
      </c>
      <c r="B53" s="1">
        <v>45107</v>
      </c>
      <c r="C53" t="s">
        <v>214</v>
      </c>
      <c r="D53" t="s">
        <v>15</v>
      </c>
      <c r="E53">
        <v>790.51</v>
      </c>
      <c r="F53">
        <v>2</v>
      </c>
      <c r="G53">
        <v>237.15</v>
      </c>
      <c r="H53">
        <v>0.05</v>
      </c>
      <c r="I53" t="s">
        <v>214</v>
      </c>
      <c r="J53" t="s">
        <v>215</v>
      </c>
      <c r="K53" t="s">
        <v>24</v>
      </c>
      <c r="L53" t="s">
        <v>216</v>
      </c>
      <c r="M53" t="s">
        <v>123</v>
      </c>
      <c r="N53" t="s">
        <v>3966</v>
      </c>
      <c r="P53">
        <f t="shared" si="0"/>
        <v>0.29999620498159418</v>
      </c>
    </row>
    <row r="54" spans="1:16" x14ac:dyDescent="0.25">
      <c r="A54" t="s">
        <v>217</v>
      </c>
      <c r="B54" s="1">
        <v>45447</v>
      </c>
      <c r="C54" t="s">
        <v>218</v>
      </c>
      <c r="D54" t="s">
        <v>91</v>
      </c>
      <c r="E54">
        <v>4841.28</v>
      </c>
      <c r="F54">
        <v>16</v>
      </c>
      <c r="G54">
        <v>1452.38</v>
      </c>
      <c r="H54">
        <v>0</v>
      </c>
      <c r="I54" t="s">
        <v>218</v>
      </c>
      <c r="J54" t="s">
        <v>219</v>
      </c>
      <c r="K54" t="s">
        <v>24</v>
      </c>
      <c r="L54" t="s">
        <v>220</v>
      </c>
      <c r="M54" t="s">
        <v>221</v>
      </c>
      <c r="N54" t="s">
        <v>3966</v>
      </c>
      <c r="P54">
        <f t="shared" si="0"/>
        <v>0.29999917377222557</v>
      </c>
    </row>
    <row r="55" spans="1:16" x14ac:dyDescent="0.25">
      <c r="A55" t="s">
        <v>222</v>
      </c>
      <c r="B55" s="1">
        <v>45734</v>
      </c>
      <c r="C55" t="s">
        <v>223</v>
      </c>
      <c r="D55" t="s">
        <v>41</v>
      </c>
      <c r="E55">
        <v>5722.74</v>
      </c>
      <c r="F55">
        <v>16</v>
      </c>
      <c r="G55">
        <v>1716.82</v>
      </c>
      <c r="H55">
        <v>0.15</v>
      </c>
      <c r="I55" t="s">
        <v>223</v>
      </c>
      <c r="J55" t="s">
        <v>224</v>
      </c>
      <c r="K55" t="s">
        <v>71</v>
      </c>
      <c r="L55" t="s">
        <v>143</v>
      </c>
      <c r="M55" t="s">
        <v>144</v>
      </c>
      <c r="N55" t="s">
        <v>3967</v>
      </c>
      <c r="P55">
        <f t="shared" si="0"/>
        <v>0.29999965051706001</v>
      </c>
    </row>
    <row r="56" spans="1:16" x14ac:dyDescent="0.25">
      <c r="A56" t="s">
        <v>225</v>
      </c>
      <c r="B56" s="1">
        <v>45691</v>
      </c>
      <c r="C56" t="s">
        <v>223</v>
      </c>
      <c r="D56" t="s">
        <v>36</v>
      </c>
      <c r="E56">
        <v>309.77</v>
      </c>
      <c r="F56">
        <v>11</v>
      </c>
      <c r="G56">
        <v>92.93</v>
      </c>
      <c r="H56">
        <v>0.15</v>
      </c>
      <c r="I56" t="s">
        <v>223</v>
      </c>
      <c r="J56" t="s">
        <v>224</v>
      </c>
      <c r="K56" t="s">
        <v>71</v>
      </c>
      <c r="L56" t="s">
        <v>143</v>
      </c>
      <c r="M56" t="s">
        <v>144</v>
      </c>
      <c r="N56" t="s">
        <v>3967</v>
      </c>
      <c r="P56">
        <f t="shared" si="0"/>
        <v>0.29999677179843115</v>
      </c>
    </row>
    <row r="57" spans="1:16" x14ac:dyDescent="0.25">
      <c r="A57" t="s">
        <v>226</v>
      </c>
      <c r="B57" s="1">
        <v>45448</v>
      </c>
      <c r="C57" t="s">
        <v>227</v>
      </c>
      <c r="D57" t="s">
        <v>48</v>
      </c>
      <c r="E57">
        <v>95.36</v>
      </c>
      <c r="F57">
        <v>7</v>
      </c>
      <c r="G57">
        <v>28.61</v>
      </c>
      <c r="H57">
        <v>0.05</v>
      </c>
      <c r="I57" t="s">
        <v>227</v>
      </c>
      <c r="J57" t="s">
        <v>228</v>
      </c>
      <c r="K57" t="s">
        <v>17</v>
      </c>
      <c r="L57" t="s">
        <v>72</v>
      </c>
      <c r="M57" t="s">
        <v>26</v>
      </c>
      <c r="N57" t="s">
        <v>3966</v>
      </c>
      <c r="P57">
        <f t="shared" si="0"/>
        <v>0.30002097315436244</v>
      </c>
    </row>
    <row r="58" spans="1:16" x14ac:dyDescent="0.25">
      <c r="A58" t="s">
        <v>229</v>
      </c>
      <c r="B58" s="1">
        <v>45300</v>
      </c>
      <c r="C58" t="s">
        <v>227</v>
      </c>
      <c r="D58" t="s">
        <v>91</v>
      </c>
      <c r="E58">
        <v>3961.14</v>
      </c>
      <c r="F58">
        <v>8</v>
      </c>
      <c r="G58">
        <v>1188.3399999999999</v>
      </c>
      <c r="H58">
        <v>0.15</v>
      </c>
      <c r="I58" t="s">
        <v>227</v>
      </c>
      <c r="J58" t="s">
        <v>228</v>
      </c>
      <c r="K58" t="s">
        <v>17</v>
      </c>
      <c r="L58" t="s">
        <v>72</v>
      </c>
      <c r="M58" t="s">
        <v>26</v>
      </c>
      <c r="N58" t="s">
        <v>3966</v>
      </c>
      <c r="P58">
        <f t="shared" si="0"/>
        <v>0.29999949509484641</v>
      </c>
    </row>
    <row r="59" spans="1:16" x14ac:dyDescent="0.25">
      <c r="A59" t="s">
        <v>230</v>
      </c>
      <c r="B59" s="1">
        <v>45365</v>
      </c>
      <c r="C59" t="s">
        <v>231</v>
      </c>
      <c r="D59" t="s">
        <v>29</v>
      </c>
      <c r="E59">
        <v>743.18</v>
      </c>
      <c r="F59">
        <v>5</v>
      </c>
      <c r="G59">
        <v>222.95</v>
      </c>
      <c r="H59">
        <v>0.1</v>
      </c>
      <c r="I59" t="s">
        <v>231</v>
      </c>
      <c r="J59" t="s">
        <v>232</v>
      </c>
      <c r="K59" t="s">
        <v>31</v>
      </c>
      <c r="L59" t="s">
        <v>233</v>
      </c>
      <c r="M59" t="s">
        <v>123</v>
      </c>
      <c r="N59" t="s">
        <v>3966</v>
      </c>
      <c r="P59">
        <f t="shared" si="0"/>
        <v>0.2999946177238354</v>
      </c>
    </row>
    <row r="60" spans="1:16" x14ac:dyDescent="0.25">
      <c r="A60" t="s">
        <v>234</v>
      </c>
      <c r="B60" s="1">
        <v>45541</v>
      </c>
      <c r="C60" t="s">
        <v>235</v>
      </c>
      <c r="D60" t="s">
        <v>48</v>
      </c>
      <c r="E60">
        <v>2889.56</v>
      </c>
      <c r="F60">
        <v>14</v>
      </c>
      <c r="G60">
        <v>866.87</v>
      </c>
      <c r="H60">
        <v>0.15</v>
      </c>
      <c r="I60" t="s">
        <v>235</v>
      </c>
      <c r="J60" t="s">
        <v>236</v>
      </c>
      <c r="K60" t="s">
        <v>71</v>
      </c>
      <c r="L60" t="s">
        <v>155</v>
      </c>
      <c r="M60" t="s">
        <v>111</v>
      </c>
      <c r="N60" t="s">
        <v>3966</v>
      </c>
      <c r="P60">
        <f t="shared" si="0"/>
        <v>0.30000069214690128</v>
      </c>
    </row>
    <row r="61" spans="1:16" x14ac:dyDescent="0.25">
      <c r="A61" t="s">
        <v>237</v>
      </c>
      <c r="B61" s="1">
        <v>45002</v>
      </c>
      <c r="C61" t="s">
        <v>238</v>
      </c>
      <c r="D61" t="s">
        <v>48</v>
      </c>
      <c r="E61">
        <v>772.08</v>
      </c>
      <c r="F61">
        <v>13</v>
      </c>
      <c r="G61">
        <v>231.62</v>
      </c>
      <c r="H61">
        <v>0.1</v>
      </c>
      <c r="I61" t="s">
        <v>238</v>
      </c>
      <c r="J61" t="s">
        <v>239</v>
      </c>
      <c r="K61" t="s">
        <v>17</v>
      </c>
      <c r="L61" t="s">
        <v>206</v>
      </c>
      <c r="M61" t="s">
        <v>123</v>
      </c>
      <c r="N61" t="s">
        <v>3966</v>
      </c>
      <c r="P61">
        <f t="shared" si="0"/>
        <v>0.29999481918972126</v>
      </c>
    </row>
    <row r="62" spans="1:16" x14ac:dyDescent="0.25">
      <c r="A62" t="s">
        <v>240</v>
      </c>
      <c r="B62" s="1">
        <v>45674</v>
      </c>
      <c r="C62" t="s">
        <v>241</v>
      </c>
      <c r="D62" t="s">
        <v>36</v>
      </c>
      <c r="E62">
        <v>503.38</v>
      </c>
      <c r="F62">
        <v>2</v>
      </c>
      <c r="G62">
        <v>151.01</v>
      </c>
      <c r="H62">
        <v>0</v>
      </c>
      <c r="I62" t="s">
        <v>241</v>
      </c>
      <c r="J62" t="s">
        <v>242</v>
      </c>
      <c r="K62" t="s">
        <v>71</v>
      </c>
      <c r="L62" t="s">
        <v>243</v>
      </c>
      <c r="M62" t="s">
        <v>244</v>
      </c>
      <c r="N62" t="s">
        <v>3966</v>
      </c>
      <c r="P62">
        <f t="shared" si="0"/>
        <v>0.29999205371687393</v>
      </c>
    </row>
    <row r="63" spans="1:16" x14ac:dyDescent="0.25">
      <c r="A63" t="s">
        <v>245</v>
      </c>
      <c r="B63" s="1">
        <v>45547</v>
      </c>
      <c r="C63" t="s">
        <v>246</v>
      </c>
      <c r="D63" t="s">
        <v>15</v>
      </c>
      <c r="E63">
        <v>242.47</v>
      </c>
      <c r="F63">
        <v>1</v>
      </c>
      <c r="G63">
        <v>72.739999999999995</v>
      </c>
      <c r="H63">
        <v>0.1</v>
      </c>
      <c r="I63" t="s">
        <v>246</v>
      </c>
      <c r="J63" t="s">
        <v>247</v>
      </c>
      <c r="K63" t="s">
        <v>24</v>
      </c>
      <c r="L63" t="s">
        <v>248</v>
      </c>
      <c r="M63" t="s">
        <v>44</v>
      </c>
      <c r="N63" t="s">
        <v>3966</v>
      </c>
      <c r="P63">
        <f t="shared" si="0"/>
        <v>0.29999587577844677</v>
      </c>
    </row>
    <row r="64" spans="1:16" x14ac:dyDescent="0.25">
      <c r="A64" t="s">
        <v>249</v>
      </c>
      <c r="B64" s="1">
        <v>45375</v>
      </c>
      <c r="C64" t="s">
        <v>250</v>
      </c>
      <c r="D64" t="s">
        <v>15</v>
      </c>
      <c r="E64">
        <v>3570.66</v>
      </c>
      <c r="F64">
        <v>6</v>
      </c>
      <c r="G64">
        <v>1071.2</v>
      </c>
      <c r="H64">
        <v>0</v>
      </c>
      <c r="I64" t="s">
        <v>250</v>
      </c>
      <c r="J64" t="s">
        <v>251</v>
      </c>
      <c r="K64" t="s">
        <v>24</v>
      </c>
      <c r="L64" t="s">
        <v>252</v>
      </c>
      <c r="M64" t="s">
        <v>111</v>
      </c>
      <c r="N64" t="s">
        <v>3966</v>
      </c>
      <c r="P64">
        <f t="shared" si="0"/>
        <v>0.30000056012053794</v>
      </c>
    </row>
    <row r="65" spans="1:16" x14ac:dyDescent="0.25">
      <c r="A65" t="s">
        <v>253</v>
      </c>
      <c r="B65" s="1">
        <v>45296</v>
      </c>
      <c r="C65" t="s">
        <v>250</v>
      </c>
      <c r="D65" t="s">
        <v>48</v>
      </c>
      <c r="E65">
        <v>705.47</v>
      </c>
      <c r="F65">
        <v>2</v>
      </c>
      <c r="G65">
        <v>211.64</v>
      </c>
      <c r="H65">
        <v>0.05</v>
      </c>
      <c r="I65" t="s">
        <v>250</v>
      </c>
      <c r="J65" t="s">
        <v>251</v>
      </c>
      <c r="K65" t="s">
        <v>24</v>
      </c>
      <c r="L65" t="s">
        <v>252</v>
      </c>
      <c r="M65" t="s">
        <v>111</v>
      </c>
      <c r="N65" t="s">
        <v>3966</v>
      </c>
      <c r="P65">
        <f t="shared" si="0"/>
        <v>0.29999858250528011</v>
      </c>
    </row>
    <row r="66" spans="1:16" x14ac:dyDescent="0.25">
      <c r="A66" t="s">
        <v>254</v>
      </c>
      <c r="B66" s="1">
        <v>45401</v>
      </c>
      <c r="C66" t="s">
        <v>255</v>
      </c>
      <c r="D66" t="s">
        <v>91</v>
      </c>
      <c r="E66">
        <v>2695.04</v>
      </c>
      <c r="F66">
        <v>11</v>
      </c>
      <c r="G66">
        <v>808.51</v>
      </c>
      <c r="H66">
        <v>0.15</v>
      </c>
      <c r="I66" t="s">
        <v>255</v>
      </c>
      <c r="J66" t="s">
        <v>256</v>
      </c>
      <c r="K66" t="s">
        <v>71</v>
      </c>
      <c r="L66" t="s">
        <v>143</v>
      </c>
      <c r="M66" t="s">
        <v>144</v>
      </c>
      <c r="N66" t="s">
        <v>3966</v>
      </c>
      <c r="P66">
        <f t="shared" si="0"/>
        <v>0.29999925789598669</v>
      </c>
    </row>
    <row r="67" spans="1:16" x14ac:dyDescent="0.25">
      <c r="A67" t="s">
        <v>257</v>
      </c>
      <c r="B67" s="1">
        <v>45819</v>
      </c>
      <c r="C67" t="s">
        <v>258</v>
      </c>
      <c r="D67" t="s">
        <v>91</v>
      </c>
      <c r="E67">
        <v>2432.2399999999998</v>
      </c>
      <c r="F67">
        <v>11</v>
      </c>
      <c r="G67">
        <v>729.67</v>
      </c>
      <c r="H67">
        <v>0.05</v>
      </c>
      <c r="I67" t="s">
        <v>258</v>
      </c>
      <c r="J67" t="s">
        <v>259</v>
      </c>
      <c r="K67" t="s">
        <v>38</v>
      </c>
      <c r="L67" t="s">
        <v>260</v>
      </c>
      <c r="M67" t="s">
        <v>261</v>
      </c>
      <c r="N67" t="s">
        <v>3966</v>
      </c>
      <c r="P67">
        <f t="shared" ref="P67:P130" si="1">G67/E67</f>
        <v>0.29999917771272572</v>
      </c>
    </row>
    <row r="68" spans="1:16" x14ac:dyDescent="0.25">
      <c r="A68" t="s">
        <v>262</v>
      </c>
      <c r="B68" s="1">
        <v>45722</v>
      </c>
      <c r="C68" t="s">
        <v>263</v>
      </c>
      <c r="D68" t="s">
        <v>22</v>
      </c>
      <c r="E68">
        <v>2113.75</v>
      </c>
      <c r="F68">
        <v>17</v>
      </c>
      <c r="G68">
        <v>634.12</v>
      </c>
      <c r="H68">
        <v>0.15</v>
      </c>
      <c r="I68" t="s">
        <v>263</v>
      </c>
      <c r="J68" t="s">
        <v>264</v>
      </c>
      <c r="K68" t="s">
        <v>17</v>
      </c>
      <c r="L68" t="s">
        <v>265</v>
      </c>
      <c r="M68" t="s">
        <v>266</v>
      </c>
      <c r="N68" t="s">
        <v>3968</v>
      </c>
      <c r="P68">
        <f t="shared" si="1"/>
        <v>0.29999763453577766</v>
      </c>
    </row>
    <row r="69" spans="1:16" x14ac:dyDescent="0.25">
      <c r="A69" t="s">
        <v>267</v>
      </c>
      <c r="B69" s="1">
        <v>45031</v>
      </c>
      <c r="C69" t="s">
        <v>268</v>
      </c>
      <c r="D69" t="s">
        <v>15</v>
      </c>
      <c r="E69">
        <v>7055.14</v>
      </c>
      <c r="F69">
        <v>16</v>
      </c>
      <c r="G69">
        <v>2116.54</v>
      </c>
      <c r="H69">
        <v>0.1</v>
      </c>
      <c r="I69" t="s">
        <v>268</v>
      </c>
      <c r="J69" t="s">
        <v>269</v>
      </c>
      <c r="K69" t="s">
        <v>17</v>
      </c>
      <c r="L69" t="s">
        <v>50</v>
      </c>
      <c r="M69" t="s">
        <v>51</v>
      </c>
      <c r="N69" t="s">
        <v>3967</v>
      </c>
      <c r="P69">
        <f t="shared" si="1"/>
        <v>0.29999971651873669</v>
      </c>
    </row>
    <row r="70" spans="1:16" x14ac:dyDescent="0.25">
      <c r="A70" t="s">
        <v>270</v>
      </c>
      <c r="B70" s="1">
        <v>45070</v>
      </c>
      <c r="C70" t="s">
        <v>268</v>
      </c>
      <c r="D70" t="s">
        <v>36</v>
      </c>
      <c r="E70">
        <v>451.71</v>
      </c>
      <c r="F70">
        <v>5</v>
      </c>
      <c r="G70">
        <v>135.51</v>
      </c>
      <c r="H70">
        <v>0.1</v>
      </c>
      <c r="I70" t="s">
        <v>268</v>
      </c>
      <c r="J70" t="s">
        <v>269</v>
      </c>
      <c r="K70" t="s">
        <v>17</v>
      </c>
      <c r="L70" t="s">
        <v>50</v>
      </c>
      <c r="M70" t="s">
        <v>51</v>
      </c>
      <c r="N70" t="s">
        <v>3967</v>
      </c>
      <c r="P70">
        <f t="shared" si="1"/>
        <v>0.29999335857076442</v>
      </c>
    </row>
    <row r="71" spans="1:16" x14ac:dyDescent="0.25">
      <c r="A71" t="s">
        <v>271</v>
      </c>
      <c r="B71" s="1">
        <v>44953</v>
      </c>
      <c r="C71" t="s">
        <v>272</v>
      </c>
      <c r="D71" t="s">
        <v>22</v>
      </c>
      <c r="E71">
        <v>3923.77</v>
      </c>
      <c r="F71">
        <v>11</v>
      </c>
      <c r="G71">
        <v>1177.1300000000001</v>
      </c>
      <c r="H71">
        <v>0.05</v>
      </c>
      <c r="I71" t="s">
        <v>272</v>
      </c>
      <c r="J71" t="s">
        <v>273</v>
      </c>
      <c r="K71" t="s">
        <v>24</v>
      </c>
      <c r="L71" t="s">
        <v>274</v>
      </c>
      <c r="M71" t="s">
        <v>176</v>
      </c>
      <c r="N71" t="s">
        <v>3966</v>
      </c>
      <c r="P71">
        <f t="shared" si="1"/>
        <v>0.29999974514306399</v>
      </c>
    </row>
    <row r="72" spans="1:16" x14ac:dyDescent="0.25">
      <c r="A72" t="s">
        <v>275</v>
      </c>
      <c r="B72" s="1">
        <v>45372</v>
      </c>
      <c r="C72" t="s">
        <v>276</v>
      </c>
      <c r="D72" t="s">
        <v>15</v>
      </c>
      <c r="E72">
        <v>5418.82</v>
      </c>
      <c r="F72">
        <v>18</v>
      </c>
      <c r="G72">
        <v>1625.65</v>
      </c>
      <c r="H72">
        <v>0.05</v>
      </c>
      <c r="I72" t="s">
        <v>276</v>
      </c>
      <c r="J72" t="s">
        <v>277</v>
      </c>
      <c r="K72" t="s">
        <v>24</v>
      </c>
      <c r="L72" t="s">
        <v>278</v>
      </c>
      <c r="M72" t="s">
        <v>134</v>
      </c>
      <c r="N72" t="s">
        <v>3966</v>
      </c>
      <c r="P72">
        <f t="shared" si="1"/>
        <v>0.30000073816808831</v>
      </c>
    </row>
    <row r="73" spans="1:16" x14ac:dyDescent="0.25">
      <c r="A73" t="s">
        <v>279</v>
      </c>
      <c r="B73" s="1">
        <v>45682</v>
      </c>
      <c r="C73" t="s">
        <v>280</v>
      </c>
      <c r="D73" t="s">
        <v>15</v>
      </c>
      <c r="E73">
        <v>5016.0200000000004</v>
      </c>
      <c r="F73">
        <v>20</v>
      </c>
      <c r="G73">
        <v>1504.81</v>
      </c>
      <c r="H73">
        <v>0.15</v>
      </c>
      <c r="I73" t="s">
        <v>280</v>
      </c>
      <c r="J73" t="s">
        <v>281</v>
      </c>
      <c r="K73" t="s">
        <v>71</v>
      </c>
      <c r="L73" t="s">
        <v>99</v>
      </c>
      <c r="M73" t="s">
        <v>56</v>
      </c>
      <c r="N73" t="s">
        <v>3966</v>
      </c>
      <c r="P73">
        <f t="shared" si="1"/>
        <v>0.3000007974449862</v>
      </c>
    </row>
    <row r="74" spans="1:16" x14ac:dyDescent="0.25">
      <c r="A74" t="s">
        <v>282</v>
      </c>
      <c r="B74" s="1">
        <v>45089</v>
      </c>
      <c r="C74" t="s">
        <v>283</v>
      </c>
      <c r="D74" t="s">
        <v>22</v>
      </c>
      <c r="E74">
        <v>2413.44</v>
      </c>
      <c r="F74">
        <v>8</v>
      </c>
      <c r="G74">
        <v>724.03</v>
      </c>
      <c r="H74">
        <v>0</v>
      </c>
      <c r="I74" t="s">
        <v>283</v>
      </c>
      <c r="J74" t="s">
        <v>284</v>
      </c>
      <c r="K74" t="s">
        <v>38</v>
      </c>
      <c r="L74" t="s">
        <v>285</v>
      </c>
      <c r="M74" t="s">
        <v>111</v>
      </c>
      <c r="N74" t="s">
        <v>3966</v>
      </c>
      <c r="P74">
        <f t="shared" si="1"/>
        <v>0.29999917130734549</v>
      </c>
    </row>
    <row r="75" spans="1:16" x14ac:dyDescent="0.25">
      <c r="A75" t="s">
        <v>286</v>
      </c>
      <c r="B75" s="1">
        <v>45738</v>
      </c>
      <c r="C75" t="s">
        <v>287</v>
      </c>
      <c r="D75" t="s">
        <v>36</v>
      </c>
      <c r="E75">
        <v>1283.55</v>
      </c>
      <c r="F75">
        <v>3</v>
      </c>
      <c r="G75">
        <v>385.07</v>
      </c>
      <c r="H75">
        <v>0.1</v>
      </c>
      <c r="I75" t="s">
        <v>287</v>
      </c>
      <c r="J75" t="s">
        <v>288</v>
      </c>
      <c r="K75" t="s">
        <v>38</v>
      </c>
      <c r="L75" t="s">
        <v>289</v>
      </c>
      <c r="M75" t="s">
        <v>160</v>
      </c>
      <c r="N75" t="s">
        <v>3966</v>
      </c>
      <c r="P75">
        <f t="shared" si="1"/>
        <v>0.30000389544622336</v>
      </c>
    </row>
    <row r="76" spans="1:16" x14ac:dyDescent="0.25">
      <c r="A76" t="s">
        <v>290</v>
      </c>
      <c r="B76" s="1">
        <v>45346</v>
      </c>
      <c r="C76" t="s">
        <v>291</v>
      </c>
      <c r="D76" t="s">
        <v>29</v>
      </c>
      <c r="E76">
        <v>642.6</v>
      </c>
      <c r="F76">
        <v>16</v>
      </c>
      <c r="G76">
        <v>192.78</v>
      </c>
      <c r="H76">
        <v>0.15</v>
      </c>
      <c r="I76" t="s">
        <v>291</v>
      </c>
      <c r="J76" t="s">
        <v>292</v>
      </c>
      <c r="K76" t="s">
        <v>38</v>
      </c>
      <c r="L76" t="s">
        <v>25</v>
      </c>
      <c r="M76" t="s">
        <v>26</v>
      </c>
      <c r="N76" t="s">
        <v>3966</v>
      </c>
      <c r="P76">
        <f t="shared" si="1"/>
        <v>0.3</v>
      </c>
    </row>
    <row r="77" spans="1:16" x14ac:dyDescent="0.25">
      <c r="A77" t="s">
        <v>293</v>
      </c>
      <c r="B77" s="1">
        <v>45269</v>
      </c>
      <c r="C77" t="s">
        <v>294</v>
      </c>
      <c r="D77" t="s">
        <v>36</v>
      </c>
      <c r="E77">
        <v>7667.55</v>
      </c>
      <c r="F77">
        <v>15</v>
      </c>
      <c r="G77">
        <v>2300.27</v>
      </c>
      <c r="H77">
        <v>0</v>
      </c>
      <c r="I77" t="s">
        <v>294</v>
      </c>
      <c r="J77" t="s">
        <v>295</v>
      </c>
      <c r="K77" t="s">
        <v>24</v>
      </c>
      <c r="L77" t="s">
        <v>265</v>
      </c>
      <c r="M77" t="s">
        <v>266</v>
      </c>
      <c r="N77" t="s">
        <v>3967</v>
      </c>
      <c r="P77">
        <f t="shared" si="1"/>
        <v>0.30000065209877991</v>
      </c>
    </row>
    <row r="78" spans="1:16" x14ac:dyDescent="0.25">
      <c r="A78" t="s">
        <v>296</v>
      </c>
      <c r="B78" s="1">
        <v>45200</v>
      </c>
      <c r="C78" t="s">
        <v>297</v>
      </c>
      <c r="D78" t="s">
        <v>48</v>
      </c>
      <c r="E78">
        <v>179.77</v>
      </c>
      <c r="F78">
        <v>3</v>
      </c>
      <c r="G78">
        <v>53.93</v>
      </c>
      <c r="H78">
        <v>0.1</v>
      </c>
      <c r="I78" t="s">
        <v>297</v>
      </c>
      <c r="J78" t="s">
        <v>298</v>
      </c>
      <c r="K78" t="s">
        <v>38</v>
      </c>
      <c r="L78" t="s">
        <v>299</v>
      </c>
      <c r="M78" t="s">
        <v>26</v>
      </c>
      <c r="N78" t="s">
        <v>3967</v>
      </c>
      <c r="P78">
        <f t="shared" si="1"/>
        <v>0.29999443733659675</v>
      </c>
    </row>
    <row r="79" spans="1:16" x14ac:dyDescent="0.25">
      <c r="A79" t="s">
        <v>300</v>
      </c>
      <c r="B79" s="1">
        <v>45138</v>
      </c>
      <c r="C79" t="s">
        <v>301</v>
      </c>
      <c r="D79" t="s">
        <v>91</v>
      </c>
      <c r="E79">
        <v>2329.9699999999998</v>
      </c>
      <c r="F79">
        <v>5</v>
      </c>
      <c r="G79">
        <v>698.99</v>
      </c>
      <c r="H79">
        <v>0.05</v>
      </c>
      <c r="I79" t="s">
        <v>301</v>
      </c>
      <c r="J79" t="s">
        <v>302</v>
      </c>
      <c r="K79" t="s">
        <v>71</v>
      </c>
      <c r="L79" t="s">
        <v>82</v>
      </c>
      <c r="M79" t="s">
        <v>83</v>
      </c>
      <c r="N79" t="s">
        <v>3967</v>
      </c>
      <c r="P79">
        <f t="shared" si="1"/>
        <v>0.29999957080992462</v>
      </c>
    </row>
    <row r="80" spans="1:16" x14ac:dyDescent="0.25">
      <c r="A80" t="s">
        <v>303</v>
      </c>
      <c r="B80" s="1">
        <v>45650</v>
      </c>
      <c r="C80" t="s">
        <v>304</v>
      </c>
      <c r="D80" t="s">
        <v>36</v>
      </c>
      <c r="E80">
        <v>3085.3</v>
      </c>
      <c r="F80">
        <v>8</v>
      </c>
      <c r="G80">
        <v>925.59</v>
      </c>
      <c r="H80">
        <v>0.05</v>
      </c>
      <c r="I80" t="s">
        <v>304</v>
      </c>
      <c r="J80" t="s">
        <v>305</v>
      </c>
      <c r="K80" t="s">
        <v>24</v>
      </c>
      <c r="L80" t="s">
        <v>72</v>
      </c>
      <c r="M80" t="s">
        <v>26</v>
      </c>
      <c r="N80" t="s">
        <v>3966</v>
      </c>
      <c r="P80">
        <f t="shared" si="1"/>
        <v>0.3</v>
      </c>
    </row>
    <row r="81" spans="1:16" x14ac:dyDescent="0.25">
      <c r="A81" t="s">
        <v>306</v>
      </c>
      <c r="B81" s="1">
        <v>45611</v>
      </c>
      <c r="C81" t="s">
        <v>307</v>
      </c>
      <c r="D81" t="s">
        <v>22</v>
      </c>
      <c r="E81">
        <v>143.47</v>
      </c>
      <c r="F81">
        <v>1</v>
      </c>
      <c r="G81">
        <v>43.04</v>
      </c>
      <c r="H81">
        <v>0.1</v>
      </c>
      <c r="I81" t="s">
        <v>307</v>
      </c>
      <c r="J81" t="s">
        <v>308</v>
      </c>
      <c r="K81" t="s">
        <v>31</v>
      </c>
      <c r="L81" t="s">
        <v>309</v>
      </c>
      <c r="M81" t="s">
        <v>310</v>
      </c>
      <c r="N81" t="s">
        <v>3967</v>
      </c>
      <c r="P81">
        <f t="shared" si="1"/>
        <v>0.29999302990172161</v>
      </c>
    </row>
    <row r="82" spans="1:16" x14ac:dyDescent="0.25">
      <c r="A82" t="s">
        <v>311</v>
      </c>
      <c r="B82" s="1">
        <v>45729</v>
      </c>
      <c r="C82" t="s">
        <v>312</v>
      </c>
      <c r="D82" t="s">
        <v>48</v>
      </c>
      <c r="E82">
        <v>523.46</v>
      </c>
      <c r="F82">
        <v>16</v>
      </c>
      <c r="G82">
        <v>157.04</v>
      </c>
      <c r="H82">
        <v>0.15</v>
      </c>
      <c r="I82" t="s">
        <v>312</v>
      </c>
      <c r="J82" t="s">
        <v>313</v>
      </c>
      <c r="K82" t="s">
        <v>71</v>
      </c>
      <c r="L82" t="s">
        <v>314</v>
      </c>
      <c r="M82" t="s">
        <v>26</v>
      </c>
      <c r="N82" t="s">
        <v>3967</v>
      </c>
      <c r="P82">
        <f t="shared" si="1"/>
        <v>0.30000382073128795</v>
      </c>
    </row>
    <row r="83" spans="1:16" x14ac:dyDescent="0.25">
      <c r="A83" t="s">
        <v>315</v>
      </c>
      <c r="B83" s="1">
        <v>45354</v>
      </c>
      <c r="C83" t="s">
        <v>316</v>
      </c>
      <c r="D83" t="s">
        <v>91</v>
      </c>
      <c r="E83">
        <v>4186.59</v>
      </c>
      <c r="F83">
        <v>15</v>
      </c>
      <c r="G83">
        <v>1255.98</v>
      </c>
      <c r="H83">
        <v>0.15</v>
      </c>
      <c r="I83" t="s">
        <v>316</v>
      </c>
      <c r="J83" t="s">
        <v>317</v>
      </c>
      <c r="K83" t="s">
        <v>17</v>
      </c>
      <c r="L83" t="s">
        <v>318</v>
      </c>
      <c r="M83" t="s">
        <v>266</v>
      </c>
      <c r="N83" t="s">
        <v>3966</v>
      </c>
      <c r="P83">
        <f t="shared" si="1"/>
        <v>0.30000071657363153</v>
      </c>
    </row>
    <row r="84" spans="1:16" x14ac:dyDescent="0.25">
      <c r="A84" t="s">
        <v>319</v>
      </c>
      <c r="B84" s="1">
        <v>44968</v>
      </c>
      <c r="C84" t="s">
        <v>320</v>
      </c>
      <c r="D84" t="s">
        <v>91</v>
      </c>
      <c r="E84">
        <v>9864.18</v>
      </c>
      <c r="F84">
        <v>20</v>
      </c>
      <c r="G84">
        <v>2959.25</v>
      </c>
      <c r="H84">
        <v>0.1</v>
      </c>
      <c r="I84" t="s">
        <v>320</v>
      </c>
      <c r="J84" t="s">
        <v>321</v>
      </c>
      <c r="K84" t="s">
        <v>38</v>
      </c>
      <c r="L84" t="s">
        <v>322</v>
      </c>
      <c r="M84" t="s">
        <v>61</v>
      </c>
      <c r="N84" t="s">
        <v>3966</v>
      </c>
      <c r="P84">
        <f t="shared" si="1"/>
        <v>0.29999959449239572</v>
      </c>
    </row>
    <row r="85" spans="1:16" x14ac:dyDescent="0.25">
      <c r="A85" t="s">
        <v>323</v>
      </c>
      <c r="B85" s="1">
        <v>45225</v>
      </c>
      <c r="C85" t="s">
        <v>324</v>
      </c>
      <c r="D85" t="s">
        <v>29</v>
      </c>
      <c r="E85">
        <v>5982.96</v>
      </c>
      <c r="F85">
        <v>13</v>
      </c>
      <c r="G85">
        <v>1794.89</v>
      </c>
      <c r="H85">
        <v>0.05</v>
      </c>
      <c r="I85" t="s">
        <v>324</v>
      </c>
      <c r="J85" t="s">
        <v>325</v>
      </c>
      <c r="K85" t="s">
        <v>24</v>
      </c>
      <c r="L85" t="s">
        <v>326</v>
      </c>
      <c r="M85" t="s">
        <v>160</v>
      </c>
      <c r="N85" t="s">
        <v>3967</v>
      </c>
      <c r="P85">
        <f t="shared" si="1"/>
        <v>0.30000033428269618</v>
      </c>
    </row>
    <row r="86" spans="1:16" x14ac:dyDescent="0.25">
      <c r="A86" t="s">
        <v>327</v>
      </c>
      <c r="B86" s="1">
        <v>45220</v>
      </c>
      <c r="C86" t="s">
        <v>328</v>
      </c>
      <c r="D86" t="s">
        <v>48</v>
      </c>
      <c r="E86">
        <v>2418.62</v>
      </c>
      <c r="F86">
        <v>13</v>
      </c>
      <c r="G86">
        <v>725.59</v>
      </c>
      <c r="H86">
        <v>0.05</v>
      </c>
      <c r="I86" t="s">
        <v>328</v>
      </c>
      <c r="J86" t="s">
        <v>329</v>
      </c>
      <c r="K86" t="s">
        <v>24</v>
      </c>
      <c r="L86" t="s">
        <v>330</v>
      </c>
      <c r="M86" t="s">
        <v>26</v>
      </c>
      <c r="N86" t="s">
        <v>3968</v>
      </c>
      <c r="P86">
        <f t="shared" si="1"/>
        <v>0.30000165383565836</v>
      </c>
    </row>
    <row r="87" spans="1:16" x14ac:dyDescent="0.25">
      <c r="A87" t="s">
        <v>331</v>
      </c>
      <c r="B87" s="1">
        <v>45305</v>
      </c>
      <c r="C87" t="s">
        <v>332</v>
      </c>
      <c r="D87" t="s">
        <v>91</v>
      </c>
      <c r="E87">
        <v>483.53</v>
      </c>
      <c r="F87">
        <v>19</v>
      </c>
      <c r="G87">
        <v>145.06</v>
      </c>
      <c r="H87">
        <v>0.15</v>
      </c>
      <c r="I87" t="s">
        <v>332</v>
      </c>
      <c r="J87" t="s">
        <v>333</v>
      </c>
      <c r="K87" t="s">
        <v>38</v>
      </c>
      <c r="L87" t="s">
        <v>50</v>
      </c>
      <c r="M87" t="s">
        <v>51</v>
      </c>
      <c r="N87" t="s">
        <v>3966</v>
      </c>
      <c r="P87">
        <f t="shared" si="1"/>
        <v>0.30000206812400476</v>
      </c>
    </row>
    <row r="88" spans="1:16" x14ac:dyDescent="0.25">
      <c r="A88" t="s">
        <v>334</v>
      </c>
      <c r="B88" s="1">
        <v>45449</v>
      </c>
      <c r="C88" t="s">
        <v>335</v>
      </c>
      <c r="D88" t="s">
        <v>48</v>
      </c>
      <c r="E88">
        <v>4989.2299999999996</v>
      </c>
      <c r="F88">
        <v>12</v>
      </c>
      <c r="G88">
        <v>1496.77</v>
      </c>
      <c r="H88">
        <v>0.15</v>
      </c>
      <c r="I88" t="s">
        <v>335</v>
      </c>
      <c r="J88" t="s">
        <v>336</v>
      </c>
      <c r="K88" t="s">
        <v>38</v>
      </c>
      <c r="L88" t="s">
        <v>50</v>
      </c>
      <c r="M88" t="s">
        <v>51</v>
      </c>
      <c r="N88" t="s">
        <v>3966</v>
      </c>
      <c r="P88">
        <f t="shared" si="1"/>
        <v>0.30000020043172998</v>
      </c>
    </row>
    <row r="89" spans="1:16" x14ac:dyDescent="0.25">
      <c r="A89" t="s">
        <v>337</v>
      </c>
      <c r="B89" s="1">
        <v>45134</v>
      </c>
      <c r="C89" t="s">
        <v>335</v>
      </c>
      <c r="D89" t="s">
        <v>29</v>
      </c>
      <c r="E89">
        <v>4985.1899999999996</v>
      </c>
      <c r="F89">
        <v>10</v>
      </c>
      <c r="G89">
        <v>1495.56</v>
      </c>
      <c r="H89">
        <v>0.1</v>
      </c>
      <c r="I89" t="s">
        <v>335</v>
      </c>
      <c r="J89" t="s">
        <v>336</v>
      </c>
      <c r="K89" t="s">
        <v>38</v>
      </c>
      <c r="L89" t="s">
        <v>50</v>
      </c>
      <c r="M89" t="s">
        <v>51</v>
      </c>
      <c r="N89" t="s">
        <v>3966</v>
      </c>
      <c r="P89">
        <f t="shared" si="1"/>
        <v>0.30000060178247973</v>
      </c>
    </row>
    <row r="90" spans="1:16" x14ac:dyDescent="0.25">
      <c r="A90" t="s">
        <v>338</v>
      </c>
      <c r="B90" s="1">
        <v>45576</v>
      </c>
      <c r="C90" t="s">
        <v>339</v>
      </c>
      <c r="D90" t="s">
        <v>15</v>
      </c>
      <c r="E90">
        <v>5371.47</v>
      </c>
      <c r="F90">
        <v>9</v>
      </c>
      <c r="G90">
        <v>1611.44</v>
      </c>
      <c r="H90">
        <v>0</v>
      </c>
      <c r="I90" t="s">
        <v>339</v>
      </c>
      <c r="J90" t="s">
        <v>340</v>
      </c>
      <c r="K90" t="s">
        <v>24</v>
      </c>
      <c r="L90" t="s">
        <v>341</v>
      </c>
      <c r="M90" t="s">
        <v>342</v>
      </c>
      <c r="N90" t="s">
        <v>3968</v>
      </c>
      <c r="P90">
        <f t="shared" si="1"/>
        <v>0.29999981383122309</v>
      </c>
    </row>
    <row r="91" spans="1:16" x14ac:dyDescent="0.25">
      <c r="A91" t="s">
        <v>343</v>
      </c>
      <c r="B91" s="1">
        <v>45588</v>
      </c>
      <c r="C91" t="s">
        <v>339</v>
      </c>
      <c r="D91" t="s">
        <v>22</v>
      </c>
      <c r="E91">
        <v>5613.55</v>
      </c>
      <c r="F91">
        <v>14</v>
      </c>
      <c r="G91">
        <v>1684.07</v>
      </c>
      <c r="H91">
        <v>0.1</v>
      </c>
      <c r="I91" t="s">
        <v>339</v>
      </c>
      <c r="J91" t="s">
        <v>340</v>
      </c>
      <c r="K91" t="s">
        <v>24</v>
      </c>
      <c r="L91" t="s">
        <v>341</v>
      </c>
      <c r="M91" t="s">
        <v>342</v>
      </c>
      <c r="N91" t="s">
        <v>3967</v>
      </c>
      <c r="P91">
        <f t="shared" si="1"/>
        <v>0.30000089070196218</v>
      </c>
    </row>
    <row r="92" spans="1:16" x14ac:dyDescent="0.25">
      <c r="A92" t="s">
        <v>344</v>
      </c>
      <c r="B92" s="1">
        <v>45195</v>
      </c>
      <c r="C92" t="s">
        <v>345</v>
      </c>
      <c r="D92" t="s">
        <v>36</v>
      </c>
      <c r="E92">
        <v>2344.2199999999998</v>
      </c>
      <c r="F92">
        <v>5</v>
      </c>
      <c r="G92">
        <v>703.26</v>
      </c>
      <c r="H92">
        <v>0.15</v>
      </c>
      <c r="I92" t="s">
        <v>345</v>
      </c>
      <c r="J92" t="s">
        <v>346</v>
      </c>
      <c r="K92" t="s">
        <v>24</v>
      </c>
      <c r="L92" t="s">
        <v>25</v>
      </c>
      <c r="M92" t="s">
        <v>26</v>
      </c>
      <c r="N92" t="s">
        <v>3967</v>
      </c>
      <c r="P92">
        <f t="shared" si="1"/>
        <v>0.29999744051326244</v>
      </c>
    </row>
    <row r="93" spans="1:16" x14ac:dyDescent="0.25">
      <c r="A93" t="s">
        <v>347</v>
      </c>
      <c r="B93" s="1">
        <v>45276</v>
      </c>
      <c r="C93" t="s">
        <v>348</v>
      </c>
      <c r="D93" t="s">
        <v>22</v>
      </c>
      <c r="E93">
        <v>3138.2</v>
      </c>
      <c r="F93">
        <v>13</v>
      </c>
      <c r="G93">
        <v>941.46</v>
      </c>
      <c r="H93">
        <v>0</v>
      </c>
      <c r="I93" t="s">
        <v>348</v>
      </c>
      <c r="J93" t="s">
        <v>349</v>
      </c>
      <c r="K93" t="s">
        <v>17</v>
      </c>
      <c r="L93" t="s">
        <v>82</v>
      </c>
      <c r="M93" t="s">
        <v>83</v>
      </c>
      <c r="N93" t="s">
        <v>3967</v>
      </c>
      <c r="P93">
        <f t="shared" si="1"/>
        <v>0.30000000000000004</v>
      </c>
    </row>
    <row r="94" spans="1:16" x14ac:dyDescent="0.25">
      <c r="A94" t="s">
        <v>350</v>
      </c>
      <c r="B94" s="1">
        <v>45293</v>
      </c>
      <c r="C94" t="s">
        <v>351</v>
      </c>
      <c r="D94" t="s">
        <v>41</v>
      </c>
      <c r="E94">
        <v>6686.67</v>
      </c>
      <c r="F94">
        <v>19</v>
      </c>
      <c r="G94">
        <v>2006</v>
      </c>
      <c r="H94">
        <v>0</v>
      </c>
      <c r="I94" t="s">
        <v>351</v>
      </c>
      <c r="J94" t="s">
        <v>352</v>
      </c>
      <c r="K94" t="s">
        <v>38</v>
      </c>
      <c r="L94" t="s">
        <v>353</v>
      </c>
      <c r="M94" t="s">
        <v>354</v>
      </c>
      <c r="N94" t="s">
        <v>3966</v>
      </c>
      <c r="P94">
        <f t="shared" si="1"/>
        <v>0.29999985044872857</v>
      </c>
    </row>
    <row r="95" spans="1:16" x14ac:dyDescent="0.25">
      <c r="A95" t="s">
        <v>355</v>
      </c>
      <c r="B95" s="1">
        <v>45338</v>
      </c>
      <c r="C95" t="s">
        <v>356</v>
      </c>
      <c r="D95" t="s">
        <v>22</v>
      </c>
      <c r="E95">
        <v>318.25</v>
      </c>
      <c r="F95">
        <v>4</v>
      </c>
      <c r="G95">
        <v>95.48</v>
      </c>
      <c r="H95">
        <v>0.05</v>
      </c>
      <c r="I95" t="s">
        <v>356</v>
      </c>
      <c r="J95" t="s">
        <v>357</v>
      </c>
      <c r="K95" t="s">
        <v>31</v>
      </c>
      <c r="L95" t="s">
        <v>50</v>
      </c>
      <c r="M95" t="s">
        <v>51</v>
      </c>
      <c r="N95" t="s">
        <v>3966</v>
      </c>
      <c r="P95">
        <f t="shared" si="1"/>
        <v>0.3000157109190888</v>
      </c>
    </row>
    <row r="96" spans="1:16" x14ac:dyDescent="0.25">
      <c r="A96" t="s">
        <v>358</v>
      </c>
      <c r="B96" s="1">
        <v>45415</v>
      </c>
      <c r="C96" t="s">
        <v>359</v>
      </c>
      <c r="D96" t="s">
        <v>48</v>
      </c>
      <c r="E96">
        <v>1772.04</v>
      </c>
      <c r="F96">
        <v>5</v>
      </c>
      <c r="G96">
        <v>531.61</v>
      </c>
      <c r="H96">
        <v>0.15</v>
      </c>
      <c r="I96" t="s">
        <v>359</v>
      </c>
      <c r="J96" t="s">
        <v>360</v>
      </c>
      <c r="K96" t="s">
        <v>17</v>
      </c>
      <c r="L96" t="s">
        <v>361</v>
      </c>
      <c r="M96" t="s">
        <v>56</v>
      </c>
      <c r="N96" t="s">
        <v>3966</v>
      </c>
      <c r="P96">
        <f t="shared" si="1"/>
        <v>0.29999887135730574</v>
      </c>
    </row>
    <row r="97" spans="1:16" x14ac:dyDescent="0.25">
      <c r="A97" t="s">
        <v>362</v>
      </c>
      <c r="B97" s="1">
        <v>45073</v>
      </c>
      <c r="C97" t="s">
        <v>363</v>
      </c>
      <c r="D97" t="s">
        <v>48</v>
      </c>
      <c r="E97">
        <v>2435.5500000000002</v>
      </c>
      <c r="F97">
        <v>18</v>
      </c>
      <c r="G97">
        <v>730.67</v>
      </c>
      <c r="H97">
        <v>0.05</v>
      </c>
      <c r="I97" t="s">
        <v>363</v>
      </c>
      <c r="J97" t="s">
        <v>364</v>
      </c>
      <c r="K97" t="s">
        <v>71</v>
      </c>
      <c r="L97" t="s">
        <v>25</v>
      </c>
      <c r="M97" t="s">
        <v>26</v>
      </c>
      <c r="N97" t="s">
        <v>3968</v>
      </c>
      <c r="P97">
        <f t="shared" si="1"/>
        <v>0.30000205292439075</v>
      </c>
    </row>
    <row r="98" spans="1:16" x14ac:dyDescent="0.25">
      <c r="A98" t="s">
        <v>365</v>
      </c>
      <c r="B98" s="1">
        <v>44931</v>
      </c>
      <c r="C98" t="s">
        <v>366</v>
      </c>
      <c r="D98" t="s">
        <v>29</v>
      </c>
      <c r="E98">
        <v>6990.24</v>
      </c>
      <c r="F98">
        <v>12</v>
      </c>
      <c r="G98">
        <v>2097.0700000000002</v>
      </c>
      <c r="H98">
        <v>0</v>
      </c>
      <c r="I98" t="s">
        <v>366</v>
      </c>
      <c r="J98" t="s">
        <v>367</v>
      </c>
      <c r="K98" t="s">
        <v>17</v>
      </c>
      <c r="L98" t="s">
        <v>155</v>
      </c>
      <c r="M98" t="s">
        <v>111</v>
      </c>
      <c r="N98" t="s">
        <v>3968</v>
      </c>
      <c r="P98">
        <f t="shared" si="1"/>
        <v>0.29999971388679075</v>
      </c>
    </row>
    <row r="99" spans="1:16" x14ac:dyDescent="0.25">
      <c r="A99" t="s">
        <v>368</v>
      </c>
      <c r="B99" s="1">
        <v>45798</v>
      </c>
      <c r="C99" t="s">
        <v>369</v>
      </c>
      <c r="D99" t="s">
        <v>36</v>
      </c>
      <c r="E99">
        <v>2202.52</v>
      </c>
      <c r="F99">
        <v>20</v>
      </c>
      <c r="G99">
        <v>660.76</v>
      </c>
      <c r="H99">
        <v>0.15</v>
      </c>
      <c r="I99" t="s">
        <v>369</v>
      </c>
      <c r="J99" t="s">
        <v>370</v>
      </c>
      <c r="K99" t="s">
        <v>17</v>
      </c>
      <c r="L99" t="s">
        <v>99</v>
      </c>
      <c r="M99" t="s">
        <v>56</v>
      </c>
      <c r="N99" t="s">
        <v>3966</v>
      </c>
      <c r="P99">
        <f t="shared" si="1"/>
        <v>0.30000181610155641</v>
      </c>
    </row>
    <row r="100" spans="1:16" x14ac:dyDescent="0.25">
      <c r="A100" t="s">
        <v>371</v>
      </c>
      <c r="B100" s="1">
        <v>45128</v>
      </c>
      <c r="C100" t="s">
        <v>372</v>
      </c>
      <c r="D100" t="s">
        <v>91</v>
      </c>
      <c r="E100">
        <v>7340.94</v>
      </c>
      <c r="F100">
        <v>17</v>
      </c>
      <c r="G100">
        <v>2202.2800000000002</v>
      </c>
      <c r="H100">
        <v>0</v>
      </c>
      <c r="I100" t="s">
        <v>372</v>
      </c>
      <c r="J100" t="s">
        <v>174</v>
      </c>
      <c r="K100" t="s">
        <v>38</v>
      </c>
      <c r="L100" t="s">
        <v>318</v>
      </c>
      <c r="M100" t="s">
        <v>266</v>
      </c>
      <c r="N100" t="s">
        <v>3967</v>
      </c>
      <c r="P100">
        <f t="shared" si="1"/>
        <v>0.29999972755532672</v>
      </c>
    </row>
    <row r="101" spans="1:16" x14ac:dyDescent="0.25">
      <c r="A101" t="s">
        <v>373</v>
      </c>
      <c r="B101" s="1">
        <v>45802</v>
      </c>
      <c r="C101" t="s">
        <v>374</v>
      </c>
      <c r="D101" t="s">
        <v>15</v>
      </c>
      <c r="E101">
        <v>237.75</v>
      </c>
      <c r="F101">
        <v>15</v>
      </c>
      <c r="G101">
        <v>71.33</v>
      </c>
      <c r="H101">
        <v>0</v>
      </c>
      <c r="I101" t="s">
        <v>374</v>
      </c>
      <c r="J101" t="s">
        <v>375</v>
      </c>
      <c r="K101" t="s">
        <v>17</v>
      </c>
      <c r="L101" t="s">
        <v>143</v>
      </c>
      <c r="M101" t="s">
        <v>144</v>
      </c>
      <c r="N101" t="s">
        <v>3968</v>
      </c>
      <c r="P101">
        <f t="shared" si="1"/>
        <v>0.30002103049421663</v>
      </c>
    </row>
    <row r="102" spans="1:16" x14ac:dyDescent="0.25">
      <c r="A102" t="s">
        <v>376</v>
      </c>
      <c r="B102" s="1">
        <v>44997</v>
      </c>
      <c r="C102" t="s">
        <v>377</v>
      </c>
      <c r="D102" t="s">
        <v>91</v>
      </c>
      <c r="E102">
        <v>7443.48</v>
      </c>
      <c r="F102">
        <v>17</v>
      </c>
      <c r="G102">
        <v>2233.0500000000002</v>
      </c>
      <c r="H102">
        <v>0.15</v>
      </c>
      <c r="I102" t="s">
        <v>377</v>
      </c>
      <c r="J102" t="s">
        <v>378</v>
      </c>
      <c r="K102" t="s">
        <v>24</v>
      </c>
      <c r="L102" t="s">
        <v>185</v>
      </c>
      <c r="M102" t="s">
        <v>111</v>
      </c>
      <c r="N102" t="s">
        <v>3968</v>
      </c>
      <c r="P102">
        <f t="shared" si="1"/>
        <v>0.30000080607457807</v>
      </c>
    </row>
    <row r="103" spans="1:16" x14ac:dyDescent="0.25">
      <c r="A103" t="s">
        <v>379</v>
      </c>
      <c r="B103" s="1">
        <v>45612</v>
      </c>
      <c r="C103" t="s">
        <v>377</v>
      </c>
      <c r="D103" t="s">
        <v>91</v>
      </c>
      <c r="E103">
        <v>9870.1200000000008</v>
      </c>
      <c r="F103">
        <v>20</v>
      </c>
      <c r="G103">
        <v>2961.04</v>
      </c>
      <c r="H103">
        <v>0.1</v>
      </c>
      <c r="I103" t="s">
        <v>377</v>
      </c>
      <c r="J103" t="s">
        <v>378</v>
      </c>
      <c r="K103" t="s">
        <v>24</v>
      </c>
      <c r="L103" t="s">
        <v>185</v>
      </c>
      <c r="M103" t="s">
        <v>111</v>
      </c>
      <c r="N103" t="s">
        <v>3968</v>
      </c>
      <c r="P103">
        <f t="shared" si="1"/>
        <v>0.30000040526356314</v>
      </c>
    </row>
    <row r="104" spans="1:16" x14ac:dyDescent="0.25">
      <c r="A104" t="s">
        <v>380</v>
      </c>
      <c r="B104" s="1">
        <v>45249</v>
      </c>
      <c r="C104" t="s">
        <v>381</v>
      </c>
      <c r="D104" t="s">
        <v>15</v>
      </c>
      <c r="E104">
        <v>7992.62</v>
      </c>
      <c r="F104">
        <v>16</v>
      </c>
      <c r="G104">
        <v>2397.7800000000002</v>
      </c>
      <c r="H104">
        <v>0.05</v>
      </c>
      <c r="I104" t="s">
        <v>381</v>
      </c>
      <c r="J104" t="s">
        <v>382</v>
      </c>
      <c r="K104" t="s">
        <v>31</v>
      </c>
      <c r="L104" t="s">
        <v>383</v>
      </c>
      <c r="M104" t="s">
        <v>384</v>
      </c>
      <c r="N104" t="s">
        <v>3966</v>
      </c>
      <c r="P104">
        <f t="shared" si="1"/>
        <v>0.29999924930748617</v>
      </c>
    </row>
    <row r="105" spans="1:16" x14ac:dyDescent="0.25">
      <c r="A105" t="s">
        <v>385</v>
      </c>
      <c r="B105" s="1">
        <v>45669</v>
      </c>
      <c r="C105" t="s">
        <v>386</v>
      </c>
      <c r="D105" t="s">
        <v>15</v>
      </c>
      <c r="E105">
        <v>5862.17</v>
      </c>
      <c r="F105">
        <v>15</v>
      </c>
      <c r="G105">
        <v>1758.65</v>
      </c>
      <c r="H105">
        <v>0.05</v>
      </c>
      <c r="I105" t="s">
        <v>386</v>
      </c>
      <c r="J105" t="s">
        <v>387</v>
      </c>
      <c r="K105" t="s">
        <v>38</v>
      </c>
      <c r="L105" t="s">
        <v>388</v>
      </c>
      <c r="M105" t="s">
        <v>389</v>
      </c>
      <c r="N105" t="s">
        <v>3966</v>
      </c>
      <c r="P105">
        <f t="shared" si="1"/>
        <v>0.29999982941470482</v>
      </c>
    </row>
    <row r="106" spans="1:16" x14ac:dyDescent="0.25">
      <c r="A106" t="s">
        <v>390</v>
      </c>
      <c r="B106" s="1">
        <v>45014</v>
      </c>
      <c r="C106" t="s">
        <v>391</v>
      </c>
      <c r="D106" t="s">
        <v>48</v>
      </c>
      <c r="E106">
        <v>9575.15</v>
      </c>
      <c r="F106">
        <v>19</v>
      </c>
      <c r="G106">
        <v>2872.54</v>
      </c>
      <c r="H106">
        <v>0.1</v>
      </c>
      <c r="I106" t="s">
        <v>391</v>
      </c>
      <c r="J106" t="s">
        <v>392</v>
      </c>
      <c r="K106" t="s">
        <v>31</v>
      </c>
      <c r="L106" t="s">
        <v>25</v>
      </c>
      <c r="M106" t="s">
        <v>26</v>
      </c>
      <c r="N106" t="s">
        <v>3966</v>
      </c>
      <c r="P106">
        <f t="shared" si="1"/>
        <v>0.29999947781496894</v>
      </c>
    </row>
    <row r="107" spans="1:16" x14ac:dyDescent="0.25">
      <c r="A107" t="s">
        <v>393</v>
      </c>
      <c r="B107" s="1">
        <v>45717</v>
      </c>
      <c r="C107" t="s">
        <v>394</v>
      </c>
      <c r="D107" t="s">
        <v>29</v>
      </c>
      <c r="E107">
        <v>1367.24</v>
      </c>
      <c r="F107">
        <v>8</v>
      </c>
      <c r="G107">
        <v>410.17</v>
      </c>
      <c r="H107">
        <v>0.05</v>
      </c>
      <c r="I107" t="s">
        <v>394</v>
      </c>
      <c r="J107" t="s">
        <v>395</v>
      </c>
      <c r="K107" t="s">
        <v>31</v>
      </c>
      <c r="L107" t="s">
        <v>396</v>
      </c>
      <c r="M107" t="s">
        <v>56</v>
      </c>
      <c r="N107" t="s">
        <v>3966</v>
      </c>
      <c r="P107">
        <f t="shared" si="1"/>
        <v>0.29999853719902869</v>
      </c>
    </row>
    <row r="108" spans="1:16" x14ac:dyDescent="0.25">
      <c r="A108" t="s">
        <v>397</v>
      </c>
      <c r="B108" s="1">
        <v>45217</v>
      </c>
      <c r="C108" t="s">
        <v>398</v>
      </c>
      <c r="D108" t="s">
        <v>36</v>
      </c>
      <c r="E108">
        <v>5040.33</v>
      </c>
      <c r="F108">
        <v>12</v>
      </c>
      <c r="G108">
        <v>1512.1</v>
      </c>
      <c r="H108">
        <v>0.15</v>
      </c>
      <c r="I108" t="s">
        <v>398</v>
      </c>
      <c r="J108" t="s">
        <v>399</v>
      </c>
      <c r="K108" t="s">
        <v>31</v>
      </c>
      <c r="L108" t="s">
        <v>143</v>
      </c>
      <c r="M108" t="s">
        <v>144</v>
      </c>
      <c r="N108" t="s">
        <v>3966</v>
      </c>
      <c r="P108">
        <f t="shared" si="1"/>
        <v>0.30000019839970793</v>
      </c>
    </row>
    <row r="109" spans="1:16" x14ac:dyDescent="0.25">
      <c r="A109" t="s">
        <v>400</v>
      </c>
      <c r="B109" s="1">
        <v>45760</v>
      </c>
      <c r="C109" t="s">
        <v>401</v>
      </c>
      <c r="D109" t="s">
        <v>29</v>
      </c>
      <c r="E109">
        <v>4629.8999999999996</v>
      </c>
      <c r="F109">
        <v>10</v>
      </c>
      <c r="G109">
        <v>1388.97</v>
      </c>
      <c r="H109">
        <v>0</v>
      </c>
      <c r="I109" t="s">
        <v>401</v>
      </c>
      <c r="J109" t="s">
        <v>402</v>
      </c>
      <c r="K109" t="s">
        <v>17</v>
      </c>
      <c r="L109" t="s">
        <v>403</v>
      </c>
      <c r="M109" t="s">
        <v>26</v>
      </c>
      <c r="N109" t="s">
        <v>3966</v>
      </c>
      <c r="P109">
        <f t="shared" si="1"/>
        <v>0.30000000000000004</v>
      </c>
    </row>
    <row r="110" spans="1:16" x14ac:dyDescent="0.25">
      <c r="A110" t="s">
        <v>404</v>
      </c>
      <c r="B110" s="1">
        <v>45790</v>
      </c>
      <c r="C110" t="s">
        <v>405</v>
      </c>
      <c r="D110" t="s">
        <v>15</v>
      </c>
      <c r="E110">
        <v>3060.6</v>
      </c>
      <c r="F110">
        <v>7</v>
      </c>
      <c r="G110">
        <v>918.18</v>
      </c>
      <c r="H110">
        <v>0.05</v>
      </c>
      <c r="I110" t="s">
        <v>405</v>
      </c>
      <c r="J110" t="s">
        <v>406</v>
      </c>
      <c r="K110" t="s">
        <v>38</v>
      </c>
      <c r="L110" t="s">
        <v>407</v>
      </c>
      <c r="M110" t="s">
        <v>266</v>
      </c>
      <c r="N110" t="s">
        <v>3966</v>
      </c>
      <c r="P110">
        <f t="shared" si="1"/>
        <v>0.3</v>
      </c>
    </row>
    <row r="111" spans="1:16" x14ac:dyDescent="0.25">
      <c r="A111" t="s">
        <v>408</v>
      </c>
      <c r="B111" s="1">
        <v>45403</v>
      </c>
      <c r="C111" t="s">
        <v>409</v>
      </c>
      <c r="D111" t="s">
        <v>41</v>
      </c>
      <c r="E111">
        <v>4998.75</v>
      </c>
      <c r="F111">
        <v>17</v>
      </c>
      <c r="G111">
        <v>1499.62</v>
      </c>
      <c r="H111">
        <v>0.05</v>
      </c>
      <c r="I111" t="s">
        <v>409</v>
      </c>
      <c r="J111" t="s">
        <v>410</v>
      </c>
      <c r="K111" t="s">
        <v>71</v>
      </c>
      <c r="L111" t="s">
        <v>411</v>
      </c>
      <c r="M111" t="s">
        <v>412</v>
      </c>
      <c r="N111" t="s">
        <v>3968</v>
      </c>
      <c r="P111">
        <f t="shared" si="1"/>
        <v>0.29999899974993749</v>
      </c>
    </row>
    <row r="112" spans="1:16" x14ac:dyDescent="0.25">
      <c r="A112" t="s">
        <v>413</v>
      </c>
      <c r="B112" s="1">
        <v>45688</v>
      </c>
      <c r="C112" t="s">
        <v>414</v>
      </c>
      <c r="D112" t="s">
        <v>48</v>
      </c>
      <c r="E112">
        <v>307.64</v>
      </c>
      <c r="F112">
        <v>1</v>
      </c>
      <c r="G112">
        <v>92.29</v>
      </c>
      <c r="H112">
        <v>0.05</v>
      </c>
      <c r="I112" t="s">
        <v>414</v>
      </c>
      <c r="J112" t="s">
        <v>415</v>
      </c>
      <c r="K112" t="s">
        <v>38</v>
      </c>
      <c r="L112" t="s">
        <v>82</v>
      </c>
      <c r="M112" t="s">
        <v>83</v>
      </c>
      <c r="N112" t="s">
        <v>3967</v>
      </c>
      <c r="P112">
        <f t="shared" si="1"/>
        <v>0.29999349889481214</v>
      </c>
    </row>
    <row r="113" spans="1:16" x14ac:dyDescent="0.25">
      <c r="A113" t="s">
        <v>416</v>
      </c>
      <c r="B113" s="1">
        <v>45730</v>
      </c>
      <c r="C113" t="s">
        <v>417</v>
      </c>
      <c r="D113" t="s">
        <v>36</v>
      </c>
      <c r="E113">
        <v>5030.7</v>
      </c>
      <c r="F113">
        <v>10</v>
      </c>
      <c r="G113">
        <v>1509.21</v>
      </c>
      <c r="H113">
        <v>0</v>
      </c>
      <c r="I113" t="s">
        <v>417</v>
      </c>
      <c r="J113" t="s">
        <v>418</v>
      </c>
      <c r="K113" t="s">
        <v>38</v>
      </c>
      <c r="L113" t="s">
        <v>419</v>
      </c>
      <c r="M113" t="s">
        <v>266</v>
      </c>
      <c r="N113" t="s">
        <v>3966</v>
      </c>
      <c r="P113">
        <f t="shared" si="1"/>
        <v>0.30000000000000004</v>
      </c>
    </row>
    <row r="114" spans="1:16" x14ac:dyDescent="0.25">
      <c r="A114" t="s">
        <v>420</v>
      </c>
      <c r="B114" s="1">
        <v>45438</v>
      </c>
      <c r="C114" t="s">
        <v>421</v>
      </c>
      <c r="D114" t="s">
        <v>15</v>
      </c>
      <c r="E114">
        <v>8358.56</v>
      </c>
      <c r="F114">
        <v>20</v>
      </c>
      <c r="G114">
        <v>2507.5700000000002</v>
      </c>
      <c r="H114">
        <v>0.15</v>
      </c>
      <c r="I114" t="s">
        <v>421</v>
      </c>
      <c r="J114" t="s">
        <v>422</v>
      </c>
      <c r="K114" t="s">
        <v>71</v>
      </c>
      <c r="L114" t="s">
        <v>423</v>
      </c>
      <c r="M114" t="s">
        <v>244</v>
      </c>
      <c r="N114" t="s">
        <v>3966</v>
      </c>
      <c r="P114">
        <f t="shared" si="1"/>
        <v>0.30000023927566477</v>
      </c>
    </row>
    <row r="115" spans="1:16" x14ac:dyDescent="0.25">
      <c r="A115" t="s">
        <v>424</v>
      </c>
      <c r="B115" s="1">
        <v>45129</v>
      </c>
      <c r="C115" t="s">
        <v>425</v>
      </c>
      <c r="D115" t="s">
        <v>22</v>
      </c>
      <c r="E115">
        <v>7565.47</v>
      </c>
      <c r="F115">
        <v>17</v>
      </c>
      <c r="G115">
        <v>2269.64</v>
      </c>
      <c r="H115">
        <v>0.05</v>
      </c>
      <c r="I115" t="s">
        <v>425</v>
      </c>
      <c r="J115" t="s">
        <v>426</v>
      </c>
      <c r="K115" t="s">
        <v>31</v>
      </c>
      <c r="L115" t="s">
        <v>427</v>
      </c>
      <c r="M115" t="s">
        <v>56</v>
      </c>
      <c r="N115" t="s">
        <v>3966</v>
      </c>
      <c r="P115">
        <f t="shared" si="1"/>
        <v>0.29999986782050553</v>
      </c>
    </row>
    <row r="116" spans="1:16" x14ac:dyDescent="0.25">
      <c r="A116" t="s">
        <v>428</v>
      </c>
      <c r="B116" s="1">
        <v>45765</v>
      </c>
      <c r="C116" t="s">
        <v>429</v>
      </c>
      <c r="D116" t="s">
        <v>15</v>
      </c>
      <c r="E116">
        <v>3409.8</v>
      </c>
      <c r="F116">
        <v>20</v>
      </c>
      <c r="G116">
        <v>1022.94</v>
      </c>
      <c r="H116">
        <v>0</v>
      </c>
      <c r="I116" t="s">
        <v>429</v>
      </c>
      <c r="J116" t="s">
        <v>430</v>
      </c>
      <c r="K116" t="s">
        <v>31</v>
      </c>
      <c r="L116" t="s">
        <v>322</v>
      </c>
      <c r="M116" t="s">
        <v>176</v>
      </c>
      <c r="N116" t="s">
        <v>3966</v>
      </c>
      <c r="P116">
        <f t="shared" si="1"/>
        <v>0.3</v>
      </c>
    </row>
    <row r="117" spans="1:16" x14ac:dyDescent="0.25">
      <c r="A117" t="s">
        <v>431</v>
      </c>
      <c r="B117" s="1">
        <v>45372</v>
      </c>
      <c r="C117" t="s">
        <v>429</v>
      </c>
      <c r="D117" t="s">
        <v>15</v>
      </c>
      <c r="E117">
        <v>3756.46</v>
      </c>
      <c r="F117">
        <v>11</v>
      </c>
      <c r="G117">
        <v>1126.94</v>
      </c>
      <c r="H117">
        <v>0.15</v>
      </c>
      <c r="I117" t="s">
        <v>429</v>
      </c>
      <c r="J117" t="s">
        <v>430</v>
      </c>
      <c r="K117" t="s">
        <v>31</v>
      </c>
      <c r="L117" t="s">
        <v>322</v>
      </c>
      <c r="M117" t="s">
        <v>176</v>
      </c>
      <c r="N117" t="s">
        <v>3966</v>
      </c>
      <c r="P117">
        <f t="shared" si="1"/>
        <v>0.30000053241615776</v>
      </c>
    </row>
    <row r="118" spans="1:16" x14ac:dyDescent="0.25">
      <c r="A118" t="s">
        <v>432</v>
      </c>
      <c r="B118" s="1">
        <v>45628</v>
      </c>
      <c r="C118" t="s">
        <v>433</v>
      </c>
      <c r="D118" t="s">
        <v>29</v>
      </c>
      <c r="E118">
        <v>3106.98</v>
      </c>
      <c r="F118">
        <v>9</v>
      </c>
      <c r="G118">
        <v>932.1</v>
      </c>
      <c r="H118">
        <v>0.05</v>
      </c>
      <c r="I118" t="s">
        <v>433</v>
      </c>
      <c r="J118" t="s">
        <v>434</v>
      </c>
      <c r="K118" t="s">
        <v>71</v>
      </c>
      <c r="L118" t="s">
        <v>435</v>
      </c>
      <c r="M118" t="s">
        <v>26</v>
      </c>
      <c r="N118" t="s">
        <v>3966</v>
      </c>
      <c r="P118">
        <f t="shared" si="1"/>
        <v>0.30000193113570089</v>
      </c>
    </row>
    <row r="119" spans="1:16" x14ac:dyDescent="0.25">
      <c r="A119" t="s">
        <v>436</v>
      </c>
      <c r="B119" s="1">
        <v>45021</v>
      </c>
      <c r="C119" t="s">
        <v>433</v>
      </c>
      <c r="D119" t="s">
        <v>41</v>
      </c>
      <c r="E119">
        <v>663</v>
      </c>
      <c r="F119">
        <v>3</v>
      </c>
      <c r="G119">
        <v>198.9</v>
      </c>
      <c r="H119">
        <v>0</v>
      </c>
      <c r="I119" t="s">
        <v>433</v>
      </c>
      <c r="J119" t="s">
        <v>434</v>
      </c>
      <c r="K119" t="s">
        <v>71</v>
      </c>
      <c r="L119" t="s">
        <v>435</v>
      </c>
      <c r="M119" t="s">
        <v>26</v>
      </c>
      <c r="N119" t="s">
        <v>3966</v>
      </c>
      <c r="P119">
        <f t="shared" si="1"/>
        <v>0.3</v>
      </c>
    </row>
    <row r="120" spans="1:16" x14ac:dyDescent="0.25">
      <c r="A120" t="s">
        <v>437</v>
      </c>
      <c r="B120" s="1">
        <v>45530</v>
      </c>
      <c r="C120" t="s">
        <v>438</v>
      </c>
      <c r="D120" t="s">
        <v>48</v>
      </c>
      <c r="E120">
        <v>1074.17</v>
      </c>
      <c r="F120">
        <v>6</v>
      </c>
      <c r="G120">
        <v>322.25</v>
      </c>
      <c r="H120">
        <v>0.05</v>
      </c>
      <c r="I120" t="s">
        <v>438</v>
      </c>
      <c r="J120" t="s">
        <v>439</v>
      </c>
      <c r="K120" t="s">
        <v>17</v>
      </c>
      <c r="L120" t="s">
        <v>440</v>
      </c>
      <c r="M120" t="s">
        <v>129</v>
      </c>
      <c r="N120" t="s">
        <v>3967</v>
      </c>
      <c r="P120">
        <f t="shared" si="1"/>
        <v>0.2999990690486608</v>
      </c>
    </row>
    <row r="121" spans="1:16" x14ac:dyDescent="0.25">
      <c r="A121" t="s">
        <v>441</v>
      </c>
      <c r="B121" s="1">
        <v>45480</v>
      </c>
      <c r="C121" t="s">
        <v>442</v>
      </c>
      <c r="D121" t="s">
        <v>29</v>
      </c>
      <c r="E121">
        <v>1698.6</v>
      </c>
      <c r="F121">
        <v>3</v>
      </c>
      <c r="G121">
        <v>509.58</v>
      </c>
      <c r="H121">
        <v>0</v>
      </c>
      <c r="I121" t="s">
        <v>442</v>
      </c>
      <c r="J121" t="s">
        <v>443</v>
      </c>
      <c r="K121" t="s">
        <v>31</v>
      </c>
      <c r="L121" t="s">
        <v>427</v>
      </c>
      <c r="M121" t="s">
        <v>56</v>
      </c>
      <c r="N121" t="s">
        <v>3966</v>
      </c>
      <c r="P121">
        <f t="shared" si="1"/>
        <v>0.3</v>
      </c>
    </row>
    <row r="122" spans="1:16" x14ac:dyDescent="0.25">
      <c r="A122" t="s">
        <v>444</v>
      </c>
      <c r="B122" s="1">
        <v>45832</v>
      </c>
      <c r="C122" t="s">
        <v>445</v>
      </c>
      <c r="D122" t="s">
        <v>91</v>
      </c>
      <c r="E122">
        <v>584.63</v>
      </c>
      <c r="F122">
        <v>5</v>
      </c>
      <c r="G122">
        <v>175.39</v>
      </c>
      <c r="H122">
        <v>0.15</v>
      </c>
      <c r="I122" t="s">
        <v>445</v>
      </c>
      <c r="J122" t="s">
        <v>446</v>
      </c>
      <c r="K122" t="s">
        <v>17</v>
      </c>
      <c r="L122" t="s">
        <v>447</v>
      </c>
      <c r="M122" t="s">
        <v>266</v>
      </c>
      <c r="N122" t="s">
        <v>3966</v>
      </c>
      <c r="P122">
        <f t="shared" si="1"/>
        <v>0.30000171048355367</v>
      </c>
    </row>
    <row r="123" spans="1:16" x14ac:dyDescent="0.25">
      <c r="A123" t="s">
        <v>448</v>
      </c>
      <c r="B123" s="1">
        <v>45198</v>
      </c>
      <c r="C123" t="s">
        <v>445</v>
      </c>
      <c r="D123" t="s">
        <v>48</v>
      </c>
      <c r="E123">
        <v>2222.3000000000002</v>
      </c>
      <c r="F123">
        <v>14</v>
      </c>
      <c r="G123">
        <v>666.69</v>
      </c>
      <c r="H123">
        <v>0.05</v>
      </c>
      <c r="I123" t="s">
        <v>445</v>
      </c>
      <c r="J123" t="s">
        <v>446</v>
      </c>
      <c r="K123" t="s">
        <v>17</v>
      </c>
      <c r="L123" t="s">
        <v>447</v>
      </c>
      <c r="M123" t="s">
        <v>266</v>
      </c>
      <c r="N123" t="s">
        <v>3966</v>
      </c>
      <c r="P123">
        <f t="shared" si="1"/>
        <v>0.3</v>
      </c>
    </row>
    <row r="124" spans="1:16" x14ac:dyDescent="0.25">
      <c r="A124" t="s">
        <v>449</v>
      </c>
      <c r="B124" s="1">
        <v>45203</v>
      </c>
      <c r="C124" t="s">
        <v>450</v>
      </c>
      <c r="D124" t="s">
        <v>48</v>
      </c>
      <c r="E124">
        <v>520.70000000000005</v>
      </c>
      <c r="F124">
        <v>16</v>
      </c>
      <c r="G124">
        <v>156.21</v>
      </c>
      <c r="H124">
        <v>0.1</v>
      </c>
      <c r="I124" t="s">
        <v>450</v>
      </c>
      <c r="J124" t="s">
        <v>451</v>
      </c>
      <c r="K124" t="s">
        <v>71</v>
      </c>
      <c r="L124" t="s">
        <v>25</v>
      </c>
      <c r="M124" t="s">
        <v>26</v>
      </c>
      <c r="N124" t="s">
        <v>3966</v>
      </c>
      <c r="P124">
        <f t="shared" si="1"/>
        <v>0.3</v>
      </c>
    </row>
    <row r="125" spans="1:16" x14ac:dyDescent="0.25">
      <c r="A125" t="s">
        <v>452</v>
      </c>
      <c r="B125" s="1">
        <v>45817</v>
      </c>
      <c r="C125" t="s">
        <v>453</v>
      </c>
      <c r="D125" t="s">
        <v>41</v>
      </c>
      <c r="E125">
        <v>140.49</v>
      </c>
      <c r="F125">
        <v>2</v>
      </c>
      <c r="G125">
        <v>42.15</v>
      </c>
      <c r="H125">
        <v>0.05</v>
      </c>
      <c r="I125" t="s">
        <v>453</v>
      </c>
      <c r="J125" t="s">
        <v>454</v>
      </c>
      <c r="K125" t="s">
        <v>38</v>
      </c>
      <c r="L125" t="s">
        <v>455</v>
      </c>
      <c r="M125" t="s">
        <v>266</v>
      </c>
      <c r="N125" t="s">
        <v>3966</v>
      </c>
      <c r="P125">
        <f t="shared" si="1"/>
        <v>0.30002135383301298</v>
      </c>
    </row>
    <row r="126" spans="1:16" x14ac:dyDescent="0.25">
      <c r="A126" t="s">
        <v>456</v>
      </c>
      <c r="B126" s="1">
        <v>45180</v>
      </c>
      <c r="C126" t="s">
        <v>457</v>
      </c>
      <c r="D126" t="s">
        <v>29</v>
      </c>
      <c r="E126">
        <v>422.42</v>
      </c>
      <c r="F126">
        <v>7</v>
      </c>
      <c r="G126">
        <v>126.72</v>
      </c>
      <c r="H126">
        <v>0.1</v>
      </c>
      <c r="I126" t="s">
        <v>457</v>
      </c>
      <c r="J126" t="s">
        <v>458</v>
      </c>
      <c r="K126" t="s">
        <v>17</v>
      </c>
      <c r="L126" t="s">
        <v>459</v>
      </c>
      <c r="M126" t="s">
        <v>129</v>
      </c>
      <c r="N126" t="s">
        <v>3968</v>
      </c>
      <c r="P126">
        <f t="shared" si="1"/>
        <v>0.29998579612707732</v>
      </c>
    </row>
    <row r="127" spans="1:16" x14ac:dyDescent="0.25">
      <c r="A127" t="s">
        <v>460</v>
      </c>
      <c r="B127" s="1">
        <v>45820</v>
      </c>
      <c r="C127" t="s">
        <v>457</v>
      </c>
      <c r="D127" t="s">
        <v>41</v>
      </c>
      <c r="E127">
        <v>6616.66</v>
      </c>
      <c r="F127">
        <v>16</v>
      </c>
      <c r="G127">
        <v>1985</v>
      </c>
      <c r="H127">
        <v>0.1</v>
      </c>
      <c r="I127" t="s">
        <v>457</v>
      </c>
      <c r="J127" t="s">
        <v>458</v>
      </c>
      <c r="K127" t="s">
        <v>17</v>
      </c>
      <c r="L127" t="s">
        <v>459</v>
      </c>
      <c r="M127" t="s">
        <v>129</v>
      </c>
      <c r="N127" t="s">
        <v>3966</v>
      </c>
      <c r="P127">
        <f t="shared" si="1"/>
        <v>0.30000030226730706</v>
      </c>
    </row>
    <row r="128" spans="1:16" x14ac:dyDescent="0.25">
      <c r="A128" t="s">
        <v>461</v>
      </c>
      <c r="B128" s="1">
        <v>45472</v>
      </c>
      <c r="C128" t="s">
        <v>462</v>
      </c>
      <c r="D128" t="s">
        <v>36</v>
      </c>
      <c r="E128">
        <v>504.15</v>
      </c>
      <c r="F128">
        <v>3</v>
      </c>
      <c r="G128">
        <v>151.25</v>
      </c>
      <c r="H128">
        <v>0</v>
      </c>
      <c r="I128" t="s">
        <v>462</v>
      </c>
      <c r="J128" t="s">
        <v>463</v>
      </c>
      <c r="K128" t="s">
        <v>17</v>
      </c>
      <c r="L128" t="s">
        <v>200</v>
      </c>
      <c r="M128" t="s">
        <v>176</v>
      </c>
      <c r="N128" t="s">
        <v>3966</v>
      </c>
      <c r="P128">
        <f t="shared" si="1"/>
        <v>0.30000991768322921</v>
      </c>
    </row>
    <row r="129" spans="1:16" x14ac:dyDescent="0.25">
      <c r="A129" t="s">
        <v>464</v>
      </c>
      <c r="B129" s="1">
        <v>45469</v>
      </c>
      <c r="C129" t="s">
        <v>465</v>
      </c>
      <c r="D129" t="s">
        <v>36</v>
      </c>
      <c r="E129">
        <v>1433.55</v>
      </c>
      <c r="F129">
        <v>20</v>
      </c>
      <c r="G129">
        <v>430.07</v>
      </c>
      <c r="H129">
        <v>0.05</v>
      </c>
      <c r="I129" t="s">
        <v>465</v>
      </c>
      <c r="J129" t="s">
        <v>466</v>
      </c>
      <c r="K129" t="s">
        <v>31</v>
      </c>
      <c r="L129" t="s">
        <v>248</v>
      </c>
      <c r="M129" t="s">
        <v>44</v>
      </c>
      <c r="N129" t="s">
        <v>3966</v>
      </c>
      <c r="P129">
        <f t="shared" si="1"/>
        <v>0.30000348784486064</v>
      </c>
    </row>
    <row r="130" spans="1:16" x14ac:dyDescent="0.25">
      <c r="A130" t="s">
        <v>467</v>
      </c>
      <c r="B130" s="1">
        <v>45374</v>
      </c>
      <c r="C130" t="s">
        <v>465</v>
      </c>
      <c r="D130" t="s">
        <v>41</v>
      </c>
      <c r="E130">
        <v>446.73</v>
      </c>
      <c r="F130">
        <v>14</v>
      </c>
      <c r="G130">
        <v>134.02000000000001</v>
      </c>
      <c r="H130">
        <v>0.15</v>
      </c>
      <c r="I130" t="s">
        <v>465</v>
      </c>
      <c r="J130" t="s">
        <v>466</v>
      </c>
      <c r="K130" t="s">
        <v>31</v>
      </c>
      <c r="L130" t="s">
        <v>248</v>
      </c>
      <c r="M130" t="s">
        <v>44</v>
      </c>
      <c r="N130" t="s">
        <v>3968</v>
      </c>
      <c r="P130">
        <f t="shared" si="1"/>
        <v>0.30000223848857255</v>
      </c>
    </row>
    <row r="131" spans="1:16" x14ac:dyDescent="0.25">
      <c r="A131" t="s">
        <v>468</v>
      </c>
      <c r="B131" s="1">
        <v>45487</v>
      </c>
      <c r="C131" t="s">
        <v>469</v>
      </c>
      <c r="D131" t="s">
        <v>91</v>
      </c>
      <c r="E131">
        <v>604.64</v>
      </c>
      <c r="F131">
        <v>4</v>
      </c>
      <c r="G131">
        <v>181.39</v>
      </c>
      <c r="H131">
        <v>0</v>
      </c>
      <c r="I131" t="s">
        <v>469</v>
      </c>
      <c r="J131" t="s">
        <v>196</v>
      </c>
      <c r="K131" t="s">
        <v>24</v>
      </c>
      <c r="L131" t="s">
        <v>470</v>
      </c>
      <c r="M131" t="s">
        <v>33</v>
      </c>
      <c r="N131" t="s">
        <v>3968</v>
      </c>
      <c r="P131">
        <f t="shared" ref="P131:P194" si="2">G131/E131</f>
        <v>0.29999669224662606</v>
      </c>
    </row>
    <row r="132" spans="1:16" x14ac:dyDescent="0.25">
      <c r="A132" t="s">
        <v>471</v>
      </c>
      <c r="B132" s="1">
        <v>45366</v>
      </c>
      <c r="C132" t="s">
        <v>472</v>
      </c>
      <c r="D132" t="s">
        <v>91</v>
      </c>
      <c r="E132">
        <v>1202.27</v>
      </c>
      <c r="F132">
        <v>17</v>
      </c>
      <c r="G132">
        <v>360.68</v>
      </c>
      <c r="H132">
        <v>0.1</v>
      </c>
      <c r="I132" t="s">
        <v>472</v>
      </c>
      <c r="J132" t="s">
        <v>473</v>
      </c>
      <c r="K132" t="s">
        <v>24</v>
      </c>
      <c r="L132" t="s">
        <v>474</v>
      </c>
      <c r="M132" t="s">
        <v>26</v>
      </c>
      <c r="N132" t="s">
        <v>3967</v>
      </c>
      <c r="P132">
        <f t="shared" si="2"/>
        <v>0.29999916824007922</v>
      </c>
    </row>
    <row r="133" spans="1:16" x14ac:dyDescent="0.25">
      <c r="A133" t="s">
        <v>475</v>
      </c>
      <c r="B133" s="1">
        <v>45766</v>
      </c>
      <c r="C133" t="s">
        <v>476</v>
      </c>
      <c r="D133" t="s">
        <v>36</v>
      </c>
      <c r="E133">
        <v>531.95000000000005</v>
      </c>
      <c r="F133">
        <v>15</v>
      </c>
      <c r="G133">
        <v>159.59</v>
      </c>
      <c r="H133">
        <v>0.05</v>
      </c>
      <c r="I133" t="s">
        <v>476</v>
      </c>
      <c r="J133" t="s">
        <v>477</v>
      </c>
      <c r="K133" t="s">
        <v>38</v>
      </c>
      <c r="L133" t="s">
        <v>155</v>
      </c>
      <c r="M133" t="s">
        <v>111</v>
      </c>
      <c r="N133" t="s">
        <v>3967</v>
      </c>
      <c r="P133">
        <f t="shared" si="2"/>
        <v>0.30000939937964094</v>
      </c>
    </row>
    <row r="134" spans="1:16" x14ac:dyDescent="0.25">
      <c r="A134" t="s">
        <v>478</v>
      </c>
      <c r="B134" s="1">
        <v>45337</v>
      </c>
      <c r="C134" t="s">
        <v>479</v>
      </c>
      <c r="D134" t="s">
        <v>91</v>
      </c>
      <c r="E134">
        <v>8216.41</v>
      </c>
      <c r="F134">
        <v>18</v>
      </c>
      <c r="G134">
        <v>2464.92</v>
      </c>
      <c r="H134">
        <v>0.15</v>
      </c>
      <c r="I134" t="s">
        <v>479</v>
      </c>
      <c r="J134" t="s">
        <v>480</v>
      </c>
      <c r="K134" t="s">
        <v>71</v>
      </c>
      <c r="L134" t="s">
        <v>481</v>
      </c>
      <c r="M134" t="s">
        <v>123</v>
      </c>
      <c r="N134" t="s">
        <v>3967</v>
      </c>
      <c r="P134">
        <f t="shared" si="2"/>
        <v>0.29999963487703268</v>
      </c>
    </row>
    <row r="135" spans="1:16" x14ac:dyDescent="0.25">
      <c r="A135" t="s">
        <v>482</v>
      </c>
      <c r="B135" s="1">
        <v>45316</v>
      </c>
      <c r="C135" t="s">
        <v>483</v>
      </c>
      <c r="D135" t="s">
        <v>29</v>
      </c>
      <c r="E135">
        <v>1078</v>
      </c>
      <c r="F135">
        <v>5</v>
      </c>
      <c r="G135">
        <v>323.39999999999998</v>
      </c>
      <c r="H135">
        <v>0</v>
      </c>
      <c r="I135" t="s">
        <v>483</v>
      </c>
      <c r="J135" t="s">
        <v>484</v>
      </c>
      <c r="K135" t="s">
        <v>17</v>
      </c>
      <c r="L135" t="s">
        <v>72</v>
      </c>
      <c r="M135" t="s">
        <v>26</v>
      </c>
      <c r="N135" t="s">
        <v>3966</v>
      </c>
      <c r="P135">
        <f t="shared" si="2"/>
        <v>0.3</v>
      </c>
    </row>
    <row r="136" spans="1:16" x14ac:dyDescent="0.25">
      <c r="A136" t="s">
        <v>485</v>
      </c>
      <c r="B136" s="1">
        <v>45762</v>
      </c>
      <c r="C136" t="s">
        <v>486</v>
      </c>
      <c r="D136" t="s">
        <v>15</v>
      </c>
      <c r="E136">
        <v>3771</v>
      </c>
      <c r="F136">
        <v>18</v>
      </c>
      <c r="G136">
        <v>1131.3</v>
      </c>
      <c r="H136">
        <v>0</v>
      </c>
      <c r="I136" t="s">
        <v>486</v>
      </c>
      <c r="J136" t="s">
        <v>487</v>
      </c>
      <c r="K136" t="s">
        <v>38</v>
      </c>
      <c r="L136" t="s">
        <v>488</v>
      </c>
      <c r="M136" t="s">
        <v>26</v>
      </c>
      <c r="N136" t="s">
        <v>3966</v>
      </c>
      <c r="P136">
        <f t="shared" si="2"/>
        <v>0.3</v>
      </c>
    </row>
    <row r="137" spans="1:16" x14ac:dyDescent="0.25">
      <c r="A137" t="s">
        <v>489</v>
      </c>
      <c r="B137" s="1">
        <v>45762</v>
      </c>
      <c r="C137" t="s">
        <v>490</v>
      </c>
      <c r="D137" t="s">
        <v>36</v>
      </c>
      <c r="E137">
        <v>2512.66</v>
      </c>
      <c r="F137">
        <v>8</v>
      </c>
      <c r="G137">
        <v>753.8</v>
      </c>
      <c r="H137">
        <v>0.1</v>
      </c>
      <c r="I137" t="s">
        <v>490</v>
      </c>
      <c r="J137" t="s">
        <v>491</v>
      </c>
      <c r="K137" t="s">
        <v>38</v>
      </c>
      <c r="L137" t="s">
        <v>143</v>
      </c>
      <c r="M137" t="s">
        <v>144</v>
      </c>
      <c r="N137" t="s">
        <v>3966</v>
      </c>
      <c r="P137">
        <f t="shared" si="2"/>
        <v>0.30000079596921192</v>
      </c>
    </row>
    <row r="138" spans="1:16" x14ac:dyDescent="0.25">
      <c r="A138" t="s">
        <v>492</v>
      </c>
      <c r="B138" s="1">
        <v>45515</v>
      </c>
      <c r="C138" t="s">
        <v>493</v>
      </c>
      <c r="D138" t="s">
        <v>41</v>
      </c>
      <c r="E138">
        <v>549.37</v>
      </c>
      <c r="F138">
        <v>2</v>
      </c>
      <c r="G138">
        <v>164.81</v>
      </c>
      <c r="H138">
        <v>0.05</v>
      </c>
      <c r="I138" t="s">
        <v>493</v>
      </c>
      <c r="J138" t="s">
        <v>494</v>
      </c>
      <c r="K138" t="s">
        <v>71</v>
      </c>
      <c r="L138" t="s">
        <v>155</v>
      </c>
      <c r="M138" t="s">
        <v>111</v>
      </c>
      <c r="N138" t="s">
        <v>3966</v>
      </c>
      <c r="P138">
        <f t="shared" si="2"/>
        <v>0.29999817973314891</v>
      </c>
    </row>
    <row r="139" spans="1:16" x14ac:dyDescent="0.25">
      <c r="A139" t="s">
        <v>495</v>
      </c>
      <c r="B139" s="1">
        <v>45402</v>
      </c>
      <c r="C139" t="s">
        <v>496</v>
      </c>
      <c r="D139" t="s">
        <v>41</v>
      </c>
      <c r="E139">
        <v>10328.6</v>
      </c>
      <c r="F139">
        <v>20</v>
      </c>
      <c r="G139">
        <v>3098.58</v>
      </c>
      <c r="H139">
        <v>0</v>
      </c>
      <c r="I139" t="s">
        <v>496</v>
      </c>
      <c r="J139" t="s">
        <v>497</v>
      </c>
      <c r="K139" t="s">
        <v>24</v>
      </c>
      <c r="L139" t="s">
        <v>143</v>
      </c>
      <c r="M139" t="s">
        <v>144</v>
      </c>
      <c r="N139" t="s">
        <v>3966</v>
      </c>
      <c r="P139">
        <f t="shared" si="2"/>
        <v>0.3</v>
      </c>
    </row>
    <row r="140" spans="1:16" x14ac:dyDescent="0.25">
      <c r="A140" t="s">
        <v>498</v>
      </c>
      <c r="B140" s="1">
        <v>45261</v>
      </c>
      <c r="C140" t="s">
        <v>496</v>
      </c>
      <c r="D140" t="s">
        <v>29</v>
      </c>
      <c r="E140">
        <v>1984.65</v>
      </c>
      <c r="F140">
        <v>5</v>
      </c>
      <c r="G140">
        <v>595.4</v>
      </c>
      <c r="H140">
        <v>0</v>
      </c>
      <c r="I140" t="s">
        <v>496</v>
      </c>
      <c r="J140" t="s">
        <v>497</v>
      </c>
      <c r="K140" t="s">
        <v>24</v>
      </c>
      <c r="L140" t="s">
        <v>143</v>
      </c>
      <c r="M140" t="s">
        <v>144</v>
      </c>
      <c r="N140" t="s">
        <v>3966</v>
      </c>
      <c r="P140">
        <f t="shared" si="2"/>
        <v>0.30000251933590305</v>
      </c>
    </row>
    <row r="141" spans="1:16" x14ac:dyDescent="0.25">
      <c r="A141" t="s">
        <v>499</v>
      </c>
      <c r="B141" s="1">
        <v>45144</v>
      </c>
      <c r="C141" t="s">
        <v>500</v>
      </c>
      <c r="D141" t="s">
        <v>15</v>
      </c>
      <c r="E141">
        <v>4831.42</v>
      </c>
      <c r="F141">
        <v>10</v>
      </c>
      <c r="G141">
        <v>1449.42</v>
      </c>
      <c r="H141">
        <v>0.05</v>
      </c>
      <c r="I141" t="s">
        <v>500</v>
      </c>
      <c r="J141" t="s">
        <v>501</v>
      </c>
      <c r="K141" t="s">
        <v>38</v>
      </c>
      <c r="L141" t="s">
        <v>314</v>
      </c>
      <c r="M141" t="s">
        <v>56</v>
      </c>
      <c r="N141" t="s">
        <v>3966</v>
      </c>
      <c r="P141">
        <f t="shared" si="2"/>
        <v>0.29999875812908006</v>
      </c>
    </row>
    <row r="142" spans="1:16" x14ac:dyDescent="0.25">
      <c r="A142" t="s">
        <v>502</v>
      </c>
      <c r="B142" s="1">
        <v>45315</v>
      </c>
      <c r="C142" t="s">
        <v>503</v>
      </c>
      <c r="D142" t="s">
        <v>15</v>
      </c>
      <c r="E142">
        <v>2570.14</v>
      </c>
      <c r="F142">
        <v>11</v>
      </c>
      <c r="G142">
        <v>771.04</v>
      </c>
      <c r="H142">
        <v>0.1</v>
      </c>
      <c r="I142" t="s">
        <v>503</v>
      </c>
      <c r="J142" t="s">
        <v>504</v>
      </c>
      <c r="K142" t="s">
        <v>38</v>
      </c>
      <c r="L142" t="s">
        <v>99</v>
      </c>
      <c r="M142" t="s">
        <v>56</v>
      </c>
      <c r="N142" t="s">
        <v>3967</v>
      </c>
      <c r="P142">
        <f t="shared" si="2"/>
        <v>0.29999922183227373</v>
      </c>
    </row>
    <row r="143" spans="1:16" x14ac:dyDescent="0.25">
      <c r="A143" t="s">
        <v>505</v>
      </c>
      <c r="B143" s="1">
        <v>45358</v>
      </c>
      <c r="C143" t="s">
        <v>506</v>
      </c>
      <c r="D143" t="s">
        <v>36</v>
      </c>
      <c r="E143">
        <v>2819.61</v>
      </c>
      <c r="F143">
        <v>9</v>
      </c>
      <c r="G143">
        <v>845.88</v>
      </c>
      <c r="H143">
        <v>0</v>
      </c>
      <c r="I143" t="s">
        <v>506</v>
      </c>
      <c r="J143" t="s">
        <v>507</v>
      </c>
      <c r="K143" t="s">
        <v>38</v>
      </c>
      <c r="L143" t="s">
        <v>155</v>
      </c>
      <c r="M143" t="s">
        <v>111</v>
      </c>
      <c r="N143" t="s">
        <v>3967</v>
      </c>
      <c r="P143">
        <f t="shared" si="2"/>
        <v>0.29999893602306699</v>
      </c>
    </row>
    <row r="144" spans="1:16" x14ac:dyDescent="0.25">
      <c r="A144" t="s">
        <v>508</v>
      </c>
      <c r="B144" s="1">
        <v>45009</v>
      </c>
      <c r="C144" t="s">
        <v>509</v>
      </c>
      <c r="D144" t="s">
        <v>29</v>
      </c>
      <c r="E144">
        <v>2766.96</v>
      </c>
      <c r="F144">
        <v>8</v>
      </c>
      <c r="G144">
        <v>830.09</v>
      </c>
      <c r="H144">
        <v>0.1</v>
      </c>
      <c r="I144" t="s">
        <v>509</v>
      </c>
      <c r="J144" t="s">
        <v>510</v>
      </c>
      <c r="K144" t="s">
        <v>24</v>
      </c>
      <c r="L144" t="s">
        <v>511</v>
      </c>
      <c r="M144" t="s">
        <v>26</v>
      </c>
      <c r="N144" t="s">
        <v>3967</v>
      </c>
      <c r="P144">
        <f t="shared" si="2"/>
        <v>0.30000072281493045</v>
      </c>
    </row>
    <row r="145" spans="1:16" x14ac:dyDescent="0.25">
      <c r="A145" t="s">
        <v>512</v>
      </c>
      <c r="B145" s="1">
        <v>45313</v>
      </c>
      <c r="C145" t="s">
        <v>509</v>
      </c>
      <c r="D145" t="s">
        <v>91</v>
      </c>
      <c r="E145">
        <v>479.57</v>
      </c>
      <c r="F145">
        <v>5</v>
      </c>
      <c r="G145">
        <v>143.87</v>
      </c>
      <c r="H145">
        <v>0.1</v>
      </c>
      <c r="I145" t="s">
        <v>509</v>
      </c>
      <c r="J145" t="s">
        <v>510</v>
      </c>
      <c r="K145" t="s">
        <v>24</v>
      </c>
      <c r="L145" t="s">
        <v>511</v>
      </c>
      <c r="M145" t="s">
        <v>26</v>
      </c>
      <c r="N145" t="s">
        <v>3967</v>
      </c>
      <c r="P145">
        <f t="shared" si="2"/>
        <v>0.29999791479867383</v>
      </c>
    </row>
    <row r="146" spans="1:16" x14ac:dyDescent="0.25">
      <c r="A146" t="s">
        <v>513</v>
      </c>
      <c r="B146" s="1">
        <v>44980</v>
      </c>
      <c r="C146" t="s">
        <v>514</v>
      </c>
      <c r="D146" t="s">
        <v>41</v>
      </c>
      <c r="E146">
        <v>92.65</v>
      </c>
      <c r="F146">
        <v>1</v>
      </c>
      <c r="G146">
        <v>27.8</v>
      </c>
      <c r="H146">
        <v>0.15</v>
      </c>
      <c r="I146" t="s">
        <v>514</v>
      </c>
      <c r="J146" t="s">
        <v>515</v>
      </c>
      <c r="K146" t="s">
        <v>17</v>
      </c>
      <c r="L146" t="s">
        <v>516</v>
      </c>
      <c r="M146" t="s">
        <v>44</v>
      </c>
      <c r="N146" t="s">
        <v>3966</v>
      </c>
      <c r="P146">
        <f t="shared" si="2"/>
        <v>0.30005396654074473</v>
      </c>
    </row>
    <row r="147" spans="1:16" x14ac:dyDescent="0.25">
      <c r="A147" t="s">
        <v>517</v>
      </c>
      <c r="B147" s="1">
        <v>45481</v>
      </c>
      <c r="C147" t="s">
        <v>518</v>
      </c>
      <c r="D147" t="s">
        <v>29</v>
      </c>
      <c r="E147">
        <v>838.44</v>
      </c>
      <c r="F147">
        <v>5</v>
      </c>
      <c r="G147">
        <v>251.53</v>
      </c>
      <c r="H147">
        <v>0.1</v>
      </c>
      <c r="I147" t="s">
        <v>518</v>
      </c>
      <c r="J147" t="s">
        <v>205</v>
      </c>
      <c r="K147" t="s">
        <v>31</v>
      </c>
      <c r="L147" t="s">
        <v>519</v>
      </c>
      <c r="M147" t="s">
        <v>412</v>
      </c>
      <c r="N147" t="s">
        <v>3966</v>
      </c>
      <c r="P147">
        <f t="shared" si="2"/>
        <v>0.2999976146176232</v>
      </c>
    </row>
    <row r="148" spans="1:16" x14ac:dyDescent="0.25">
      <c r="A148" t="s">
        <v>520</v>
      </c>
      <c r="B148" s="1">
        <v>45091</v>
      </c>
      <c r="C148" t="s">
        <v>518</v>
      </c>
      <c r="D148" t="s">
        <v>91</v>
      </c>
      <c r="E148">
        <v>2590.4</v>
      </c>
      <c r="F148">
        <v>8</v>
      </c>
      <c r="G148">
        <v>777.12</v>
      </c>
      <c r="H148">
        <v>0</v>
      </c>
      <c r="I148" t="s">
        <v>518</v>
      </c>
      <c r="J148" t="s">
        <v>205</v>
      </c>
      <c r="K148" t="s">
        <v>31</v>
      </c>
      <c r="L148" t="s">
        <v>519</v>
      </c>
      <c r="M148" t="s">
        <v>412</v>
      </c>
      <c r="N148" t="s">
        <v>3968</v>
      </c>
      <c r="P148">
        <f t="shared" si="2"/>
        <v>0.3</v>
      </c>
    </row>
    <row r="149" spans="1:16" x14ac:dyDescent="0.25">
      <c r="A149" t="s">
        <v>521</v>
      </c>
      <c r="B149" s="1">
        <v>45790</v>
      </c>
      <c r="C149" t="s">
        <v>522</v>
      </c>
      <c r="D149" t="s">
        <v>15</v>
      </c>
      <c r="E149">
        <v>5841.66</v>
      </c>
      <c r="F149">
        <v>16</v>
      </c>
      <c r="G149">
        <v>1752.5</v>
      </c>
      <c r="H149">
        <v>0.05</v>
      </c>
      <c r="I149" t="s">
        <v>522</v>
      </c>
      <c r="J149" t="s">
        <v>523</v>
      </c>
      <c r="K149" t="s">
        <v>31</v>
      </c>
      <c r="L149" t="s">
        <v>524</v>
      </c>
      <c r="M149" t="s">
        <v>266</v>
      </c>
      <c r="N149" t="s">
        <v>3967</v>
      </c>
      <c r="P149">
        <f t="shared" si="2"/>
        <v>0.30000034236843637</v>
      </c>
    </row>
    <row r="150" spans="1:16" x14ac:dyDescent="0.25">
      <c r="A150" t="s">
        <v>525</v>
      </c>
      <c r="B150" s="1">
        <v>45503</v>
      </c>
      <c r="C150" t="s">
        <v>526</v>
      </c>
      <c r="D150" t="s">
        <v>41</v>
      </c>
      <c r="E150">
        <v>2228.5</v>
      </c>
      <c r="F150">
        <v>16</v>
      </c>
      <c r="G150">
        <v>668.55</v>
      </c>
      <c r="H150">
        <v>0.15</v>
      </c>
      <c r="I150" t="s">
        <v>526</v>
      </c>
      <c r="J150" t="s">
        <v>527</v>
      </c>
      <c r="K150" t="s">
        <v>38</v>
      </c>
      <c r="L150" t="s">
        <v>72</v>
      </c>
      <c r="M150" t="s">
        <v>26</v>
      </c>
      <c r="N150" t="s">
        <v>3967</v>
      </c>
      <c r="P150">
        <f t="shared" si="2"/>
        <v>0.3</v>
      </c>
    </row>
    <row r="151" spans="1:16" x14ac:dyDescent="0.25">
      <c r="A151" t="s">
        <v>528</v>
      </c>
      <c r="B151" s="1">
        <v>45491</v>
      </c>
      <c r="C151" t="s">
        <v>529</v>
      </c>
      <c r="D151" t="s">
        <v>91</v>
      </c>
      <c r="E151">
        <v>117.05</v>
      </c>
      <c r="F151">
        <v>5</v>
      </c>
      <c r="G151">
        <v>35.119999999999997</v>
      </c>
      <c r="H151">
        <v>0</v>
      </c>
      <c r="I151" t="s">
        <v>529</v>
      </c>
      <c r="J151" t="s">
        <v>313</v>
      </c>
      <c r="K151" t="s">
        <v>17</v>
      </c>
      <c r="L151" t="s">
        <v>72</v>
      </c>
      <c r="M151" t="s">
        <v>26</v>
      </c>
      <c r="N151" t="s">
        <v>3967</v>
      </c>
      <c r="P151">
        <f t="shared" si="2"/>
        <v>0.30004271678769756</v>
      </c>
    </row>
    <row r="152" spans="1:16" x14ac:dyDescent="0.25">
      <c r="A152" t="s">
        <v>530</v>
      </c>
      <c r="B152" s="1">
        <v>45530</v>
      </c>
      <c r="C152" t="s">
        <v>531</v>
      </c>
      <c r="D152" t="s">
        <v>41</v>
      </c>
      <c r="E152">
        <v>8311.2999999999993</v>
      </c>
      <c r="F152">
        <v>20</v>
      </c>
      <c r="G152">
        <v>2493.39</v>
      </c>
      <c r="H152">
        <v>0.15</v>
      </c>
      <c r="I152" t="s">
        <v>531</v>
      </c>
      <c r="J152" t="s">
        <v>532</v>
      </c>
      <c r="K152" t="s">
        <v>17</v>
      </c>
      <c r="L152" t="s">
        <v>533</v>
      </c>
      <c r="M152" t="s">
        <v>26</v>
      </c>
      <c r="N152" t="s">
        <v>3967</v>
      </c>
      <c r="P152">
        <f t="shared" si="2"/>
        <v>0.3</v>
      </c>
    </row>
    <row r="153" spans="1:16" x14ac:dyDescent="0.25">
      <c r="A153" t="s">
        <v>534</v>
      </c>
      <c r="B153" s="1">
        <v>45816</v>
      </c>
      <c r="C153" t="s">
        <v>535</v>
      </c>
      <c r="D153" t="s">
        <v>91</v>
      </c>
      <c r="E153">
        <v>3009.52</v>
      </c>
      <c r="F153">
        <v>7</v>
      </c>
      <c r="G153">
        <v>902.86</v>
      </c>
      <c r="H153">
        <v>0.05</v>
      </c>
      <c r="I153" t="s">
        <v>535</v>
      </c>
      <c r="J153" t="s">
        <v>536</v>
      </c>
      <c r="K153" t="s">
        <v>71</v>
      </c>
      <c r="L153" t="s">
        <v>82</v>
      </c>
      <c r="M153" t="s">
        <v>83</v>
      </c>
      <c r="N153" t="s">
        <v>3968</v>
      </c>
      <c r="P153">
        <f t="shared" si="2"/>
        <v>0.30000132911560651</v>
      </c>
    </row>
    <row r="154" spans="1:16" x14ac:dyDescent="0.25">
      <c r="A154" t="s">
        <v>537</v>
      </c>
      <c r="B154" s="1">
        <v>45793</v>
      </c>
      <c r="C154" t="s">
        <v>538</v>
      </c>
      <c r="D154" t="s">
        <v>29</v>
      </c>
      <c r="E154">
        <v>5117.6400000000003</v>
      </c>
      <c r="F154">
        <v>11</v>
      </c>
      <c r="G154">
        <v>1535.29</v>
      </c>
      <c r="H154">
        <v>0</v>
      </c>
      <c r="I154" t="s">
        <v>538</v>
      </c>
      <c r="J154" t="s">
        <v>277</v>
      </c>
      <c r="K154" t="s">
        <v>31</v>
      </c>
      <c r="L154" t="s">
        <v>99</v>
      </c>
      <c r="M154" t="s">
        <v>56</v>
      </c>
      <c r="N154" t="s">
        <v>3968</v>
      </c>
      <c r="P154">
        <f t="shared" si="2"/>
        <v>0.29999960919486324</v>
      </c>
    </row>
    <row r="155" spans="1:16" x14ac:dyDescent="0.25">
      <c r="A155" t="s">
        <v>539</v>
      </c>
      <c r="B155" s="1">
        <v>45448</v>
      </c>
      <c r="C155" t="s">
        <v>540</v>
      </c>
      <c r="D155" t="s">
        <v>15</v>
      </c>
      <c r="E155">
        <v>477.36</v>
      </c>
      <c r="F155">
        <v>1</v>
      </c>
      <c r="G155">
        <v>143.21</v>
      </c>
      <c r="H155">
        <v>0.15</v>
      </c>
      <c r="I155" t="s">
        <v>540</v>
      </c>
      <c r="J155" t="s">
        <v>541</v>
      </c>
      <c r="K155" t="s">
        <v>17</v>
      </c>
      <c r="L155" t="s">
        <v>25</v>
      </c>
      <c r="M155" t="s">
        <v>26</v>
      </c>
      <c r="N155" t="s">
        <v>3967</v>
      </c>
      <c r="P155">
        <f t="shared" si="2"/>
        <v>0.30000418971007209</v>
      </c>
    </row>
    <row r="156" spans="1:16" x14ac:dyDescent="0.25">
      <c r="A156" t="s">
        <v>542</v>
      </c>
      <c r="B156" s="1">
        <v>45491</v>
      </c>
      <c r="C156" t="s">
        <v>540</v>
      </c>
      <c r="D156" t="s">
        <v>22</v>
      </c>
      <c r="E156">
        <v>6197.1</v>
      </c>
      <c r="F156">
        <v>14</v>
      </c>
      <c r="G156">
        <v>1859.13</v>
      </c>
      <c r="H156">
        <v>0</v>
      </c>
      <c r="I156" t="s">
        <v>540</v>
      </c>
      <c r="J156" t="s">
        <v>541</v>
      </c>
      <c r="K156" t="s">
        <v>17</v>
      </c>
      <c r="L156" t="s">
        <v>25</v>
      </c>
      <c r="M156" t="s">
        <v>26</v>
      </c>
      <c r="N156" t="s">
        <v>3967</v>
      </c>
      <c r="P156">
        <f t="shared" si="2"/>
        <v>0.3</v>
      </c>
    </row>
    <row r="157" spans="1:16" x14ac:dyDescent="0.25">
      <c r="A157" t="s">
        <v>543</v>
      </c>
      <c r="B157" s="1">
        <v>45186</v>
      </c>
      <c r="C157" t="s">
        <v>544</v>
      </c>
      <c r="D157" t="s">
        <v>15</v>
      </c>
      <c r="E157">
        <v>5633.28</v>
      </c>
      <c r="F157">
        <v>12</v>
      </c>
      <c r="G157">
        <v>1689.98</v>
      </c>
      <c r="H157">
        <v>0</v>
      </c>
      <c r="I157" t="s">
        <v>544</v>
      </c>
      <c r="J157" t="s">
        <v>95</v>
      </c>
      <c r="K157" t="s">
        <v>71</v>
      </c>
      <c r="L157" t="s">
        <v>220</v>
      </c>
      <c r="M157" t="s">
        <v>221</v>
      </c>
      <c r="N157" t="s">
        <v>3967</v>
      </c>
      <c r="P157">
        <f t="shared" si="2"/>
        <v>0.29999928993410591</v>
      </c>
    </row>
    <row r="158" spans="1:16" x14ac:dyDescent="0.25">
      <c r="A158" t="s">
        <v>545</v>
      </c>
      <c r="B158" s="1">
        <v>44998</v>
      </c>
      <c r="C158" t="s">
        <v>546</v>
      </c>
      <c r="D158" t="s">
        <v>48</v>
      </c>
      <c r="E158">
        <v>3308.64</v>
      </c>
      <c r="F158">
        <v>14</v>
      </c>
      <c r="G158">
        <v>992.59</v>
      </c>
      <c r="H158">
        <v>0.05</v>
      </c>
      <c r="I158" t="s">
        <v>546</v>
      </c>
      <c r="J158" t="s">
        <v>547</v>
      </c>
      <c r="K158" t="s">
        <v>17</v>
      </c>
      <c r="L158" t="s">
        <v>548</v>
      </c>
      <c r="M158" t="s">
        <v>33</v>
      </c>
      <c r="N158" t="s">
        <v>3968</v>
      </c>
      <c r="P158">
        <f t="shared" si="2"/>
        <v>0.2999993955220272</v>
      </c>
    </row>
    <row r="159" spans="1:16" x14ac:dyDescent="0.25">
      <c r="A159" t="s">
        <v>549</v>
      </c>
      <c r="B159" s="1">
        <v>45014</v>
      </c>
      <c r="C159" t="s">
        <v>550</v>
      </c>
      <c r="D159" t="s">
        <v>36</v>
      </c>
      <c r="E159">
        <v>2148.1</v>
      </c>
      <c r="F159">
        <v>4</v>
      </c>
      <c r="G159">
        <v>644.42999999999995</v>
      </c>
      <c r="H159">
        <v>0.05</v>
      </c>
      <c r="I159" t="s">
        <v>550</v>
      </c>
      <c r="J159" t="s">
        <v>551</v>
      </c>
      <c r="K159" t="s">
        <v>24</v>
      </c>
      <c r="L159" t="s">
        <v>265</v>
      </c>
      <c r="M159" t="s">
        <v>266</v>
      </c>
      <c r="N159" t="s">
        <v>3966</v>
      </c>
      <c r="P159">
        <f t="shared" si="2"/>
        <v>0.3</v>
      </c>
    </row>
    <row r="160" spans="1:16" x14ac:dyDescent="0.25">
      <c r="A160" t="s">
        <v>552</v>
      </c>
      <c r="B160" s="1">
        <v>45121</v>
      </c>
      <c r="C160" t="s">
        <v>553</v>
      </c>
      <c r="D160" t="s">
        <v>29</v>
      </c>
      <c r="E160">
        <v>2790.72</v>
      </c>
      <c r="F160">
        <v>12</v>
      </c>
      <c r="G160">
        <v>837.22</v>
      </c>
      <c r="H160">
        <v>0.05</v>
      </c>
      <c r="I160" t="s">
        <v>553</v>
      </c>
      <c r="J160" t="s">
        <v>554</v>
      </c>
      <c r="K160" t="s">
        <v>38</v>
      </c>
      <c r="L160" t="s">
        <v>555</v>
      </c>
      <c r="M160" t="s">
        <v>244</v>
      </c>
      <c r="N160" t="s">
        <v>3966</v>
      </c>
      <c r="P160">
        <f t="shared" si="2"/>
        <v>0.3000014333218668</v>
      </c>
    </row>
    <row r="161" spans="1:16" x14ac:dyDescent="0.25">
      <c r="A161" t="s">
        <v>556</v>
      </c>
      <c r="B161" s="1">
        <v>45373</v>
      </c>
      <c r="C161" t="s">
        <v>557</v>
      </c>
      <c r="D161" t="s">
        <v>15</v>
      </c>
      <c r="E161">
        <v>3592.99</v>
      </c>
      <c r="F161">
        <v>13</v>
      </c>
      <c r="G161">
        <v>1077.9000000000001</v>
      </c>
      <c r="H161">
        <v>0.05</v>
      </c>
      <c r="I161" t="s">
        <v>557</v>
      </c>
      <c r="J161" t="s">
        <v>302</v>
      </c>
      <c r="K161" t="s">
        <v>71</v>
      </c>
      <c r="L161" t="s">
        <v>558</v>
      </c>
      <c r="M161" t="s">
        <v>412</v>
      </c>
      <c r="N161" t="s">
        <v>3966</v>
      </c>
      <c r="P161">
        <f t="shared" si="2"/>
        <v>0.30000083495918445</v>
      </c>
    </row>
    <row r="162" spans="1:16" x14ac:dyDescent="0.25">
      <c r="A162" t="s">
        <v>559</v>
      </c>
      <c r="B162" s="1">
        <v>45426</v>
      </c>
      <c r="C162" t="s">
        <v>560</v>
      </c>
      <c r="D162" t="s">
        <v>15</v>
      </c>
      <c r="E162">
        <v>2271.9499999999998</v>
      </c>
      <c r="F162">
        <v>11</v>
      </c>
      <c r="G162">
        <v>681.59</v>
      </c>
      <c r="H162">
        <v>0.1</v>
      </c>
      <c r="I162" t="s">
        <v>560</v>
      </c>
      <c r="J162" t="s">
        <v>451</v>
      </c>
      <c r="K162" t="s">
        <v>38</v>
      </c>
      <c r="L162" t="s">
        <v>155</v>
      </c>
      <c r="M162" t="s">
        <v>111</v>
      </c>
      <c r="N162" t="s">
        <v>3966</v>
      </c>
      <c r="P162">
        <f t="shared" si="2"/>
        <v>0.30000220075265743</v>
      </c>
    </row>
    <row r="163" spans="1:16" x14ac:dyDescent="0.25">
      <c r="A163" t="s">
        <v>561</v>
      </c>
      <c r="B163" s="1">
        <v>45076</v>
      </c>
      <c r="C163" t="s">
        <v>562</v>
      </c>
      <c r="D163" t="s">
        <v>48</v>
      </c>
      <c r="E163">
        <v>811.98</v>
      </c>
      <c r="F163">
        <v>2</v>
      </c>
      <c r="G163">
        <v>243.6</v>
      </c>
      <c r="H163">
        <v>0.05</v>
      </c>
      <c r="I163" t="s">
        <v>562</v>
      </c>
      <c r="J163" t="s">
        <v>563</v>
      </c>
      <c r="K163" t="s">
        <v>38</v>
      </c>
      <c r="L163" t="s">
        <v>143</v>
      </c>
      <c r="M163" t="s">
        <v>144</v>
      </c>
      <c r="N163" t="s">
        <v>3966</v>
      </c>
      <c r="P163">
        <f t="shared" si="2"/>
        <v>0.30000738934456511</v>
      </c>
    </row>
    <row r="164" spans="1:16" x14ac:dyDescent="0.25">
      <c r="A164" t="s">
        <v>564</v>
      </c>
      <c r="B164" s="1">
        <v>45004</v>
      </c>
      <c r="C164" t="s">
        <v>565</v>
      </c>
      <c r="D164" t="s">
        <v>22</v>
      </c>
      <c r="E164">
        <v>842.67</v>
      </c>
      <c r="F164">
        <v>2</v>
      </c>
      <c r="G164">
        <v>252.8</v>
      </c>
      <c r="H164">
        <v>0.05</v>
      </c>
      <c r="I164" t="s">
        <v>565</v>
      </c>
      <c r="J164" t="s">
        <v>179</v>
      </c>
      <c r="K164" t="s">
        <v>31</v>
      </c>
      <c r="L164" t="s">
        <v>566</v>
      </c>
      <c r="M164" t="s">
        <v>129</v>
      </c>
      <c r="N164" t="s">
        <v>3966</v>
      </c>
      <c r="P164">
        <f t="shared" si="2"/>
        <v>0.2999988132958335</v>
      </c>
    </row>
    <row r="165" spans="1:16" x14ac:dyDescent="0.25">
      <c r="A165" t="s">
        <v>567</v>
      </c>
      <c r="B165" s="1">
        <v>45147</v>
      </c>
      <c r="C165" t="s">
        <v>568</v>
      </c>
      <c r="D165" t="s">
        <v>29</v>
      </c>
      <c r="E165">
        <v>3100.96</v>
      </c>
      <c r="F165">
        <v>13</v>
      </c>
      <c r="G165">
        <v>930.29</v>
      </c>
      <c r="H165">
        <v>0.15</v>
      </c>
      <c r="I165" t="s">
        <v>568</v>
      </c>
      <c r="J165" t="s">
        <v>569</v>
      </c>
      <c r="K165" t="s">
        <v>38</v>
      </c>
      <c r="L165" t="s">
        <v>570</v>
      </c>
      <c r="M165" t="s">
        <v>412</v>
      </c>
      <c r="N165" t="s">
        <v>3966</v>
      </c>
      <c r="P165">
        <f t="shared" si="2"/>
        <v>0.30000064496156026</v>
      </c>
    </row>
    <row r="166" spans="1:16" x14ac:dyDescent="0.25">
      <c r="A166" t="s">
        <v>571</v>
      </c>
      <c r="B166" s="1">
        <v>45578</v>
      </c>
      <c r="C166" t="s">
        <v>572</v>
      </c>
      <c r="D166" t="s">
        <v>36</v>
      </c>
      <c r="E166">
        <v>4604.09</v>
      </c>
      <c r="F166">
        <v>13</v>
      </c>
      <c r="G166">
        <v>1381.23</v>
      </c>
      <c r="H166">
        <v>0.15</v>
      </c>
      <c r="I166" t="s">
        <v>572</v>
      </c>
      <c r="J166" t="s">
        <v>573</v>
      </c>
      <c r="K166" t="s">
        <v>31</v>
      </c>
      <c r="L166" t="s">
        <v>574</v>
      </c>
      <c r="M166" t="s">
        <v>165</v>
      </c>
      <c r="N166" t="s">
        <v>3966</v>
      </c>
      <c r="P166">
        <f t="shared" si="2"/>
        <v>0.30000065159456046</v>
      </c>
    </row>
    <row r="167" spans="1:16" x14ac:dyDescent="0.25">
      <c r="A167" t="s">
        <v>575</v>
      </c>
      <c r="B167" s="1">
        <v>45705</v>
      </c>
      <c r="C167" t="s">
        <v>576</v>
      </c>
      <c r="D167" t="s">
        <v>36</v>
      </c>
      <c r="E167">
        <v>6484.28</v>
      </c>
      <c r="F167">
        <v>11</v>
      </c>
      <c r="G167">
        <v>1945.28</v>
      </c>
      <c r="H167">
        <v>0</v>
      </c>
      <c r="I167" t="s">
        <v>576</v>
      </c>
      <c r="J167" t="s">
        <v>577</v>
      </c>
      <c r="K167" t="s">
        <v>17</v>
      </c>
      <c r="L167" t="s">
        <v>578</v>
      </c>
      <c r="M167" t="s">
        <v>244</v>
      </c>
      <c r="N167" t="s">
        <v>3966</v>
      </c>
      <c r="P167">
        <f t="shared" si="2"/>
        <v>0.2999993831234925</v>
      </c>
    </row>
    <row r="168" spans="1:16" x14ac:dyDescent="0.25">
      <c r="A168" t="s">
        <v>579</v>
      </c>
      <c r="B168" s="1">
        <v>45819</v>
      </c>
      <c r="C168" t="s">
        <v>580</v>
      </c>
      <c r="D168" t="s">
        <v>22</v>
      </c>
      <c r="E168">
        <v>2338.4499999999998</v>
      </c>
      <c r="F168">
        <v>18</v>
      </c>
      <c r="G168">
        <v>701.54</v>
      </c>
      <c r="H168">
        <v>0.15</v>
      </c>
      <c r="I168" t="s">
        <v>580</v>
      </c>
      <c r="J168" t="s">
        <v>581</v>
      </c>
      <c r="K168" t="s">
        <v>31</v>
      </c>
      <c r="L168" t="s">
        <v>582</v>
      </c>
      <c r="M168" t="s">
        <v>412</v>
      </c>
      <c r="N168" t="s">
        <v>3966</v>
      </c>
      <c r="P168">
        <f t="shared" si="2"/>
        <v>0.3000021381684449</v>
      </c>
    </row>
    <row r="169" spans="1:16" x14ac:dyDescent="0.25">
      <c r="A169" t="s">
        <v>583</v>
      </c>
      <c r="B169" s="1">
        <v>45652</v>
      </c>
      <c r="C169" t="s">
        <v>584</v>
      </c>
      <c r="D169" t="s">
        <v>15</v>
      </c>
      <c r="E169">
        <v>2944.96</v>
      </c>
      <c r="F169">
        <v>6</v>
      </c>
      <c r="G169">
        <v>883.49</v>
      </c>
      <c r="H169">
        <v>0.05</v>
      </c>
      <c r="I169" t="s">
        <v>584</v>
      </c>
      <c r="J169" t="s">
        <v>585</v>
      </c>
      <c r="K169" t="s">
        <v>38</v>
      </c>
      <c r="L169" t="s">
        <v>586</v>
      </c>
      <c r="M169" t="s">
        <v>33</v>
      </c>
      <c r="N169" t="s">
        <v>3966</v>
      </c>
      <c r="P169">
        <f t="shared" si="2"/>
        <v>0.30000067912637185</v>
      </c>
    </row>
    <row r="170" spans="1:16" x14ac:dyDescent="0.25">
      <c r="A170" t="s">
        <v>587</v>
      </c>
      <c r="B170" s="1">
        <v>45411</v>
      </c>
      <c r="C170" t="s">
        <v>584</v>
      </c>
      <c r="D170" t="s">
        <v>91</v>
      </c>
      <c r="E170">
        <v>654.64</v>
      </c>
      <c r="F170">
        <v>4</v>
      </c>
      <c r="G170">
        <v>196.39</v>
      </c>
      <c r="H170">
        <v>0</v>
      </c>
      <c r="I170" t="s">
        <v>584</v>
      </c>
      <c r="J170" t="s">
        <v>585</v>
      </c>
      <c r="K170" t="s">
        <v>38</v>
      </c>
      <c r="L170" t="s">
        <v>586</v>
      </c>
      <c r="M170" t="s">
        <v>33</v>
      </c>
      <c r="N170" t="s">
        <v>3966</v>
      </c>
      <c r="P170">
        <f t="shared" si="2"/>
        <v>0.29999694488573869</v>
      </c>
    </row>
    <row r="171" spans="1:16" x14ac:dyDescent="0.25">
      <c r="A171" t="s">
        <v>588</v>
      </c>
      <c r="B171" s="1">
        <v>45003</v>
      </c>
      <c r="C171" t="s">
        <v>589</v>
      </c>
      <c r="D171" t="s">
        <v>15</v>
      </c>
      <c r="E171">
        <v>7820.64</v>
      </c>
      <c r="F171">
        <v>19</v>
      </c>
      <c r="G171">
        <v>2346.19</v>
      </c>
      <c r="H171">
        <v>0.15</v>
      </c>
      <c r="I171" t="s">
        <v>589</v>
      </c>
      <c r="J171" t="s">
        <v>590</v>
      </c>
      <c r="K171" t="s">
        <v>71</v>
      </c>
      <c r="L171" t="s">
        <v>82</v>
      </c>
      <c r="M171" t="s">
        <v>83</v>
      </c>
      <c r="N171" t="s">
        <v>3966</v>
      </c>
      <c r="P171">
        <f t="shared" si="2"/>
        <v>0.29999974426645387</v>
      </c>
    </row>
    <row r="172" spans="1:16" x14ac:dyDescent="0.25">
      <c r="A172" t="s">
        <v>591</v>
      </c>
      <c r="B172" s="1">
        <v>45647</v>
      </c>
      <c r="C172" t="s">
        <v>592</v>
      </c>
      <c r="D172" t="s">
        <v>36</v>
      </c>
      <c r="E172">
        <v>3081.24</v>
      </c>
      <c r="F172">
        <v>9</v>
      </c>
      <c r="G172">
        <v>924.37</v>
      </c>
      <c r="H172">
        <v>0.1</v>
      </c>
      <c r="I172" t="s">
        <v>592</v>
      </c>
      <c r="J172" t="s">
        <v>593</v>
      </c>
      <c r="K172" t="s">
        <v>31</v>
      </c>
      <c r="L172" t="s">
        <v>143</v>
      </c>
      <c r="M172" t="s">
        <v>144</v>
      </c>
      <c r="N172" t="s">
        <v>3966</v>
      </c>
      <c r="P172">
        <f t="shared" si="2"/>
        <v>0.29999935091067237</v>
      </c>
    </row>
    <row r="173" spans="1:16" x14ac:dyDescent="0.25">
      <c r="A173" t="s">
        <v>594</v>
      </c>
      <c r="B173" s="1">
        <v>45039</v>
      </c>
      <c r="C173" t="s">
        <v>595</v>
      </c>
      <c r="D173" t="s">
        <v>36</v>
      </c>
      <c r="E173">
        <v>5085.41</v>
      </c>
      <c r="F173">
        <v>17</v>
      </c>
      <c r="G173">
        <v>1525.62</v>
      </c>
      <c r="H173">
        <v>0.1</v>
      </c>
      <c r="I173" t="s">
        <v>595</v>
      </c>
      <c r="J173" t="s">
        <v>596</v>
      </c>
      <c r="K173" t="s">
        <v>71</v>
      </c>
      <c r="L173" t="s">
        <v>597</v>
      </c>
      <c r="M173" t="s">
        <v>26</v>
      </c>
      <c r="N173" t="s">
        <v>3966</v>
      </c>
      <c r="P173">
        <f t="shared" si="2"/>
        <v>0.2999994100770636</v>
      </c>
    </row>
    <row r="174" spans="1:16" x14ac:dyDescent="0.25">
      <c r="A174" t="s">
        <v>598</v>
      </c>
      <c r="B174" s="1">
        <v>44989</v>
      </c>
      <c r="C174" t="s">
        <v>599</v>
      </c>
      <c r="D174" t="s">
        <v>48</v>
      </c>
      <c r="E174">
        <v>5221.9799999999996</v>
      </c>
      <c r="F174">
        <v>11</v>
      </c>
      <c r="G174">
        <v>1566.59</v>
      </c>
      <c r="H174">
        <v>0.15</v>
      </c>
      <c r="I174" t="s">
        <v>599</v>
      </c>
      <c r="J174" t="s">
        <v>600</v>
      </c>
      <c r="K174" t="s">
        <v>38</v>
      </c>
      <c r="L174" t="s">
        <v>601</v>
      </c>
      <c r="M174" t="s">
        <v>26</v>
      </c>
      <c r="N174" t="s">
        <v>3966</v>
      </c>
      <c r="P174">
        <f t="shared" si="2"/>
        <v>0.29999923400702416</v>
      </c>
    </row>
    <row r="175" spans="1:16" x14ac:dyDescent="0.25">
      <c r="A175" t="s">
        <v>602</v>
      </c>
      <c r="B175" s="1">
        <v>45788</v>
      </c>
      <c r="C175" t="s">
        <v>599</v>
      </c>
      <c r="D175" t="s">
        <v>36</v>
      </c>
      <c r="E175">
        <v>3005.9</v>
      </c>
      <c r="F175">
        <v>15</v>
      </c>
      <c r="G175">
        <v>901.77</v>
      </c>
      <c r="H175">
        <v>0.05</v>
      </c>
      <c r="I175" t="s">
        <v>599</v>
      </c>
      <c r="J175" t="s">
        <v>600</v>
      </c>
      <c r="K175" t="s">
        <v>38</v>
      </c>
      <c r="L175" t="s">
        <v>601</v>
      </c>
      <c r="M175" t="s">
        <v>26</v>
      </c>
      <c r="N175" t="s">
        <v>3966</v>
      </c>
      <c r="P175">
        <f t="shared" si="2"/>
        <v>0.3</v>
      </c>
    </row>
    <row r="176" spans="1:16" x14ac:dyDescent="0.25">
      <c r="A176" t="s">
        <v>603</v>
      </c>
      <c r="B176" s="1">
        <v>45354</v>
      </c>
      <c r="C176" t="s">
        <v>604</v>
      </c>
      <c r="D176" t="s">
        <v>22</v>
      </c>
      <c r="E176">
        <v>3445.2</v>
      </c>
      <c r="F176">
        <v>9</v>
      </c>
      <c r="G176">
        <v>1033.56</v>
      </c>
      <c r="H176">
        <v>0</v>
      </c>
      <c r="I176" t="s">
        <v>604</v>
      </c>
      <c r="J176" t="s">
        <v>605</v>
      </c>
      <c r="K176" t="s">
        <v>24</v>
      </c>
      <c r="L176" t="s">
        <v>606</v>
      </c>
      <c r="M176" t="s">
        <v>176</v>
      </c>
      <c r="N176" t="s">
        <v>3967</v>
      </c>
      <c r="P176">
        <f t="shared" si="2"/>
        <v>0.3</v>
      </c>
    </row>
    <row r="177" spans="1:16" x14ac:dyDescent="0.25">
      <c r="A177" t="s">
        <v>607</v>
      </c>
      <c r="B177" s="1">
        <v>45677</v>
      </c>
      <c r="C177" t="s">
        <v>608</v>
      </c>
      <c r="D177" t="s">
        <v>48</v>
      </c>
      <c r="E177">
        <v>985.04</v>
      </c>
      <c r="F177">
        <v>3</v>
      </c>
      <c r="G177">
        <v>295.51</v>
      </c>
      <c r="H177">
        <v>0.15</v>
      </c>
      <c r="I177" t="s">
        <v>608</v>
      </c>
      <c r="J177" t="s">
        <v>609</v>
      </c>
      <c r="K177" t="s">
        <v>31</v>
      </c>
      <c r="L177" t="s">
        <v>82</v>
      </c>
      <c r="M177" t="s">
        <v>83</v>
      </c>
      <c r="N177" t="s">
        <v>3967</v>
      </c>
      <c r="P177">
        <f t="shared" si="2"/>
        <v>0.29999796962559894</v>
      </c>
    </row>
    <row r="178" spans="1:16" x14ac:dyDescent="0.25">
      <c r="A178" t="s">
        <v>610</v>
      </c>
      <c r="B178" s="1">
        <v>45168</v>
      </c>
      <c r="C178" t="s">
        <v>611</v>
      </c>
      <c r="D178" t="s">
        <v>48</v>
      </c>
      <c r="E178">
        <v>4332.3599999999997</v>
      </c>
      <c r="F178">
        <v>11</v>
      </c>
      <c r="G178">
        <v>1299.71</v>
      </c>
      <c r="H178">
        <v>0.05</v>
      </c>
      <c r="I178" t="s">
        <v>611</v>
      </c>
      <c r="J178" t="s">
        <v>612</v>
      </c>
      <c r="K178" t="s">
        <v>31</v>
      </c>
      <c r="L178" t="s">
        <v>82</v>
      </c>
      <c r="M178" t="s">
        <v>83</v>
      </c>
      <c r="N178" t="s">
        <v>3966</v>
      </c>
      <c r="P178">
        <f t="shared" si="2"/>
        <v>0.30000046164215349</v>
      </c>
    </row>
    <row r="179" spans="1:16" x14ac:dyDescent="0.25">
      <c r="A179" t="s">
        <v>613</v>
      </c>
      <c r="B179" s="1">
        <v>45738</v>
      </c>
      <c r="C179" t="s">
        <v>611</v>
      </c>
      <c r="D179" t="s">
        <v>91</v>
      </c>
      <c r="E179">
        <v>1129.95</v>
      </c>
      <c r="F179">
        <v>5</v>
      </c>
      <c r="G179">
        <v>338.99</v>
      </c>
      <c r="H179">
        <v>0</v>
      </c>
      <c r="I179" t="s">
        <v>611</v>
      </c>
      <c r="J179" t="s">
        <v>612</v>
      </c>
      <c r="K179" t="s">
        <v>31</v>
      </c>
      <c r="L179" t="s">
        <v>82</v>
      </c>
      <c r="M179" t="s">
        <v>83</v>
      </c>
      <c r="N179" t="s">
        <v>3966</v>
      </c>
      <c r="P179">
        <f t="shared" si="2"/>
        <v>0.30000442497455637</v>
      </c>
    </row>
    <row r="180" spans="1:16" x14ac:dyDescent="0.25">
      <c r="A180" t="s">
        <v>39</v>
      </c>
      <c r="B180" s="1">
        <v>45744</v>
      </c>
      <c r="C180" t="s">
        <v>40</v>
      </c>
      <c r="D180" t="s">
        <v>41</v>
      </c>
      <c r="E180">
        <v>5313.52</v>
      </c>
      <c r="F180">
        <v>20</v>
      </c>
      <c r="G180">
        <v>1594.06</v>
      </c>
      <c r="H180">
        <v>0.15</v>
      </c>
      <c r="I180" t="s">
        <v>40</v>
      </c>
      <c r="J180" t="s">
        <v>614</v>
      </c>
      <c r="K180" t="s">
        <v>24</v>
      </c>
      <c r="L180" t="s">
        <v>25</v>
      </c>
      <c r="M180" t="s">
        <v>26</v>
      </c>
      <c r="N180" t="s">
        <v>3966</v>
      </c>
      <c r="P180">
        <f t="shared" si="2"/>
        <v>0.30000075279663946</v>
      </c>
    </row>
    <row r="181" spans="1:16" x14ac:dyDescent="0.25">
      <c r="A181" t="s">
        <v>45</v>
      </c>
      <c r="B181" s="1">
        <v>45101</v>
      </c>
      <c r="C181" t="s">
        <v>40</v>
      </c>
      <c r="D181" t="s">
        <v>29</v>
      </c>
      <c r="E181">
        <v>4279.68</v>
      </c>
      <c r="F181">
        <v>18</v>
      </c>
      <c r="G181">
        <v>1283.9000000000001</v>
      </c>
      <c r="H181">
        <v>0</v>
      </c>
      <c r="I181" t="s">
        <v>40</v>
      </c>
      <c r="J181" t="s">
        <v>614</v>
      </c>
      <c r="K181" t="s">
        <v>24</v>
      </c>
      <c r="L181" t="s">
        <v>25</v>
      </c>
      <c r="M181" t="s">
        <v>26</v>
      </c>
      <c r="N181" t="s">
        <v>3968</v>
      </c>
      <c r="P181">
        <f t="shared" si="2"/>
        <v>0.29999906535068044</v>
      </c>
    </row>
    <row r="182" spans="1:16" x14ac:dyDescent="0.25">
      <c r="A182" t="s">
        <v>615</v>
      </c>
      <c r="B182" s="1">
        <v>45218</v>
      </c>
      <c r="C182" t="s">
        <v>616</v>
      </c>
      <c r="D182" t="s">
        <v>41</v>
      </c>
      <c r="E182">
        <v>505.98</v>
      </c>
      <c r="F182">
        <v>5</v>
      </c>
      <c r="G182">
        <v>151.79</v>
      </c>
      <c r="H182">
        <v>0.1</v>
      </c>
      <c r="I182" t="s">
        <v>616</v>
      </c>
      <c r="J182" t="s">
        <v>617</v>
      </c>
      <c r="K182" t="s">
        <v>31</v>
      </c>
      <c r="L182" t="s">
        <v>72</v>
      </c>
      <c r="M182" t="s">
        <v>26</v>
      </c>
      <c r="N182" t="s">
        <v>3967</v>
      </c>
      <c r="P182">
        <f t="shared" si="2"/>
        <v>0.29999209454919162</v>
      </c>
    </row>
    <row r="183" spans="1:16" x14ac:dyDescent="0.25">
      <c r="A183" t="s">
        <v>618</v>
      </c>
      <c r="B183" s="1">
        <v>45705</v>
      </c>
      <c r="C183" t="s">
        <v>616</v>
      </c>
      <c r="D183" t="s">
        <v>22</v>
      </c>
      <c r="E183">
        <v>5357.06</v>
      </c>
      <c r="F183">
        <v>13</v>
      </c>
      <c r="G183">
        <v>1607.12</v>
      </c>
      <c r="H183">
        <v>0.05</v>
      </c>
      <c r="I183" t="s">
        <v>616</v>
      </c>
      <c r="J183" t="s">
        <v>617</v>
      </c>
      <c r="K183" t="s">
        <v>31</v>
      </c>
      <c r="L183" t="s">
        <v>72</v>
      </c>
      <c r="M183" t="s">
        <v>26</v>
      </c>
      <c r="N183" t="s">
        <v>3967</v>
      </c>
      <c r="P183">
        <f t="shared" si="2"/>
        <v>0.30000037333910762</v>
      </c>
    </row>
    <row r="184" spans="1:16" x14ac:dyDescent="0.25">
      <c r="A184" t="s">
        <v>619</v>
      </c>
      <c r="B184" s="1">
        <v>45604</v>
      </c>
      <c r="C184" t="s">
        <v>620</v>
      </c>
      <c r="D184" t="s">
        <v>91</v>
      </c>
      <c r="E184">
        <v>3186.6</v>
      </c>
      <c r="F184">
        <v>20</v>
      </c>
      <c r="G184">
        <v>955.98</v>
      </c>
      <c r="H184">
        <v>0</v>
      </c>
      <c r="I184" t="s">
        <v>620</v>
      </c>
      <c r="J184" t="s">
        <v>477</v>
      </c>
      <c r="K184" t="s">
        <v>24</v>
      </c>
      <c r="L184" t="s">
        <v>621</v>
      </c>
      <c r="M184" t="s">
        <v>67</v>
      </c>
      <c r="N184" t="s">
        <v>3968</v>
      </c>
      <c r="P184">
        <f t="shared" si="2"/>
        <v>0.3</v>
      </c>
    </row>
    <row r="185" spans="1:16" x14ac:dyDescent="0.25">
      <c r="A185" t="s">
        <v>622</v>
      </c>
      <c r="B185" s="1">
        <v>45368</v>
      </c>
      <c r="C185" t="s">
        <v>623</v>
      </c>
      <c r="D185" t="s">
        <v>22</v>
      </c>
      <c r="E185">
        <v>551.13</v>
      </c>
      <c r="F185">
        <v>18</v>
      </c>
      <c r="G185">
        <v>165.34</v>
      </c>
      <c r="H185">
        <v>0.05</v>
      </c>
      <c r="I185" t="s">
        <v>623</v>
      </c>
      <c r="J185" t="s">
        <v>364</v>
      </c>
      <c r="K185" t="s">
        <v>24</v>
      </c>
      <c r="L185" t="s">
        <v>624</v>
      </c>
      <c r="M185" t="s">
        <v>56</v>
      </c>
      <c r="N185" t="s">
        <v>3968</v>
      </c>
      <c r="P185">
        <f t="shared" si="2"/>
        <v>0.30000181445394009</v>
      </c>
    </row>
    <row r="186" spans="1:16" x14ac:dyDescent="0.25">
      <c r="A186" t="s">
        <v>625</v>
      </c>
      <c r="B186" s="1">
        <v>45167</v>
      </c>
      <c r="C186" t="s">
        <v>626</v>
      </c>
      <c r="D186" t="s">
        <v>48</v>
      </c>
      <c r="E186">
        <v>1424.98</v>
      </c>
      <c r="F186">
        <v>3</v>
      </c>
      <c r="G186">
        <v>427.49</v>
      </c>
      <c r="H186">
        <v>0.1</v>
      </c>
      <c r="I186" t="s">
        <v>626</v>
      </c>
      <c r="J186" t="s">
        <v>627</v>
      </c>
      <c r="K186" t="s">
        <v>24</v>
      </c>
      <c r="L186" t="s">
        <v>72</v>
      </c>
      <c r="M186" t="s">
        <v>26</v>
      </c>
      <c r="N186" t="s">
        <v>3968</v>
      </c>
      <c r="P186">
        <f t="shared" si="2"/>
        <v>0.29999719294305888</v>
      </c>
    </row>
    <row r="187" spans="1:16" x14ac:dyDescent="0.25">
      <c r="A187" t="s">
        <v>628</v>
      </c>
      <c r="B187" s="1">
        <v>45099</v>
      </c>
      <c r="C187" t="s">
        <v>629</v>
      </c>
      <c r="D187" t="s">
        <v>36</v>
      </c>
      <c r="E187">
        <v>4075.26</v>
      </c>
      <c r="F187">
        <v>14</v>
      </c>
      <c r="G187">
        <v>1222.58</v>
      </c>
      <c r="H187">
        <v>0</v>
      </c>
      <c r="I187" t="s">
        <v>629</v>
      </c>
      <c r="J187" t="s">
        <v>630</v>
      </c>
      <c r="K187" t="s">
        <v>24</v>
      </c>
      <c r="L187" t="s">
        <v>631</v>
      </c>
      <c r="M187" t="s">
        <v>632</v>
      </c>
      <c r="N187" t="s">
        <v>3966</v>
      </c>
      <c r="P187">
        <f t="shared" si="2"/>
        <v>0.30000049076623331</v>
      </c>
    </row>
    <row r="188" spans="1:16" x14ac:dyDescent="0.25">
      <c r="A188" t="s">
        <v>633</v>
      </c>
      <c r="B188" s="1">
        <v>45346</v>
      </c>
      <c r="C188" t="s">
        <v>634</v>
      </c>
      <c r="D188" t="s">
        <v>22</v>
      </c>
      <c r="E188">
        <v>2800.96</v>
      </c>
      <c r="F188">
        <v>8</v>
      </c>
      <c r="G188">
        <v>840.29</v>
      </c>
      <c r="H188">
        <v>0</v>
      </c>
      <c r="I188" t="s">
        <v>634</v>
      </c>
      <c r="J188" t="s">
        <v>635</v>
      </c>
      <c r="K188" t="s">
        <v>24</v>
      </c>
      <c r="L188" t="s">
        <v>143</v>
      </c>
      <c r="M188" t="s">
        <v>144</v>
      </c>
      <c r="N188" t="s">
        <v>3968</v>
      </c>
      <c r="P188">
        <f t="shared" si="2"/>
        <v>0.30000071404090023</v>
      </c>
    </row>
    <row r="189" spans="1:16" x14ac:dyDescent="0.25">
      <c r="A189" t="s">
        <v>636</v>
      </c>
      <c r="B189" s="1">
        <v>45392</v>
      </c>
      <c r="C189" t="s">
        <v>637</v>
      </c>
      <c r="D189" t="s">
        <v>22</v>
      </c>
      <c r="E189">
        <v>1854.97</v>
      </c>
      <c r="F189">
        <v>10</v>
      </c>
      <c r="G189">
        <v>556.49</v>
      </c>
      <c r="H189">
        <v>0.05</v>
      </c>
      <c r="I189" t="s">
        <v>637</v>
      </c>
      <c r="J189" t="s">
        <v>638</v>
      </c>
      <c r="K189" t="s">
        <v>31</v>
      </c>
      <c r="L189" t="s">
        <v>143</v>
      </c>
      <c r="M189" t="s">
        <v>144</v>
      </c>
      <c r="N189" t="s">
        <v>3967</v>
      </c>
      <c r="P189">
        <f t="shared" si="2"/>
        <v>0.29999946090772356</v>
      </c>
    </row>
    <row r="190" spans="1:16" x14ac:dyDescent="0.25">
      <c r="A190" t="s">
        <v>639</v>
      </c>
      <c r="B190" s="1">
        <v>45272</v>
      </c>
      <c r="C190" t="s">
        <v>640</v>
      </c>
      <c r="D190" t="s">
        <v>22</v>
      </c>
      <c r="E190">
        <v>5173.17</v>
      </c>
      <c r="F190">
        <v>13</v>
      </c>
      <c r="G190">
        <v>1551.95</v>
      </c>
      <c r="H190">
        <v>0.15</v>
      </c>
      <c r="I190" t="s">
        <v>640</v>
      </c>
      <c r="J190" t="s">
        <v>430</v>
      </c>
      <c r="K190" t="s">
        <v>24</v>
      </c>
      <c r="L190" t="s">
        <v>248</v>
      </c>
      <c r="M190" t="s">
        <v>44</v>
      </c>
      <c r="N190" t="s">
        <v>3967</v>
      </c>
      <c r="P190">
        <f t="shared" si="2"/>
        <v>0.29999980669492787</v>
      </c>
    </row>
    <row r="191" spans="1:16" x14ac:dyDescent="0.25">
      <c r="A191" t="s">
        <v>641</v>
      </c>
      <c r="B191" s="1">
        <v>45060</v>
      </c>
      <c r="C191" t="s">
        <v>640</v>
      </c>
      <c r="D191" t="s">
        <v>48</v>
      </c>
      <c r="E191">
        <v>3784.3</v>
      </c>
      <c r="F191">
        <v>13</v>
      </c>
      <c r="G191">
        <v>1135.29</v>
      </c>
      <c r="H191">
        <v>0</v>
      </c>
      <c r="I191" t="s">
        <v>640</v>
      </c>
      <c r="J191" t="s">
        <v>430</v>
      </c>
      <c r="K191" t="s">
        <v>24</v>
      </c>
      <c r="L191" t="s">
        <v>248</v>
      </c>
      <c r="M191" t="s">
        <v>44</v>
      </c>
      <c r="N191" t="s">
        <v>3968</v>
      </c>
      <c r="P191">
        <f t="shared" si="2"/>
        <v>0.3</v>
      </c>
    </row>
    <row r="192" spans="1:16" x14ac:dyDescent="0.25">
      <c r="A192" t="s">
        <v>642</v>
      </c>
      <c r="B192" s="1">
        <v>44996</v>
      </c>
      <c r="C192" t="s">
        <v>643</v>
      </c>
      <c r="D192" t="s">
        <v>48</v>
      </c>
      <c r="E192">
        <v>478.99</v>
      </c>
      <c r="F192">
        <v>6</v>
      </c>
      <c r="G192">
        <v>143.69999999999999</v>
      </c>
      <c r="H192">
        <v>0.15</v>
      </c>
      <c r="I192" t="s">
        <v>643</v>
      </c>
      <c r="J192" t="s">
        <v>644</v>
      </c>
      <c r="K192" t="s">
        <v>24</v>
      </c>
      <c r="L192" t="s">
        <v>265</v>
      </c>
      <c r="M192" t="s">
        <v>645</v>
      </c>
      <c r="N192" t="s">
        <v>3968</v>
      </c>
      <c r="P192">
        <f t="shared" si="2"/>
        <v>0.30000626317877199</v>
      </c>
    </row>
    <row r="193" spans="1:16" x14ac:dyDescent="0.25">
      <c r="A193" t="s">
        <v>646</v>
      </c>
      <c r="B193" s="1">
        <v>45528</v>
      </c>
      <c r="C193" t="s">
        <v>647</v>
      </c>
      <c r="D193" t="s">
        <v>41</v>
      </c>
      <c r="E193">
        <v>79.599999999999994</v>
      </c>
      <c r="F193">
        <v>5</v>
      </c>
      <c r="G193">
        <v>23.88</v>
      </c>
      <c r="H193">
        <v>0</v>
      </c>
      <c r="I193" t="s">
        <v>647</v>
      </c>
      <c r="J193" t="s">
        <v>648</v>
      </c>
      <c r="K193" t="s">
        <v>38</v>
      </c>
      <c r="L193" t="s">
        <v>143</v>
      </c>
      <c r="M193" t="s">
        <v>144</v>
      </c>
      <c r="N193" t="s">
        <v>3968</v>
      </c>
      <c r="P193">
        <f t="shared" si="2"/>
        <v>0.3</v>
      </c>
    </row>
    <row r="194" spans="1:16" x14ac:dyDescent="0.25">
      <c r="A194" t="s">
        <v>649</v>
      </c>
      <c r="B194" s="1">
        <v>45345</v>
      </c>
      <c r="C194" t="s">
        <v>650</v>
      </c>
      <c r="D194" t="s">
        <v>48</v>
      </c>
      <c r="E194">
        <v>1634.99</v>
      </c>
      <c r="F194">
        <v>16</v>
      </c>
      <c r="G194">
        <v>490.5</v>
      </c>
      <c r="H194">
        <v>0.15</v>
      </c>
      <c r="I194" t="s">
        <v>650</v>
      </c>
      <c r="J194" t="s">
        <v>651</v>
      </c>
      <c r="K194" t="s">
        <v>24</v>
      </c>
      <c r="L194" t="s">
        <v>72</v>
      </c>
      <c r="M194" t="s">
        <v>26</v>
      </c>
      <c r="N194" t="s">
        <v>3968</v>
      </c>
      <c r="P194">
        <f t="shared" si="2"/>
        <v>0.30000183487360776</v>
      </c>
    </row>
    <row r="195" spans="1:16" x14ac:dyDescent="0.25">
      <c r="A195" t="s">
        <v>652</v>
      </c>
      <c r="B195" s="1">
        <v>45321</v>
      </c>
      <c r="C195" t="s">
        <v>653</v>
      </c>
      <c r="D195" t="s">
        <v>48</v>
      </c>
      <c r="E195">
        <v>1241.46</v>
      </c>
      <c r="F195">
        <v>11</v>
      </c>
      <c r="G195">
        <v>372.44</v>
      </c>
      <c r="H195">
        <v>0.05</v>
      </c>
      <c r="I195" t="s">
        <v>653</v>
      </c>
      <c r="J195" t="s">
        <v>654</v>
      </c>
      <c r="K195" t="s">
        <v>31</v>
      </c>
      <c r="L195" t="s">
        <v>655</v>
      </c>
      <c r="M195" t="s">
        <v>389</v>
      </c>
      <c r="N195" t="s">
        <v>3968</v>
      </c>
      <c r="P195">
        <f t="shared" ref="P195:P258" si="3">G195/E195</f>
        <v>0.30000161100639566</v>
      </c>
    </row>
    <row r="196" spans="1:16" x14ac:dyDescent="0.25">
      <c r="A196" t="s">
        <v>656</v>
      </c>
      <c r="B196" s="1">
        <v>45314</v>
      </c>
      <c r="C196" t="s">
        <v>657</v>
      </c>
      <c r="D196" t="s">
        <v>91</v>
      </c>
      <c r="E196">
        <v>832.05</v>
      </c>
      <c r="F196">
        <v>10</v>
      </c>
      <c r="G196">
        <v>249.62</v>
      </c>
      <c r="H196">
        <v>0.1</v>
      </c>
      <c r="I196" t="s">
        <v>657</v>
      </c>
      <c r="J196" t="s">
        <v>658</v>
      </c>
      <c r="K196" t="s">
        <v>17</v>
      </c>
      <c r="L196" t="s">
        <v>659</v>
      </c>
      <c r="M196" t="s">
        <v>56</v>
      </c>
      <c r="N196" t="s">
        <v>3967</v>
      </c>
      <c r="P196">
        <f t="shared" si="3"/>
        <v>0.30000600925425158</v>
      </c>
    </row>
    <row r="197" spans="1:16" x14ac:dyDescent="0.25">
      <c r="A197" t="s">
        <v>660</v>
      </c>
      <c r="B197" s="1">
        <v>44931</v>
      </c>
      <c r="C197" t="s">
        <v>661</v>
      </c>
      <c r="D197" t="s">
        <v>15</v>
      </c>
      <c r="E197">
        <v>8806.69</v>
      </c>
      <c r="F197">
        <v>19</v>
      </c>
      <c r="G197">
        <v>2642.01</v>
      </c>
      <c r="H197">
        <v>0</v>
      </c>
      <c r="I197" t="s">
        <v>661</v>
      </c>
      <c r="J197" t="s">
        <v>662</v>
      </c>
      <c r="K197" t="s">
        <v>31</v>
      </c>
      <c r="L197" t="s">
        <v>663</v>
      </c>
      <c r="M197" t="s">
        <v>160</v>
      </c>
      <c r="N197" t="s">
        <v>3966</v>
      </c>
      <c r="P197">
        <f t="shared" si="3"/>
        <v>0.30000034065011938</v>
      </c>
    </row>
    <row r="198" spans="1:16" x14ac:dyDescent="0.25">
      <c r="A198" t="s">
        <v>664</v>
      </c>
      <c r="B198" s="1">
        <v>45281</v>
      </c>
      <c r="C198" t="s">
        <v>665</v>
      </c>
      <c r="D198" t="s">
        <v>29</v>
      </c>
      <c r="E198">
        <v>1893.26</v>
      </c>
      <c r="F198">
        <v>7</v>
      </c>
      <c r="G198">
        <v>567.98</v>
      </c>
      <c r="H198">
        <v>0.05</v>
      </c>
      <c r="I198" t="s">
        <v>665</v>
      </c>
      <c r="J198" t="s">
        <v>666</v>
      </c>
      <c r="K198" t="s">
        <v>31</v>
      </c>
      <c r="L198" t="s">
        <v>667</v>
      </c>
      <c r="M198" t="s">
        <v>111</v>
      </c>
      <c r="N198" t="s">
        <v>3966</v>
      </c>
      <c r="P198">
        <f t="shared" si="3"/>
        <v>0.30000105637894425</v>
      </c>
    </row>
    <row r="199" spans="1:16" x14ac:dyDescent="0.25">
      <c r="A199" t="s">
        <v>668</v>
      </c>
      <c r="B199" s="1">
        <v>45071</v>
      </c>
      <c r="C199" t="s">
        <v>669</v>
      </c>
      <c r="D199" t="s">
        <v>15</v>
      </c>
      <c r="E199">
        <v>6521.75</v>
      </c>
      <c r="F199">
        <v>20</v>
      </c>
      <c r="G199">
        <v>1956.53</v>
      </c>
      <c r="H199">
        <v>0.05</v>
      </c>
      <c r="I199" t="s">
        <v>669</v>
      </c>
      <c r="J199" t="s">
        <v>670</v>
      </c>
      <c r="K199" t="s">
        <v>71</v>
      </c>
      <c r="L199" t="s">
        <v>322</v>
      </c>
      <c r="M199" t="s">
        <v>632</v>
      </c>
      <c r="N199" t="s">
        <v>3968</v>
      </c>
      <c r="P199">
        <f t="shared" si="3"/>
        <v>0.30000076666538888</v>
      </c>
    </row>
    <row r="200" spans="1:16" x14ac:dyDescent="0.25">
      <c r="A200" t="s">
        <v>671</v>
      </c>
      <c r="B200" s="1">
        <v>45838</v>
      </c>
      <c r="C200" t="s">
        <v>672</v>
      </c>
      <c r="D200" t="s">
        <v>36</v>
      </c>
      <c r="E200">
        <v>485.72</v>
      </c>
      <c r="F200">
        <v>6</v>
      </c>
      <c r="G200">
        <v>145.72</v>
      </c>
      <c r="H200">
        <v>0.15</v>
      </c>
      <c r="I200" t="s">
        <v>672</v>
      </c>
      <c r="J200" t="s">
        <v>673</v>
      </c>
      <c r="K200" t="s">
        <v>38</v>
      </c>
      <c r="L200" t="s">
        <v>99</v>
      </c>
      <c r="M200" t="s">
        <v>56</v>
      </c>
      <c r="N200" t="s">
        <v>3967</v>
      </c>
      <c r="P200">
        <f t="shared" si="3"/>
        <v>0.30000823519723296</v>
      </c>
    </row>
    <row r="201" spans="1:16" x14ac:dyDescent="0.25">
      <c r="A201" t="s">
        <v>674</v>
      </c>
      <c r="B201" s="1">
        <v>45700</v>
      </c>
      <c r="C201" t="s">
        <v>675</v>
      </c>
      <c r="D201" t="s">
        <v>29</v>
      </c>
      <c r="E201">
        <v>1294.28</v>
      </c>
      <c r="F201">
        <v>13</v>
      </c>
      <c r="G201">
        <v>388.28</v>
      </c>
      <c r="H201">
        <v>0.05</v>
      </c>
      <c r="I201" t="s">
        <v>675</v>
      </c>
      <c r="J201" t="s">
        <v>676</v>
      </c>
      <c r="K201" t="s">
        <v>71</v>
      </c>
      <c r="L201" t="s">
        <v>72</v>
      </c>
      <c r="M201" t="s">
        <v>26</v>
      </c>
      <c r="N201" t="s">
        <v>3967</v>
      </c>
      <c r="P201">
        <f t="shared" si="3"/>
        <v>0.299996909478629</v>
      </c>
    </row>
    <row r="202" spans="1:16" x14ac:dyDescent="0.25">
      <c r="A202" t="s">
        <v>677</v>
      </c>
      <c r="B202" s="1">
        <v>45294</v>
      </c>
      <c r="C202" t="s">
        <v>678</v>
      </c>
      <c r="D202" t="s">
        <v>91</v>
      </c>
      <c r="E202">
        <v>1774.55</v>
      </c>
      <c r="F202">
        <v>12</v>
      </c>
      <c r="G202">
        <v>532.36</v>
      </c>
      <c r="H202">
        <v>0.1</v>
      </c>
      <c r="I202" t="s">
        <v>678</v>
      </c>
      <c r="J202" t="s">
        <v>679</v>
      </c>
      <c r="K202" t="s">
        <v>71</v>
      </c>
      <c r="L202" t="s">
        <v>566</v>
      </c>
      <c r="M202" t="s">
        <v>129</v>
      </c>
      <c r="N202" t="s">
        <v>3966</v>
      </c>
      <c r="P202">
        <f t="shared" si="3"/>
        <v>0.29999718238426643</v>
      </c>
    </row>
    <row r="203" spans="1:16" x14ac:dyDescent="0.25">
      <c r="A203" t="s">
        <v>680</v>
      </c>
      <c r="B203" s="1">
        <v>44960</v>
      </c>
      <c r="C203" t="s">
        <v>681</v>
      </c>
      <c r="D203" t="s">
        <v>91</v>
      </c>
      <c r="E203">
        <v>2926.62</v>
      </c>
      <c r="F203">
        <v>10</v>
      </c>
      <c r="G203">
        <v>877.99</v>
      </c>
      <c r="H203">
        <v>0.1</v>
      </c>
      <c r="I203" t="s">
        <v>681</v>
      </c>
      <c r="J203" t="s">
        <v>682</v>
      </c>
      <c r="K203" t="s">
        <v>24</v>
      </c>
      <c r="L203" t="s">
        <v>683</v>
      </c>
      <c r="M203" t="s">
        <v>33</v>
      </c>
      <c r="N203" t="s">
        <v>3966</v>
      </c>
      <c r="P203">
        <f t="shared" si="3"/>
        <v>0.30000136676439032</v>
      </c>
    </row>
    <row r="204" spans="1:16" x14ac:dyDescent="0.25">
      <c r="A204" t="s">
        <v>684</v>
      </c>
      <c r="B204" s="1">
        <v>45352</v>
      </c>
      <c r="C204" t="s">
        <v>685</v>
      </c>
      <c r="D204" t="s">
        <v>48</v>
      </c>
      <c r="E204">
        <v>9227.94</v>
      </c>
      <c r="F204">
        <v>17</v>
      </c>
      <c r="G204">
        <v>2768.38</v>
      </c>
      <c r="H204">
        <v>0</v>
      </c>
      <c r="I204" t="s">
        <v>685</v>
      </c>
      <c r="J204" t="s">
        <v>686</v>
      </c>
      <c r="K204" t="s">
        <v>17</v>
      </c>
      <c r="L204" t="s">
        <v>82</v>
      </c>
      <c r="M204" t="s">
        <v>83</v>
      </c>
      <c r="N204" t="s">
        <v>3966</v>
      </c>
      <c r="P204">
        <f t="shared" si="3"/>
        <v>0.29999978326690463</v>
      </c>
    </row>
    <row r="205" spans="1:16" x14ac:dyDescent="0.25">
      <c r="A205" t="s">
        <v>687</v>
      </c>
      <c r="B205" s="1">
        <v>45070</v>
      </c>
      <c r="C205" t="s">
        <v>688</v>
      </c>
      <c r="D205" t="s">
        <v>91</v>
      </c>
      <c r="E205">
        <v>2759.48</v>
      </c>
      <c r="F205">
        <v>14</v>
      </c>
      <c r="G205">
        <v>827.85</v>
      </c>
      <c r="H205">
        <v>0.05</v>
      </c>
      <c r="I205" t="s">
        <v>688</v>
      </c>
      <c r="J205" t="s">
        <v>689</v>
      </c>
      <c r="K205" t="s">
        <v>31</v>
      </c>
      <c r="L205" t="s">
        <v>524</v>
      </c>
      <c r="M205" t="s">
        <v>266</v>
      </c>
      <c r="N205" t="s">
        <v>3966</v>
      </c>
      <c r="P205">
        <f t="shared" si="3"/>
        <v>0.30000217432269849</v>
      </c>
    </row>
    <row r="206" spans="1:16" x14ac:dyDescent="0.25">
      <c r="A206" t="s">
        <v>690</v>
      </c>
      <c r="B206" s="1">
        <v>45830</v>
      </c>
      <c r="C206" t="s">
        <v>691</v>
      </c>
      <c r="D206" t="s">
        <v>41</v>
      </c>
      <c r="E206">
        <v>8525.26</v>
      </c>
      <c r="F206">
        <v>17</v>
      </c>
      <c r="G206">
        <v>2557.58</v>
      </c>
      <c r="H206">
        <v>0.05</v>
      </c>
      <c r="I206" t="s">
        <v>691</v>
      </c>
      <c r="J206" t="s">
        <v>692</v>
      </c>
      <c r="K206" t="s">
        <v>31</v>
      </c>
      <c r="L206" t="s">
        <v>143</v>
      </c>
      <c r="M206" t="s">
        <v>144</v>
      </c>
      <c r="N206" t="s">
        <v>3967</v>
      </c>
      <c r="P206">
        <f t="shared" si="3"/>
        <v>0.30000023459695069</v>
      </c>
    </row>
    <row r="207" spans="1:16" x14ac:dyDescent="0.25">
      <c r="A207" t="s">
        <v>693</v>
      </c>
      <c r="B207" s="1">
        <v>45026</v>
      </c>
      <c r="C207" t="s">
        <v>694</v>
      </c>
      <c r="D207" t="s">
        <v>36</v>
      </c>
      <c r="E207">
        <v>744.14</v>
      </c>
      <c r="F207">
        <v>11</v>
      </c>
      <c r="G207">
        <v>223.24</v>
      </c>
      <c r="H207">
        <v>0.05</v>
      </c>
      <c r="I207" t="s">
        <v>694</v>
      </c>
      <c r="J207" t="s">
        <v>695</v>
      </c>
      <c r="K207" t="s">
        <v>31</v>
      </c>
      <c r="L207" t="s">
        <v>696</v>
      </c>
      <c r="M207" t="s">
        <v>51</v>
      </c>
      <c r="N207" t="s">
        <v>3966</v>
      </c>
      <c r="P207">
        <f t="shared" si="3"/>
        <v>0.29999731233370064</v>
      </c>
    </row>
    <row r="208" spans="1:16" x14ac:dyDescent="0.25">
      <c r="A208" t="s">
        <v>697</v>
      </c>
      <c r="B208" s="1">
        <v>45720</v>
      </c>
      <c r="C208" t="s">
        <v>698</v>
      </c>
      <c r="D208" t="s">
        <v>41</v>
      </c>
      <c r="E208">
        <v>3888.56</v>
      </c>
      <c r="F208">
        <v>8</v>
      </c>
      <c r="G208">
        <v>1166.57</v>
      </c>
      <c r="H208">
        <v>0</v>
      </c>
      <c r="I208" t="s">
        <v>698</v>
      </c>
      <c r="J208" t="s">
        <v>699</v>
      </c>
      <c r="K208" t="s">
        <v>38</v>
      </c>
      <c r="L208" t="s">
        <v>700</v>
      </c>
      <c r="M208" t="s">
        <v>111</v>
      </c>
      <c r="N208" t="s">
        <v>3966</v>
      </c>
      <c r="P208">
        <f t="shared" si="3"/>
        <v>0.30000051432921182</v>
      </c>
    </row>
    <row r="209" spans="1:16" x14ac:dyDescent="0.25">
      <c r="A209" t="s">
        <v>701</v>
      </c>
      <c r="B209" s="1">
        <v>45484</v>
      </c>
      <c r="C209" t="s">
        <v>702</v>
      </c>
      <c r="D209" t="s">
        <v>15</v>
      </c>
      <c r="E209">
        <v>2997.16</v>
      </c>
      <c r="F209">
        <v>6</v>
      </c>
      <c r="G209">
        <v>899.15</v>
      </c>
      <c r="H209">
        <v>0.1</v>
      </c>
      <c r="I209" t="s">
        <v>702</v>
      </c>
      <c r="J209" t="s">
        <v>703</v>
      </c>
      <c r="K209" t="s">
        <v>17</v>
      </c>
      <c r="L209" t="s">
        <v>704</v>
      </c>
      <c r="M209" t="s">
        <v>705</v>
      </c>
      <c r="N209" t="s">
        <v>3966</v>
      </c>
      <c r="P209">
        <f t="shared" si="3"/>
        <v>0.30000066729837582</v>
      </c>
    </row>
    <row r="210" spans="1:16" x14ac:dyDescent="0.25">
      <c r="A210" t="s">
        <v>706</v>
      </c>
      <c r="B210" s="1">
        <v>45521</v>
      </c>
      <c r="C210" t="s">
        <v>707</v>
      </c>
      <c r="D210" t="s">
        <v>29</v>
      </c>
      <c r="E210">
        <v>5474.04</v>
      </c>
      <c r="F210">
        <v>13</v>
      </c>
      <c r="G210">
        <v>1642.21</v>
      </c>
      <c r="H210">
        <v>0</v>
      </c>
      <c r="I210" t="s">
        <v>707</v>
      </c>
      <c r="J210" t="s">
        <v>708</v>
      </c>
      <c r="K210" t="s">
        <v>17</v>
      </c>
      <c r="L210" t="s">
        <v>709</v>
      </c>
      <c r="M210" t="s">
        <v>710</v>
      </c>
      <c r="N210" t="s">
        <v>3966</v>
      </c>
      <c r="P210">
        <f t="shared" si="3"/>
        <v>0.29999963463913309</v>
      </c>
    </row>
    <row r="211" spans="1:16" x14ac:dyDescent="0.25">
      <c r="A211" t="s">
        <v>711</v>
      </c>
      <c r="B211" s="1">
        <v>45838</v>
      </c>
      <c r="C211" t="s">
        <v>712</v>
      </c>
      <c r="D211" t="s">
        <v>15</v>
      </c>
      <c r="E211">
        <v>1096.8499999999999</v>
      </c>
      <c r="F211">
        <v>16</v>
      </c>
      <c r="G211">
        <v>329.05</v>
      </c>
      <c r="H211">
        <v>0.1</v>
      </c>
      <c r="I211" t="s">
        <v>712</v>
      </c>
      <c r="J211" t="s">
        <v>54</v>
      </c>
      <c r="K211" t="s">
        <v>31</v>
      </c>
      <c r="L211" t="s">
        <v>171</v>
      </c>
      <c r="M211" t="s">
        <v>129</v>
      </c>
      <c r="N211" t="s">
        <v>3966</v>
      </c>
      <c r="P211">
        <f t="shared" si="3"/>
        <v>0.299995441491544</v>
      </c>
    </row>
    <row r="212" spans="1:16" x14ac:dyDescent="0.25">
      <c r="A212" t="s">
        <v>713</v>
      </c>
      <c r="B212" s="1">
        <v>45602</v>
      </c>
      <c r="C212" t="s">
        <v>714</v>
      </c>
      <c r="D212" t="s">
        <v>41</v>
      </c>
      <c r="E212">
        <v>1359.59</v>
      </c>
      <c r="F212">
        <v>3</v>
      </c>
      <c r="G212">
        <v>407.88</v>
      </c>
      <c r="H212">
        <v>0.1</v>
      </c>
      <c r="I212" t="s">
        <v>714</v>
      </c>
      <c r="J212" t="s">
        <v>715</v>
      </c>
      <c r="K212" t="s">
        <v>24</v>
      </c>
      <c r="L212" t="s">
        <v>99</v>
      </c>
      <c r="M212" t="s">
        <v>56</v>
      </c>
      <c r="N212" t="s">
        <v>3966</v>
      </c>
      <c r="P212">
        <f t="shared" si="3"/>
        <v>0.30000220654756216</v>
      </c>
    </row>
    <row r="213" spans="1:16" x14ac:dyDescent="0.25">
      <c r="A213" t="s">
        <v>716</v>
      </c>
      <c r="B213" s="1">
        <v>45748</v>
      </c>
      <c r="C213" t="s">
        <v>717</v>
      </c>
      <c r="D213" t="s">
        <v>91</v>
      </c>
      <c r="E213">
        <v>157.80000000000001</v>
      </c>
      <c r="F213">
        <v>5</v>
      </c>
      <c r="G213">
        <v>47.34</v>
      </c>
      <c r="H213">
        <v>0</v>
      </c>
      <c r="I213" t="s">
        <v>717</v>
      </c>
      <c r="J213" t="s">
        <v>718</v>
      </c>
      <c r="K213" t="s">
        <v>17</v>
      </c>
      <c r="L213" t="s">
        <v>719</v>
      </c>
      <c r="M213" t="s">
        <v>33</v>
      </c>
      <c r="N213" t="s">
        <v>3967</v>
      </c>
      <c r="P213">
        <f t="shared" si="3"/>
        <v>0.3</v>
      </c>
    </row>
    <row r="214" spans="1:16" x14ac:dyDescent="0.25">
      <c r="A214" t="s">
        <v>720</v>
      </c>
      <c r="B214" s="1">
        <v>45474</v>
      </c>
      <c r="C214" t="s">
        <v>721</v>
      </c>
      <c r="D214" t="s">
        <v>15</v>
      </c>
      <c r="E214">
        <v>1108.3800000000001</v>
      </c>
      <c r="F214">
        <v>16</v>
      </c>
      <c r="G214">
        <v>332.52</v>
      </c>
      <c r="H214">
        <v>0.05</v>
      </c>
      <c r="I214" t="s">
        <v>721</v>
      </c>
      <c r="J214" t="s">
        <v>329</v>
      </c>
      <c r="K214" t="s">
        <v>71</v>
      </c>
      <c r="L214" t="s">
        <v>278</v>
      </c>
      <c r="M214" t="s">
        <v>44</v>
      </c>
      <c r="N214" t="s">
        <v>3967</v>
      </c>
      <c r="P214">
        <f t="shared" si="3"/>
        <v>0.30000541330590585</v>
      </c>
    </row>
    <row r="215" spans="1:16" x14ac:dyDescent="0.25">
      <c r="A215" t="s">
        <v>722</v>
      </c>
      <c r="B215" s="1">
        <v>45269</v>
      </c>
      <c r="C215" t="s">
        <v>723</v>
      </c>
      <c r="D215" t="s">
        <v>41</v>
      </c>
      <c r="E215">
        <v>7215</v>
      </c>
      <c r="F215">
        <v>18</v>
      </c>
      <c r="G215">
        <v>2164.5</v>
      </c>
      <c r="H215">
        <v>0.05</v>
      </c>
      <c r="I215" t="s">
        <v>723</v>
      </c>
      <c r="J215" t="s">
        <v>724</v>
      </c>
      <c r="K215" t="s">
        <v>71</v>
      </c>
      <c r="L215" t="s">
        <v>143</v>
      </c>
      <c r="M215" t="s">
        <v>144</v>
      </c>
      <c r="N215" t="s">
        <v>3967</v>
      </c>
      <c r="P215">
        <f t="shared" si="3"/>
        <v>0.3</v>
      </c>
    </row>
    <row r="216" spans="1:16" x14ac:dyDescent="0.25">
      <c r="A216" t="s">
        <v>725</v>
      </c>
      <c r="B216" s="1">
        <v>44986</v>
      </c>
      <c r="C216" t="s">
        <v>726</v>
      </c>
      <c r="D216" t="s">
        <v>22</v>
      </c>
      <c r="E216">
        <v>29.85</v>
      </c>
      <c r="F216">
        <v>1</v>
      </c>
      <c r="G216">
        <v>8.9499999999999993</v>
      </c>
      <c r="H216">
        <v>0.05</v>
      </c>
      <c r="I216" t="s">
        <v>726</v>
      </c>
      <c r="J216" t="s">
        <v>727</v>
      </c>
      <c r="K216" t="s">
        <v>31</v>
      </c>
      <c r="L216" t="s">
        <v>72</v>
      </c>
      <c r="M216" t="s">
        <v>26</v>
      </c>
      <c r="N216" t="s">
        <v>3967</v>
      </c>
      <c r="P216">
        <f t="shared" si="3"/>
        <v>0.29983249581239529</v>
      </c>
    </row>
    <row r="217" spans="1:16" x14ac:dyDescent="0.25">
      <c r="A217" t="s">
        <v>728</v>
      </c>
      <c r="B217" s="1">
        <v>45104</v>
      </c>
      <c r="C217" t="s">
        <v>726</v>
      </c>
      <c r="D217" t="s">
        <v>29</v>
      </c>
      <c r="E217">
        <v>6458.54</v>
      </c>
      <c r="F217">
        <v>15</v>
      </c>
      <c r="G217">
        <v>1937.56</v>
      </c>
      <c r="H217">
        <v>0.1</v>
      </c>
      <c r="I217" t="s">
        <v>726</v>
      </c>
      <c r="J217" t="s">
        <v>727</v>
      </c>
      <c r="K217" t="s">
        <v>31</v>
      </c>
      <c r="L217" t="s">
        <v>72</v>
      </c>
      <c r="M217" t="s">
        <v>26</v>
      </c>
      <c r="N217" t="s">
        <v>3967</v>
      </c>
      <c r="P217">
        <f t="shared" si="3"/>
        <v>0.29999969033249002</v>
      </c>
    </row>
    <row r="218" spans="1:16" x14ac:dyDescent="0.25">
      <c r="A218" t="s">
        <v>729</v>
      </c>
      <c r="B218" s="1">
        <v>45121</v>
      </c>
      <c r="C218" t="s">
        <v>730</v>
      </c>
      <c r="D218" t="s">
        <v>36</v>
      </c>
      <c r="E218">
        <v>4515.66</v>
      </c>
      <c r="F218">
        <v>9</v>
      </c>
      <c r="G218">
        <v>1354.7</v>
      </c>
      <c r="H218">
        <v>0</v>
      </c>
      <c r="I218" t="s">
        <v>730</v>
      </c>
      <c r="J218" t="s">
        <v>731</v>
      </c>
      <c r="K218" t="s">
        <v>24</v>
      </c>
      <c r="L218" t="s">
        <v>50</v>
      </c>
      <c r="M218" t="s">
        <v>51</v>
      </c>
      <c r="N218" t="s">
        <v>3967</v>
      </c>
      <c r="P218">
        <f t="shared" si="3"/>
        <v>0.30000044290314154</v>
      </c>
    </row>
    <row r="219" spans="1:16" x14ac:dyDescent="0.25">
      <c r="A219" t="s">
        <v>732</v>
      </c>
      <c r="B219" s="1">
        <v>44965</v>
      </c>
      <c r="C219" t="s">
        <v>733</v>
      </c>
      <c r="D219" t="s">
        <v>91</v>
      </c>
      <c r="E219">
        <v>1472.8</v>
      </c>
      <c r="F219">
        <v>7</v>
      </c>
      <c r="G219">
        <v>441.84</v>
      </c>
      <c r="H219">
        <v>0.15</v>
      </c>
      <c r="I219" t="s">
        <v>733</v>
      </c>
      <c r="J219" t="s">
        <v>734</v>
      </c>
      <c r="K219" t="s">
        <v>24</v>
      </c>
      <c r="L219" t="s">
        <v>735</v>
      </c>
      <c r="M219" t="s">
        <v>26</v>
      </c>
      <c r="N219" t="s">
        <v>3966</v>
      </c>
      <c r="P219">
        <f t="shared" si="3"/>
        <v>0.3</v>
      </c>
    </row>
    <row r="220" spans="1:16" x14ac:dyDescent="0.25">
      <c r="A220" t="s">
        <v>736</v>
      </c>
      <c r="B220" s="1">
        <v>45471</v>
      </c>
      <c r="C220" t="s">
        <v>737</v>
      </c>
      <c r="D220" t="s">
        <v>91</v>
      </c>
      <c r="E220">
        <v>900.2</v>
      </c>
      <c r="F220">
        <v>6</v>
      </c>
      <c r="G220">
        <v>270.06</v>
      </c>
      <c r="H220">
        <v>0.15</v>
      </c>
      <c r="I220" t="s">
        <v>737</v>
      </c>
      <c r="J220" t="s">
        <v>738</v>
      </c>
      <c r="K220" t="s">
        <v>71</v>
      </c>
      <c r="L220" t="s">
        <v>25</v>
      </c>
      <c r="M220" t="s">
        <v>26</v>
      </c>
      <c r="N220" t="s">
        <v>3966</v>
      </c>
      <c r="P220">
        <f t="shared" si="3"/>
        <v>0.3</v>
      </c>
    </row>
    <row r="221" spans="1:16" x14ac:dyDescent="0.25">
      <c r="A221" t="s">
        <v>739</v>
      </c>
      <c r="B221" s="1">
        <v>45397</v>
      </c>
      <c r="C221" t="s">
        <v>740</v>
      </c>
      <c r="D221" t="s">
        <v>15</v>
      </c>
      <c r="E221">
        <v>286.86</v>
      </c>
      <c r="F221">
        <v>2</v>
      </c>
      <c r="G221">
        <v>86.06</v>
      </c>
      <c r="H221">
        <v>0</v>
      </c>
      <c r="I221" t="s">
        <v>740</v>
      </c>
      <c r="J221" t="s">
        <v>644</v>
      </c>
      <c r="K221" t="s">
        <v>71</v>
      </c>
      <c r="L221" t="s">
        <v>741</v>
      </c>
      <c r="M221" t="s">
        <v>19</v>
      </c>
      <c r="N221" t="s">
        <v>3966</v>
      </c>
      <c r="P221">
        <f t="shared" si="3"/>
        <v>0.30000697204211113</v>
      </c>
    </row>
    <row r="222" spans="1:16" x14ac:dyDescent="0.25">
      <c r="A222" t="s">
        <v>742</v>
      </c>
      <c r="B222" s="1">
        <v>45257</v>
      </c>
      <c r="C222" t="s">
        <v>743</v>
      </c>
      <c r="D222" t="s">
        <v>48</v>
      </c>
      <c r="E222">
        <v>6138.9</v>
      </c>
      <c r="F222">
        <v>12</v>
      </c>
      <c r="G222">
        <v>1841.67</v>
      </c>
      <c r="H222">
        <v>0.05</v>
      </c>
      <c r="I222" t="s">
        <v>743</v>
      </c>
      <c r="J222" t="s">
        <v>590</v>
      </c>
      <c r="K222" t="s">
        <v>17</v>
      </c>
      <c r="L222" t="s">
        <v>25</v>
      </c>
      <c r="M222" t="s">
        <v>26</v>
      </c>
      <c r="N222" t="s">
        <v>3966</v>
      </c>
      <c r="P222">
        <f t="shared" si="3"/>
        <v>0.30000000000000004</v>
      </c>
    </row>
    <row r="223" spans="1:16" x14ac:dyDescent="0.25">
      <c r="A223" t="s">
        <v>744</v>
      </c>
      <c r="B223" s="1">
        <v>45743</v>
      </c>
      <c r="C223" t="s">
        <v>745</v>
      </c>
      <c r="D223" t="s">
        <v>41</v>
      </c>
      <c r="E223">
        <v>435.85</v>
      </c>
      <c r="F223">
        <v>5</v>
      </c>
      <c r="G223">
        <v>130.76</v>
      </c>
      <c r="H223">
        <v>0</v>
      </c>
      <c r="I223" t="s">
        <v>745</v>
      </c>
      <c r="J223" t="s">
        <v>174</v>
      </c>
      <c r="K223" t="s">
        <v>17</v>
      </c>
      <c r="L223" t="s">
        <v>746</v>
      </c>
      <c r="M223" t="s">
        <v>244</v>
      </c>
      <c r="N223" t="s">
        <v>3966</v>
      </c>
      <c r="P223">
        <f t="shared" si="3"/>
        <v>0.30001147183664101</v>
      </c>
    </row>
    <row r="224" spans="1:16" x14ac:dyDescent="0.25">
      <c r="A224" t="s">
        <v>747</v>
      </c>
      <c r="B224" s="1">
        <v>45144</v>
      </c>
      <c r="C224" t="s">
        <v>748</v>
      </c>
      <c r="D224" t="s">
        <v>48</v>
      </c>
      <c r="E224">
        <v>3139.42</v>
      </c>
      <c r="F224">
        <v>7</v>
      </c>
      <c r="G224">
        <v>941.82</v>
      </c>
      <c r="H224">
        <v>0.1</v>
      </c>
      <c r="I224" t="s">
        <v>748</v>
      </c>
      <c r="J224" t="s">
        <v>749</v>
      </c>
      <c r="K224" t="s">
        <v>24</v>
      </c>
      <c r="L224" t="s">
        <v>750</v>
      </c>
      <c r="M224" t="s">
        <v>632</v>
      </c>
      <c r="N224" t="s">
        <v>3966</v>
      </c>
      <c r="P224">
        <f t="shared" si="3"/>
        <v>0.29999808881895385</v>
      </c>
    </row>
    <row r="225" spans="1:16" x14ac:dyDescent="0.25">
      <c r="A225" t="s">
        <v>751</v>
      </c>
      <c r="B225" s="1">
        <v>45639</v>
      </c>
      <c r="C225" t="s">
        <v>752</v>
      </c>
      <c r="D225" t="s">
        <v>41</v>
      </c>
      <c r="E225">
        <v>728.54</v>
      </c>
      <c r="F225">
        <v>15</v>
      </c>
      <c r="G225">
        <v>218.56</v>
      </c>
      <c r="H225">
        <v>0.15</v>
      </c>
      <c r="I225" t="s">
        <v>752</v>
      </c>
      <c r="J225" t="s">
        <v>753</v>
      </c>
      <c r="K225" t="s">
        <v>24</v>
      </c>
      <c r="L225" t="s">
        <v>171</v>
      </c>
      <c r="M225" t="s">
        <v>754</v>
      </c>
      <c r="N225" t="s">
        <v>3966</v>
      </c>
      <c r="P225">
        <f t="shared" si="3"/>
        <v>0.29999725478353972</v>
      </c>
    </row>
    <row r="226" spans="1:16" x14ac:dyDescent="0.25">
      <c r="A226" t="s">
        <v>755</v>
      </c>
      <c r="B226" s="1">
        <v>45674</v>
      </c>
      <c r="C226" t="s">
        <v>756</v>
      </c>
      <c r="D226" t="s">
        <v>91</v>
      </c>
      <c r="E226">
        <v>1899.95</v>
      </c>
      <c r="F226">
        <v>18</v>
      </c>
      <c r="G226">
        <v>569.99</v>
      </c>
      <c r="H226">
        <v>0.15</v>
      </c>
      <c r="I226" t="s">
        <v>756</v>
      </c>
      <c r="J226" t="s">
        <v>142</v>
      </c>
      <c r="K226" t="s">
        <v>38</v>
      </c>
      <c r="L226" t="s">
        <v>757</v>
      </c>
      <c r="M226" t="s">
        <v>129</v>
      </c>
      <c r="N226" t="s">
        <v>3966</v>
      </c>
      <c r="P226">
        <f t="shared" si="3"/>
        <v>0.30000263164820129</v>
      </c>
    </row>
    <row r="227" spans="1:16" x14ac:dyDescent="0.25">
      <c r="A227" t="s">
        <v>758</v>
      </c>
      <c r="B227" s="1">
        <v>45256</v>
      </c>
      <c r="C227" t="s">
        <v>759</v>
      </c>
      <c r="D227" t="s">
        <v>29</v>
      </c>
      <c r="E227">
        <v>1160.46</v>
      </c>
      <c r="F227">
        <v>12</v>
      </c>
      <c r="G227">
        <v>348.14</v>
      </c>
      <c r="H227">
        <v>0.1</v>
      </c>
      <c r="I227" t="s">
        <v>759</v>
      </c>
      <c r="J227" t="s">
        <v>760</v>
      </c>
      <c r="K227" t="s">
        <v>71</v>
      </c>
      <c r="L227" t="s">
        <v>761</v>
      </c>
      <c r="M227" t="s">
        <v>144</v>
      </c>
      <c r="N227" t="s">
        <v>3967</v>
      </c>
      <c r="P227">
        <f t="shared" si="3"/>
        <v>0.30000172345449216</v>
      </c>
    </row>
    <row r="228" spans="1:16" x14ac:dyDescent="0.25">
      <c r="A228" t="s">
        <v>762</v>
      </c>
      <c r="B228" s="1">
        <v>44971</v>
      </c>
      <c r="C228" t="s">
        <v>763</v>
      </c>
      <c r="D228" t="s">
        <v>36</v>
      </c>
      <c r="E228">
        <v>2961.07</v>
      </c>
      <c r="F228">
        <v>8</v>
      </c>
      <c r="G228">
        <v>888.32</v>
      </c>
      <c r="H228">
        <v>0.1</v>
      </c>
      <c r="I228" t="s">
        <v>763</v>
      </c>
      <c r="J228" t="s">
        <v>764</v>
      </c>
      <c r="K228" t="s">
        <v>17</v>
      </c>
      <c r="L228" t="s">
        <v>361</v>
      </c>
      <c r="M228" t="s">
        <v>56</v>
      </c>
      <c r="N228" t="s">
        <v>3967</v>
      </c>
      <c r="P228">
        <f t="shared" si="3"/>
        <v>0.29999966228424185</v>
      </c>
    </row>
    <row r="229" spans="1:16" x14ac:dyDescent="0.25">
      <c r="A229" t="s">
        <v>765</v>
      </c>
      <c r="B229" s="1">
        <v>45690</v>
      </c>
      <c r="C229" t="s">
        <v>766</v>
      </c>
      <c r="D229" t="s">
        <v>41</v>
      </c>
      <c r="E229">
        <v>1736.7</v>
      </c>
      <c r="F229">
        <v>7</v>
      </c>
      <c r="G229">
        <v>521.01</v>
      </c>
      <c r="H229">
        <v>0</v>
      </c>
      <c r="I229" t="s">
        <v>766</v>
      </c>
      <c r="J229" t="s">
        <v>767</v>
      </c>
      <c r="K229" t="s">
        <v>38</v>
      </c>
      <c r="L229" t="s">
        <v>768</v>
      </c>
      <c r="M229" t="s">
        <v>44</v>
      </c>
      <c r="N229" t="s">
        <v>3967</v>
      </c>
      <c r="P229">
        <f t="shared" si="3"/>
        <v>0.3</v>
      </c>
    </row>
    <row r="230" spans="1:16" x14ac:dyDescent="0.25">
      <c r="A230" t="s">
        <v>769</v>
      </c>
      <c r="B230" s="1">
        <v>45027</v>
      </c>
      <c r="C230" t="s">
        <v>770</v>
      </c>
      <c r="D230" t="s">
        <v>41</v>
      </c>
      <c r="E230">
        <v>1313.6</v>
      </c>
      <c r="F230">
        <v>3</v>
      </c>
      <c r="G230">
        <v>394.08</v>
      </c>
      <c r="H230">
        <v>0.1</v>
      </c>
      <c r="I230" t="s">
        <v>770</v>
      </c>
      <c r="J230" t="s">
        <v>336</v>
      </c>
      <c r="K230" t="s">
        <v>71</v>
      </c>
      <c r="L230" t="s">
        <v>631</v>
      </c>
      <c r="M230" t="s">
        <v>632</v>
      </c>
      <c r="N230" t="s">
        <v>3966</v>
      </c>
      <c r="P230">
        <f t="shared" si="3"/>
        <v>0.3</v>
      </c>
    </row>
    <row r="231" spans="1:16" x14ac:dyDescent="0.25">
      <c r="A231" t="s">
        <v>771</v>
      </c>
      <c r="B231" s="1">
        <v>45481</v>
      </c>
      <c r="C231" t="s">
        <v>772</v>
      </c>
      <c r="D231" t="s">
        <v>48</v>
      </c>
      <c r="E231">
        <v>6723.65</v>
      </c>
      <c r="F231">
        <v>18</v>
      </c>
      <c r="G231">
        <v>2017.09</v>
      </c>
      <c r="H231">
        <v>0.1</v>
      </c>
      <c r="I231" t="s">
        <v>772</v>
      </c>
      <c r="J231" t="s">
        <v>773</v>
      </c>
      <c r="K231" t="s">
        <v>31</v>
      </c>
      <c r="L231" t="s">
        <v>774</v>
      </c>
      <c r="M231" t="s">
        <v>33</v>
      </c>
      <c r="N231" t="s">
        <v>3966</v>
      </c>
      <c r="P231">
        <f t="shared" si="3"/>
        <v>0.2999992563562946</v>
      </c>
    </row>
    <row r="232" spans="1:16" x14ac:dyDescent="0.25">
      <c r="A232" t="s">
        <v>775</v>
      </c>
      <c r="B232" s="1">
        <v>44965</v>
      </c>
      <c r="C232" t="s">
        <v>776</v>
      </c>
      <c r="D232" t="s">
        <v>41</v>
      </c>
      <c r="E232">
        <v>2670.89</v>
      </c>
      <c r="F232">
        <v>19</v>
      </c>
      <c r="G232">
        <v>801.27</v>
      </c>
      <c r="H232">
        <v>0.15</v>
      </c>
      <c r="I232" t="s">
        <v>776</v>
      </c>
      <c r="J232" t="s">
        <v>777</v>
      </c>
      <c r="K232" t="s">
        <v>38</v>
      </c>
      <c r="L232" t="s">
        <v>155</v>
      </c>
      <c r="M232" t="s">
        <v>111</v>
      </c>
      <c r="N232" t="s">
        <v>3967</v>
      </c>
      <c r="P232">
        <f t="shared" si="3"/>
        <v>0.30000112322109862</v>
      </c>
    </row>
    <row r="233" spans="1:16" x14ac:dyDescent="0.25">
      <c r="A233" t="s">
        <v>778</v>
      </c>
      <c r="B233" s="1">
        <v>45391</v>
      </c>
      <c r="C233" t="s">
        <v>779</v>
      </c>
      <c r="D233" t="s">
        <v>29</v>
      </c>
      <c r="E233">
        <v>234.94</v>
      </c>
      <c r="F233">
        <v>2</v>
      </c>
      <c r="G233">
        <v>70.48</v>
      </c>
      <c r="H233">
        <v>0</v>
      </c>
      <c r="I233" t="s">
        <v>779</v>
      </c>
      <c r="J233" t="s">
        <v>780</v>
      </c>
      <c r="K233" t="s">
        <v>71</v>
      </c>
      <c r="L233" t="s">
        <v>99</v>
      </c>
      <c r="M233" t="s">
        <v>56</v>
      </c>
      <c r="N233" t="s">
        <v>3968</v>
      </c>
      <c r="P233">
        <f t="shared" si="3"/>
        <v>0.29999148718821828</v>
      </c>
    </row>
    <row r="234" spans="1:16" x14ac:dyDescent="0.25">
      <c r="A234" t="s">
        <v>781</v>
      </c>
      <c r="B234" s="1">
        <v>45152</v>
      </c>
      <c r="C234" t="s">
        <v>782</v>
      </c>
      <c r="D234" t="s">
        <v>41</v>
      </c>
      <c r="E234">
        <v>3532.69</v>
      </c>
      <c r="F234">
        <v>9</v>
      </c>
      <c r="G234">
        <v>1059.81</v>
      </c>
      <c r="H234">
        <v>0.15</v>
      </c>
      <c r="I234" t="s">
        <v>782</v>
      </c>
      <c r="J234" t="s">
        <v>256</v>
      </c>
      <c r="K234" t="s">
        <v>38</v>
      </c>
      <c r="L234" t="s">
        <v>143</v>
      </c>
      <c r="M234" t="s">
        <v>144</v>
      </c>
      <c r="N234" t="s">
        <v>3968</v>
      </c>
      <c r="P234">
        <f t="shared" si="3"/>
        <v>0.30000084921122427</v>
      </c>
    </row>
    <row r="235" spans="1:16" x14ac:dyDescent="0.25">
      <c r="A235" t="s">
        <v>783</v>
      </c>
      <c r="B235" s="1">
        <v>45537</v>
      </c>
      <c r="C235" t="s">
        <v>784</v>
      </c>
      <c r="D235" t="s">
        <v>91</v>
      </c>
      <c r="E235">
        <v>3767.4</v>
      </c>
      <c r="F235">
        <v>19</v>
      </c>
      <c r="G235">
        <v>1130.22</v>
      </c>
      <c r="H235">
        <v>0.05</v>
      </c>
      <c r="I235" t="s">
        <v>784</v>
      </c>
      <c r="J235" t="s">
        <v>59</v>
      </c>
      <c r="K235" t="s">
        <v>71</v>
      </c>
      <c r="L235" t="s">
        <v>459</v>
      </c>
      <c r="M235" t="s">
        <v>129</v>
      </c>
      <c r="N235" t="s">
        <v>3968</v>
      </c>
      <c r="P235">
        <f t="shared" si="3"/>
        <v>0.3</v>
      </c>
    </row>
    <row r="236" spans="1:16" x14ac:dyDescent="0.25">
      <c r="A236" t="s">
        <v>785</v>
      </c>
      <c r="B236" s="1">
        <v>45837</v>
      </c>
      <c r="C236" t="s">
        <v>786</v>
      </c>
      <c r="D236" t="s">
        <v>48</v>
      </c>
      <c r="E236">
        <v>3782.57</v>
      </c>
      <c r="F236">
        <v>16</v>
      </c>
      <c r="G236">
        <v>1134.77</v>
      </c>
      <c r="H236">
        <v>0.15</v>
      </c>
      <c r="I236" t="s">
        <v>786</v>
      </c>
      <c r="J236" t="s">
        <v>787</v>
      </c>
      <c r="K236" t="s">
        <v>38</v>
      </c>
      <c r="L236" t="s">
        <v>265</v>
      </c>
      <c r="M236" t="s">
        <v>139</v>
      </c>
      <c r="N236" t="s">
        <v>3968</v>
      </c>
      <c r="P236">
        <f t="shared" si="3"/>
        <v>0.2999997356294794</v>
      </c>
    </row>
    <row r="237" spans="1:16" x14ac:dyDescent="0.25">
      <c r="A237" t="s">
        <v>788</v>
      </c>
      <c r="B237" s="1">
        <v>45761</v>
      </c>
      <c r="C237" t="s">
        <v>789</v>
      </c>
      <c r="D237" t="s">
        <v>41</v>
      </c>
      <c r="E237">
        <v>1752.02</v>
      </c>
      <c r="F237">
        <v>5</v>
      </c>
      <c r="G237">
        <v>525.61</v>
      </c>
      <c r="H237">
        <v>0.15</v>
      </c>
      <c r="I237" t="s">
        <v>789</v>
      </c>
      <c r="J237" t="s">
        <v>790</v>
      </c>
      <c r="K237" t="s">
        <v>71</v>
      </c>
      <c r="L237" t="s">
        <v>791</v>
      </c>
      <c r="M237" t="s">
        <v>144</v>
      </c>
      <c r="N237" t="s">
        <v>3968</v>
      </c>
      <c r="P237">
        <f t="shared" si="3"/>
        <v>0.30000228307896032</v>
      </c>
    </row>
    <row r="238" spans="1:16" x14ac:dyDescent="0.25">
      <c r="A238" t="s">
        <v>792</v>
      </c>
      <c r="B238" s="1">
        <v>45749</v>
      </c>
      <c r="C238" t="s">
        <v>789</v>
      </c>
      <c r="D238" t="s">
        <v>15</v>
      </c>
      <c r="E238">
        <v>1102.3599999999999</v>
      </c>
      <c r="F238">
        <v>2</v>
      </c>
      <c r="G238">
        <v>330.71</v>
      </c>
      <c r="H238">
        <v>0.05</v>
      </c>
      <c r="I238" t="s">
        <v>789</v>
      </c>
      <c r="J238" t="s">
        <v>790</v>
      </c>
      <c r="K238" t="s">
        <v>71</v>
      </c>
      <c r="L238" t="s">
        <v>791</v>
      </c>
      <c r="M238" t="s">
        <v>144</v>
      </c>
      <c r="N238" t="s">
        <v>3967</v>
      </c>
      <c r="P238">
        <f t="shared" si="3"/>
        <v>0.30000181428934286</v>
      </c>
    </row>
    <row r="239" spans="1:16" x14ac:dyDescent="0.25">
      <c r="A239" t="s">
        <v>793</v>
      </c>
      <c r="B239" s="1">
        <v>45043</v>
      </c>
      <c r="C239" t="s">
        <v>794</v>
      </c>
      <c r="D239" t="s">
        <v>91</v>
      </c>
      <c r="E239">
        <v>4291.4399999999996</v>
      </c>
      <c r="F239">
        <v>8</v>
      </c>
      <c r="G239">
        <v>1287.43</v>
      </c>
      <c r="H239">
        <v>0</v>
      </c>
      <c r="I239" t="s">
        <v>794</v>
      </c>
      <c r="J239" t="s">
        <v>795</v>
      </c>
      <c r="K239" t="s">
        <v>38</v>
      </c>
      <c r="L239" t="s">
        <v>419</v>
      </c>
      <c r="M239" t="s">
        <v>266</v>
      </c>
      <c r="N239" t="s">
        <v>3966</v>
      </c>
      <c r="P239">
        <f t="shared" si="3"/>
        <v>0.29999953395596818</v>
      </c>
    </row>
    <row r="240" spans="1:16" x14ac:dyDescent="0.25">
      <c r="A240" t="s">
        <v>796</v>
      </c>
      <c r="B240" s="1">
        <v>45511</v>
      </c>
      <c r="C240" t="s">
        <v>797</v>
      </c>
      <c r="D240" t="s">
        <v>22</v>
      </c>
      <c r="E240">
        <v>94.33</v>
      </c>
      <c r="F240">
        <v>1</v>
      </c>
      <c r="G240">
        <v>28.3</v>
      </c>
      <c r="H240">
        <v>0</v>
      </c>
      <c r="I240" t="s">
        <v>797</v>
      </c>
      <c r="J240" t="s">
        <v>764</v>
      </c>
      <c r="K240" t="s">
        <v>17</v>
      </c>
      <c r="L240" t="s">
        <v>798</v>
      </c>
      <c r="M240" t="s">
        <v>342</v>
      </c>
      <c r="N240" t="s">
        <v>3966</v>
      </c>
      <c r="P240">
        <f t="shared" si="3"/>
        <v>0.30001060108131028</v>
      </c>
    </row>
    <row r="241" spans="1:16" x14ac:dyDescent="0.25">
      <c r="A241" t="s">
        <v>267</v>
      </c>
      <c r="B241" s="1">
        <v>45031</v>
      </c>
      <c r="C241" t="s">
        <v>268</v>
      </c>
      <c r="D241" t="s">
        <v>15</v>
      </c>
      <c r="E241">
        <v>7055.14</v>
      </c>
      <c r="F241">
        <v>16</v>
      </c>
      <c r="G241">
        <v>2116.54</v>
      </c>
      <c r="H241">
        <v>0.1</v>
      </c>
      <c r="I241" t="s">
        <v>268</v>
      </c>
      <c r="J241" t="s">
        <v>799</v>
      </c>
      <c r="K241" t="s">
        <v>71</v>
      </c>
      <c r="L241" t="s">
        <v>43</v>
      </c>
      <c r="M241" t="s">
        <v>26</v>
      </c>
      <c r="N241" t="s">
        <v>3966</v>
      </c>
      <c r="P241">
        <f t="shared" si="3"/>
        <v>0.29999971651873669</v>
      </c>
    </row>
    <row r="242" spans="1:16" x14ac:dyDescent="0.25">
      <c r="A242" t="s">
        <v>270</v>
      </c>
      <c r="B242" s="1">
        <v>45070</v>
      </c>
      <c r="C242" t="s">
        <v>268</v>
      </c>
      <c r="D242" t="s">
        <v>36</v>
      </c>
      <c r="E242">
        <v>451.71</v>
      </c>
      <c r="F242">
        <v>5</v>
      </c>
      <c r="G242">
        <v>135.51</v>
      </c>
      <c r="H242">
        <v>0.1</v>
      </c>
      <c r="I242" t="s">
        <v>268</v>
      </c>
      <c r="J242" t="s">
        <v>799</v>
      </c>
      <c r="K242" t="s">
        <v>71</v>
      </c>
      <c r="L242" t="s">
        <v>43</v>
      </c>
      <c r="M242" t="s">
        <v>26</v>
      </c>
      <c r="N242" t="s">
        <v>3966</v>
      </c>
      <c r="P242">
        <f t="shared" si="3"/>
        <v>0.29999335857076442</v>
      </c>
    </row>
    <row r="243" spans="1:16" x14ac:dyDescent="0.25">
      <c r="A243" t="s">
        <v>800</v>
      </c>
      <c r="B243" s="1">
        <v>45150</v>
      </c>
      <c r="C243" t="s">
        <v>801</v>
      </c>
      <c r="D243" t="s">
        <v>29</v>
      </c>
      <c r="E243">
        <v>2096.5</v>
      </c>
      <c r="F243">
        <v>4</v>
      </c>
      <c r="G243">
        <v>628.95000000000005</v>
      </c>
      <c r="H243">
        <v>0.05</v>
      </c>
      <c r="I243" t="s">
        <v>801</v>
      </c>
      <c r="J243" t="s">
        <v>753</v>
      </c>
      <c r="K243" t="s">
        <v>24</v>
      </c>
      <c r="L243" t="s">
        <v>185</v>
      </c>
      <c r="M243" t="s">
        <v>111</v>
      </c>
      <c r="N243" t="s">
        <v>3966</v>
      </c>
      <c r="P243">
        <f t="shared" si="3"/>
        <v>0.30000000000000004</v>
      </c>
    </row>
    <row r="244" spans="1:16" x14ac:dyDescent="0.25">
      <c r="A244" t="s">
        <v>802</v>
      </c>
      <c r="B244" s="1">
        <v>45096</v>
      </c>
      <c r="C244" t="s">
        <v>803</v>
      </c>
      <c r="D244" t="s">
        <v>41</v>
      </c>
      <c r="E244">
        <v>8605.99</v>
      </c>
      <c r="F244">
        <v>17</v>
      </c>
      <c r="G244">
        <v>2581.8000000000002</v>
      </c>
      <c r="H244">
        <v>0.15</v>
      </c>
      <c r="I244" t="s">
        <v>803</v>
      </c>
      <c r="J244" t="s">
        <v>439</v>
      </c>
      <c r="K244" t="s">
        <v>71</v>
      </c>
      <c r="L244" t="s">
        <v>50</v>
      </c>
      <c r="M244" t="s">
        <v>51</v>
      </c>
      <c r="N244" t="s">
        <v>3966</v>
      </c>
      <c r="P244">
        <f t="shared" si="3"/>
        <v>0.30000034859440927</v>
      </c>
    </row>
    <row r="245" spans="1:16" x14ac:dyDescent="0.25">
      <c r="A245" t="s">
        <v>804</v>
      </c>
      <c r="B245" s="1">
        <v>45236</v>
      </c>
      <c r="C245" t="s">
        <v>805</v>
      </c>
      <c r="D245" t="s">
        <v>41</v>
      </c>
      <c r="E245">
        <v>1556.79</v>
      </c>
      <c r="F245">
        <v>16</v>
      </c>
      <c r="G245">
        <v>467.04</v>
      </c>
      <c r="H245">
        <v>0.15</v>
      </c>
      <c r="I245" t="s">
        <v>805</v>
      </c>
      <c r="J245" t="s">
        <v>806</v>
      </c>
      <c r="K245" t="s">
        <v>17</v>
      </c>
      <c r="L245" t="s">
        <v>289</v>
      </c>
      <c r="M245" t="s">
        <v>160</v>
      </c>
      <c r="N245" t="s">
        <v>3966</v>
      </c>
      <c r="P245">
        <f t="shared" si="3"/>
        <v>0.30000192704218298</v>
      </c>
    </row>
    <row r="246" spans="1:16" x14ac:dyDescent="0.25">
      <c r="A246" t="s">
        <v>807</v>
      </c>
      <c r="B246" s="1">
        <v>45289</v>
      </c>
      <c r="C246" t="s">
        <v>805</v>
      </c>
      <c r="D246" t="s">
        <v>41</v>
      </c>
      <c r="E246">
        <v>162.11000000000001</v>
      </c>
      <c r="F246">
        <v>1</v>
      </c>
      <c r="G246">
        <v>48.63</v>
      </c>
      <c r="H246">
        <v>0.1</v>
      </c>
      <c r="I246" t="s">
        <v>805</v>
      </c>
      <c r="J246" t="s">
        <v>806</v>
      </c>
      <c r="K246" t="s">
        <v>17</v>
      </c>
      <c r="L246" t="s">
        <v>289</v>
      </c>
      <c r="M246" t="s">
        <v>160</v>
      </c>
      <c r="N246" t="s">
        <v>3968</v>
      </c>
      <c r="P246">
        <f t="shared" si="3"/>
        <v>0.29998149404725188</v>
      </c>
    </row>
    <row r="247" spans="1:16" x14ac:dyDescent="0.25">
      <c r="A247" t="s">
        <v>808</v>
      </c>
      <c r="B247" s="1">
        <v>45011</v>
      </c>
      <c r="C247" t="s">
        <v>809</v>
      </c>
      <c r="D247" t="s">
        <v>29</v>
      </c>
      <c r="E247">
        <v>3075.3</v>
      </c>
      <c r="F247">
        <v>12</v>
      </c>
      <c r="G247">
        <v>922.59</v>
      </c>
      <c r="H247">
        <v>0.15</v>
      </c>
      <c r="I247" t="s">
        <v>809</v>
      </c>
      <c r="J247" t="s">
        <v>810</v>
      </c>
      <c r="K247" t="s">
        <v>17</v>
      </c>
      <c r="L247" t="s">
        <v>811</v>
      </c>
      <c r="M247" t="s">
        <v>111</v>
      </c>
      <c r="N247" t="s">
        <v>3968</v>
      </c>
      <c r="P247">
        <f t="shared" si="3"/>
        <v>0.3</v>
      </c>
    </row>
    <row r="248" spans="1:16" x14ac:dyDescent="0.25">
      <c r="A248" t="s">
        <v>812</v>
      </c>
      <c r="B248" s="1">
        <v>45170</v>
      </c>
      <c r="C248" t="s">
        <v>813</v>
      </c>
      <c r="D248" t="s">
        <v>22</v>
      </c>
      <c r="E248">
        <v>4650.3500000000004</v>
      </c>
      <c r="F248">
        <v>20</v>
      </c>
      <c r="G248">
        <v>1395.11</v>
      </c>
      <c r="H248">
        <v>0.15</v>
      </c>
      <c r="I248" t="s">
        <v>813</v>
      </c>
      <c r="J248" t="s">
        <v>458</v>
      </c>
      <c r="K248" t="s">
        <v>24</v>
      </c>
      <c r="L248" t="s">
        <v>814</v>
      </c>
      <c r="M248" t="s">
        <v>56</v>
      </c>
      <c r="N248" t="s">
        <v>3968</v>
      </c>
      <c r="P248">
        <f t="shared" si="3"/>
        <v>0.30000107518788904</v>
      </c>
    </row>
    <row r="249" spans="1:16" x14ac:dyDescent="0.25">
      <c r="A249" t="s">
        <v>815</v>
      </c>
      <c r="B249" s="1">
        <v>45509</v>
      </c>
      <c r="C249" t="s">
        <v>816</v>
      </c>
      <c r="D249" t="s">
        <v>91</v>
      </c>
      <c r="E249">
        <v>1010.12</v>
      </c>
      <c r="F249">
        <v>6</v>
      </c>
      <c r="G249">
        <v>303.04000000000002</v>
      </c>
      <c r="H249">
        <v>0.1</v>
      </c>
      <c r="I249" t="s">
        <v>816</v>
      </c>
      <c r="J249" t="s">
        <v>497</v>
      </c>
      <c r="K249" t="s">
        <v>71</v>
      </c>
      <c r="L249" t="s">
        <v>155</v>
      </c>
      <c r="M249" t="s">
        <v>111</v>
      </c>
      <c r="N249" t="s">
        <v>3968</v>
      </c>
      <c r="P249">
        <f t="shared" si="3"/>
        <v>0.3000039599255534</v>
      </c>
    </row>
    <row r="250" spans="1:16" x14ac:dyDescent="0.25">
      <c r="A250" t="s">
        <v>817</v>
      </c>
      <c r="B250" s="1">
        <v>45680</v>
      </c>
      <c r="C250" t="s">
        <v>818</v>
      </c>
      <c r="D250" t="s">
        <v>36</v>
      </c>
      <c r="E250">
        <v>9000.32</v>
      </c>
      <c r="F250">
        <v>16</v>
      </c>
      <c r="G250">
        <v>2700.1</v>
      </c>
      <c r="H250">
        <v>0</v>
      </c>
      <c r="I250" t="s">
        <v>818</v>
      </c>
      <c r="J250" t="s">
        <v>819</v>
      </c>
      <c r="K250" t="s">
        <v>31</v>
      </c>
      <c r="L250" t="s">
        <v>820</v>
      </c>
      <c r="M250" t="s">
        <v>144</v>
      </c>
      <c r="N250" t="s">
        <v>3968</v>
      </c>
      <c r="P250">
        <f t="shared" si="3"/>
        <v>0.30000044442864254</v>
      </c>
    </row>
    <row r="251" spans="1:16" x14ac:dyDescent="0.25">
      <c r="A251" t="s">
        <v>821</v>
      </c>
      <c r="B251" s="1">
        <v>45062</v>
      </c>
      <c r="C251" t="s">
        <v>822</v>
      </c>
      <c r="D251" t="s">
        <v>91</v>
      </c>
      <c r="E251">
        <v>306.58</v>
      </c>
      <c r="F251">
        <v>4</v>
      </c>
      <c r="G251">
        <v>91.97</v>
      </c>
      <c r="H251">
        <v>0.1</v>
      </c>
      <c r="I251" t="s">
        <v>822</v>
      </c>
      <c r="J251" t="s">
        <v>823</v>
      </c>
      <c r="K251" t="s">
        <v>17</v>
      </c>
      <c r="L251" t="s">
        <v>72</v>
      </c>
      <c r="M251" t="s">
        <v>26</v>
      </c>
      <c r="N251" t="s">
        <v>3966</v>
      </c>
      <c r="P251">
        <f t="shared" si="3"/>
        <v>0.29998695283449672</v>
      </c>
    </row>
    <row r="252" spans="1:16" x14ac:dyDescent="0.25">
      <c r="A252" t="s">
        <v>824</v>
      </c>
      <c r="B252" s="1">
        <v>44971</v>
      </c>
      <c r="C252" t="s">
        <v>825</v>
      </c>
      <c r="D252" t="s">
        <v>91</v>
      </c>
      <c r="E252">
        <v>4605.3999999999996</v>
      </c>
      <c r="F252">
        <v>12</v>
      </c>
      <c r="G252">
        <v>1381.62</v>
      </c>
      <c r="H252">
        <v>0.15</v>
      </c>
      <c r="I252" t="s">
        <v>825</v>
      </c>
      <c r="J252" t="s">
        <v>527</v>
      </c>
      <c r="K252" t="s">
        <v>31</v>
      </c>
      <c r="L252" t="s">
        <v>25</v>
      </c>
      <c r="M252" t="s">
        <v>26</v>
      </c>
      <c r="N252" t="s">
        <v>3966</v>
      </c>
      <c r="P252">
        <f t="shared" si="3"/>
        <v>0.3</v>
      </c>
    </row>
    <row r="253" spans="1:16" x14ac:dyDescent="0.25">
      <c r="A253" t="s">
        <v>826</v>
      </c>
      <c r="B253" s="1">
        <v>45446</v>
      </c>
      <c r="C253" t="s">
        <v>827</v>
      </c>
      <c r="D253" t="s">
        <v>91</v>
      </c>
      <c r="E253">
        <v>220.89</v>
      </c>
      <c r="F253">
        <v>1</v>
      </c>
      <c r="G253">
        <v>66.27</v>
      </c>
      <c r="H253">
        <v>0.15</v>
      </c>
      <c r="I253" t="s">
        <v>827</v>
      </c>
      <c r="J253" t="s">
        <v>828</v>
      </c>
      <c r="K253" t="s">
        <v>38</v>
      </c>
      <c r="L253" t="s">
        <v>148</v>
      </c>
      <c r="M253" t="s">
        <v>144</v>
      </c>
      <c r="N253" t="s">
        <v>3966</v>
      </c>
      <c r="P253">
        <f t="shared" si="3"/>
        <v>0.30001358142061657</v>
      </c>
    </row>
    <row r="254" spans="1:16" x14ac:dyDescent="0.25">
      <c r="A254" t="s">
        <v>829</v>
      </c>
      <c r="B254" s="1">
        <v>45238</v>
      </c>
      <c r="C254" t="s">
        <v>830</v>
      </c>
      <c r="D254" t="s">
        <v>91</v>
      </c>
      <c r="E254">
        <v>5096.75</v>
      </c>
      <c r="F254">
        <v>20</v>
      </c>
      <c r="G254">
        <v>1529.03</v>
      </c>
      <c r="H254">
        <v>0.05</v>
      </c>
      <c r="I254" t="s">
        <v>830</v>
      </c>
      <c r="J254" t="s">
        <v>831</v>
      </c>
      <c r="K254" t="s">
        <v>38</v>
      </c>
      <c r="L254" t="s">
        <v>143</v>
      </c>
      <c r="M254" t="s">
        <v>144</v>
      </c>
      <c r="N254" t="s">
        <v>3966</v>
      </c>
      <c r="P254">
        <f t="shared" si="3"/>
        <v>0.30000098101731493</v>
      </c>
    </row>
    <row r="255" spans="1:16" x14ac:dyDescent="0.25">
      <c r="A255" t="s">
        <v>832</v>
      </c>
      <c r="B255" s="1">
        <v>45621</v>
      </c>
      <c r="C255" t="s">
        <v>833</v>
      </c>
      <c r="D255" t="s">
        <v>36</v>
      </c>
      <c r="E255">
        <v>5159.88</v>
      </c>
      <c r="F255">
        <v>20</v>
      </c>
      <c r="G255">
        <v>1547.96</v>
      </c>
      <c r="H255">
        <v>0.1</v>
      </c>
      <c r="I255" t="s">
        <v>833</v>
      </c>
      <c r="J255" t="s">
        <v>834</v>
      </c>
      <c r="K255" t="s">
        <v>71</v>
      </c>
      <c r="L255" t="s">
        <v>488</v>
      </c>
      <c r="M255" t="s">
        <v>26</v>
      </c>
      <c r="N255" t="s">
        <v>3966</v>
      </c>
      <c r="P255">
        <f t="shared" si="3"/>
        <v>0.29999922478817337</v>
      </c>
    </row>
    <row r="256" spans="1:16" x14ac:dyDescent="0.25">
      <c r="A256" t="s">
        <v>835</v>
      </c>
      <c r="B256" s="1">
        <v>44950</v>
      </c>
      <c r="C256" t="s">
        <v>833</v>
      </c>
      <c r="D256" t="s">
        <v>22</v>
      </c>
      <c r="E256">
        <v>2661.3</v>
      </c>
      <c r="F256">
        <v>10</v>
      </c>
      <c r="G256">
        <v>798.39</v>
      </c>
      <c r="H256">
        <v>0</v>
      </c>
      <c r="I256" t="s">
        <v>833</v>
      </c>
      <c r="J256" t="s">
        <v>834</v>
      </c>
      <c r="K256" t="s">
        <v>71</v>
      </c>
      <c r="L256" t="s">
        <v>488</v>
      </c>
      <c r="M256" t="s">
        <v>26</v>
      </c>
      <c r="N256" t="s">
        <v>3967</v>
      </c>
      <c r="P256">
        <f t="shared" si="3"/>
        <v>0.3</v>
      </c>
    </row>
    <row r="257" spans="1:16" x14ac:dyDescent="0.25">
      <c r="A257" t="s">
        <v>836</v>
      </c>
      <c r="B257" s="1">
        <v>45736</v>
      </c>
      <c r="C257" t="s">
        <v>837</v>
      </c>
      <c r="D257" t="s">
        <v>15</v>
      </c>
      <c r="E257">
        <v>8431.33</v>
      </c>
      <c r="F257">
        <v>18</v>
      </c>
      <c r="G257">
        <v>2529.4</v>
      </c>
      <c r="H257">
        <v>0.05</v>
      </c>
      <c r="I257" t="s">
        <v>837</v>
      </c>
      <c r="J257" t="s">
        <v>838</v>
      </c>
      <c r="K257" t="s">
        <v>71</v>
      </c>
      <c r="L257" t="s">
        <v>143</v>
      </c>
      <c r="M257" t="s">
        <v>144</v>
      </c>
      <c r="N257" t="s">
        <v>3967</v>
      </c>
      <c r="P257">
        <f t="shared" si="3"/>
        <v>0.30000011860524972</v>
      </c>
    </row>
    <row r="258" spans="1:16" x14ac:dyDescent="0.25">
      <c r="A258" t="s">
        <v>839</v>
      </c>
      <c r="B258" s="1">
        <v>45344</v>
      </c>
      <c r="C258" t="s">
        <v>840</v>
      </c>
      <c r="D258" t="s">
        <v>48</v>
      </c>
      <c r="E258">
        <v>139.91999999999999</v>
      </c>
      <c r="F258">
        <v>4</v>
      </c>
      <c r="G258">
        <v>41.97</v>
      </c>
      <c r="H258">
        <v>0.05</v>
      </c>
      <c r="I258" t="s">
        <v>840</v>
      </c>
      <c r="J258" t="s">
        <v>841</v>
      </c>
      <c r="K258" t="s">
        <v>71</v>
      </c>
      <c r="L258" t="s">
        <v>25</v>
      </c>
      <c r="M258" t="s">
        <v>26</v>
      </c>
      <c r="N258" t="s">
        <v>3967</v>
      </c>
      <c r="P258">
        <f t="shared" si="3"/>
        <v>0.29995711835334476</v>
      </c>
    </row>
    <row r="259" spans="1:16" x14ac:dyDescent="0.25">
      <c r="A259" t="s">
        <v>842</v>
      </c>
      <c r="B259" s="1">
        <v>45749</v>
      </c>
      <c r="C259" t="s">
        <v>843</v>
      </c>
      <c r="D259" t="s">
        <v>41</v>
      </c>
      <c r="E259">
        <v>4217.1899999999996</v>
      </c>
      <c r="F259">
        <v>12</v>
      </c>
      <c r="G259">
        <v>1265.1600000000001</v>
      </c>
      <c r="H259">
        <v>0.15</v>
      </c>
      <c r="I259" t="s">
        <v>843</v>
      </c>
      <c r="J259" t="s">
        <v>844</v>
      </c>
      <c r="K259" t="s">
        <v>31</v>
      </c>
      <c r="L259" t="s">
        <v>155</v>
      </c>
      <c r="M259" t="s">
        <v>111</v>
      </c>
      <c r="N259" t="s">
        <v>3967</v>
      </c>
      <c r="P259">
        <f t="shared" ref="P259:P322" si="4">G259/E259</f>
        <v>0.30000071137416151</v>
      </c>
    </row>
    <row r="260" spans="1:16" x14ac:dyDescent="0.25">
      <c r="A260" t="s">
        <v>845</v>
      </c>
      <c r="B260" s="1">
        <v>45183</v>
      </c>
      <c r="C260" t="s">
        <v>846</v>
      </c>
      <c r="D260" t="s">
        <v>41</v>
      </c>
      <c r="E260">
        <v>1962.4</v>
      </c>
      <c r="F260">
        <v>10</v>
      </c>
      <c r="G260">
        <v>588.72</v>
      </c>
      <c r="H260">
        <v>0.15</v>
      </c>
      <c r="I260" t="s">
        <v>846</v>
      </c>
      <c r="J260" t="s">
        <v>847</v>
      </c>
      <c r="K260" t="s">
        <v>31</v>
      </c>
      <c r="L260" t="s">
        <v>848</v>
      </c>
      <c r="M260" t="s">
        <v>56</v>
      </c>
      <c r="N260" t="s">
        <v>3966</v>
      </c>
      <c r="P260">
        <f t="shared" si="4"/>
        <v>0.3</v>
      </c>
    </row>
    <row r="261" spans="1:16" x14ac:dyDescent="0.25">
      <c r="A261" t="s">
        <v>849</v>
      </c>
      <c r="B261" s="1">
        <v>45820</v>
      </c>
      <c r="C261" t="s">
        <v>846</v>
      </c>
      <c r="D261" t="s">
        <v>36</v>
      </c>
      <c r="E261">
        <v>7630.88</v>
      </c>
      <c r="F261">
        <v>19</v>
      </c>
      <c r="G261">
        <v>2289.2600000000002</v>
      </c>
      <c r="H261">
        <v>0.1</v>
      </c>
      <c r="I261" t="s">
        <v>846</v>
      </c>
      <c r="J261" t="s">
        <v>847</v>
      </c>
      <c r="K261" t="s">
        <v>31</v>
      </c>
      <c r="L261" t="s">
        <v>848</v>
      </c>
      <c r="M261" t="s">
        <v>56</v>
      </c>
      <c r="N261" t="s">
        <v>3966</v>
      </c>
      <c r="P261">
        <f t="shared" si="4"/>
        <v>0.29999947581406078</v>
      </c>
    </row>
    <row r="262" spans="1:16" x14ac:dyDescent="0.25">
      <c r="A262" t="s">
        <v>850</v>
      </c>
      <c r="B262" s="1">
        <v>45457</v>
      </c>
      <c r="C262" t="s">
        <v>851</v>
      </c>
      <c r="D262" t="s">
        <v>15</v>
      </c>
      <c r="E262">
        <v>517.37</v>
      </c>
      <c r="F262">
        <v>2</v>
      </c>
      <c r="G262">
        <v>155.21</v>
      </c>
      <c r="H262">
        <v>0.1</v>
      </c>
      <c r="I262" t="s">
        <v>851</v>
      </c>
      <c r="J262" t="s">
        <v>852</v>
      </c>
      <c r="K262" t="s">
        <v>17</v>
      </c>
      <c r="L262" t="s">
        <v>206</v>
      </c>
      <c r="M262" t="s">
        <v>144</v>
      </c>
      <c r="N262" t="s">
        <v>3966</v>
      </c>
      <c r="P262">
        <f t="shared" si="4"/>
        <v>0.2999980671473027</v>
      </c>
    </row>
    <row r="263" spans="1:16" x14ac:dyDescent="0.25">
      <c r="A263" t="s">
        <v>853</v>
      </c>
      <c r="B263" s="1">
        <v>45059</v>
      </c>
      <c r="C263" t="s">
        <v>851</v>
      </c>
      <c r="D263" t="s">
        <v>15</v>
      </c>
      <c r="E263">
        <v>492.48</v>
      </c>
      <c r="F263">
        <v>7</v>
      </c>
      <c r="G263">
        <v>147.74</v>
      </c>
      <c r="H263">
        <v>0.15</v>
      </c>
      <c r="I263" t="s">
        <v>851</v>
      </c>
      <c r="J263" t="s">
        <v>852</v>
      </c>
      <c r="K263" t="s">
        <v>17</v>
      </c>
      <c r="L263" t="s">
        <v>206</v>
      </c>
      <c r="M263" t="s">
        <v>144</v>
      </c>
      <c r="N263" t="s">
        <v>3967</v>
      </c>
      <c r="P263">
        <f t="shared" si="4"/>
        <v>0.29999187784275505</v>
      </c>
    </row>
    <row r="264" spans="1:16" x14ac:dyDescent="0.25">
      <c r="A264" t="s">
        <v>854</v>
      </c>
      <c r="B264" s="1">
        <v>45010</v>
      </c>
      <c r="C264" t="s">
        <v>855</v>
      </c>
      <c r="D264" t="s">
        <v>29</v>
      </c>
      <c r="E264">
        <v>5777.96</v>
      </c>
      <c r="F264">
        <v>17</v>
      </c>
      <c r="G264">
        <v>1733.39</v>
      </c>
      <c r="H264">
        <v>0</v>
      </c>
      <c r="I264" t="s">
        <v>855</v>
      </c>
      <c r="J264" t="s">
        <v>856</v>
      </c>
      <c r="K264" t="s">
        <v>24</v>
      </c>
      <c r="L264" t="s">
        <v>50</v>
      </c>
      <c r="M264" t="s">
        <v>51</v>
      </c>
      <c r="N264" t="s">
        <v>3967</v>
      </c>
      <c r="P264">
        <f t="shared" si="4"/>
        <v>0.30000034614292936</v>
      </c>
    </row>
    <row r="265" spans="1:16" x14ac:dyDescent="0.25">
      <c r="A265" t="s">
        <v>857</v>
      </c>
      <c r="B265" s="1">
        <v>45222</v>
      </c>
      <c r="C265" t="s">
        <v>858</v>
      </c>
      <c r="D265" t="s">
        <v>91</v>
      </c>
      <c r="E265">
        <v>1588.26</v>
      </c>
      <c r="F265">
        <v>5</v>
      </c>
      <c r="G265">
        <v>476.48</v>
      </c>
      <c r="H265">
        <v>0.05</v>
      </c>
      <c r="I265" t="s">
        <v>858</v>
      </c>
      <c r="J265" t="s">
        <v>859</v>
      </c>
      <c r="K265" t="s">
        <v>24</v>
      </c>
      <c r="L265" t="s">
        <v>175</v>
      </c>
      <c r="M265" t="s">
        <v>176</v>
      </c>
      <c r="N265" t="s">
        <v>3967</v>
      </c>
      <c r="P265">
        <f t="shared" si="4"/>
        <v>0.30000125923967108</v>
      </c>
    </row>
    <row r="266" spans="1:16" x14ac:dyDescent="0.25">
      <c r="A266" t="s">
        <v>860</v>
      </c>
      <c r="B266" s="1">
        <v>45618</v>
      </c>
      <c r="C266" t="s">
        <v>858</v>
      </c>
      <c r="D266" t="s">
        <v>41</v>
      </c>
      <c r="E266">
        <v>5883.77</v>
      </c>
      <c r="F266">
        <v>19</v>
      </c>
      <c r="G266">
        <v>1765.13</v>
      </c>
      <c r="H266">
        <v>0.15</v>
      </c>
      <c r="I266" t="s">
        <v>858</v>
      </c>
      <c r="J266" t="s">
        <v>859</v>
      </c>
      <c r="K266" t="s">
        <v>24</v>
      </c>
      <c r="L266" t="s">
        <v>175</v>
      </c>
      <c r="M266" t="s">
        <v>176</v>
      </c>
      <c r="N266" t="s">
        <v>3966</v>
      </c>
      <c r="P266">
        <f t="shared" si="4"/>
        <v>0.29999983004094316</v>
      </c>
    </row>
    <row r="267" spans="1:16" x14ac:dyDescent="0.25">
      <c r="A267" t="s">
        <v>861</v>
      </c>
      <c r="B267" s="1">
        <v>45114</v>
      </c>
      <c r="C267" t="s">
        <v>862</v>
      </c>
      <c r="D267" t="s">
        <v>91</v>
      </c>
      <c r="E267">
        <v>215.73</v>
      </c>
      <c r="F267">
        <v>3</v>
      </c>
      <c r="G267">
        <v>64.72</v>
      </c>
      <c r="H267">
        <v>0</v>
      </c>
      <c r="I267" t="s">
        <v>862</v>
      </c>
      <c r="J267" t="s">
        <v>863</v>
      </c>
      <c r="K267" t="s">
        <v>17</v>
      </c>
      <c r="L267" t="s">
        <v>864</v>
      </c>
      <c r="M267" t="s">
        <v>865</v>
      </c>
      <c r="N267" t="s">
        <v>3966</v>
      </c>
      <c r="P267">
        <f t="shared" si="4"/>
        <v>0.30000463542390954</v>
      </c>
    </row>
    <row r="268" spans="1:16" x14ac:dyDescent="0.25">
      <c r="A268" t="s">
        <v>866</v>
      </c>
      <c r="B268" s="1">
        <v>45570</v>
      </c>
      <c r="C268" t="s">
        <v>867</v>
      </c>
      <c r="D268" t="s">
        <v>91</v>
      </c>
      <c r="E268">
        <v>10949.7</v>
      </c>
      <c r="F268">
        <v>20</v>
      </c>
      <c r="G268">
        <v>3284.91</v>
      </c>
      <c r="H268">
        <v>0.05</v>
      </c>
      <c r="I268" t="s">
        <v>867</v>
      </c>
      <c r="J268" t="s">
        <v>799</v>
      </c>
      <c r="K268" t="s">
        <v>17</v>
      </c>
      <c r="L268" t="s">
        <v>868</v>
      </c>
      <c r="M268" t="s">
        <v>26</v>
      </c>
      <c r="N268" t="s">
        <v>3967</v>
      </c>
      <c r="P268">
        <f t="shared" si="4"/>
        <v>0.3</v>
      </c>
    </row>
    <row r="269" spans="1:16" x14ac:dyDescent="0.25">
      <c r="A269" t="s">
        <v>869</v>
      </c>
      <c r="B269" s="1">
        <v>45382</v>
      </c>
      <c r="C269" t="s">
        <v>870</v>
      </c>
      <c r="D269" t="s">
        <v>15</v>
      </c>
      <c r="E269">
        <v>844.2</v>
      </c>
      <c r="F269">
        <v>7</v>
      </c>
      <c r="G269">
        <v>253.26</v>
      </c>
      <c r="H269">
        <v>0</v>
      </c>
      <c r="I269" t="s">
        <v>870</v>
      </c>
      <c r="J269" t="s">
        <v>871</v>
      </c>
      <c r="K269" t="s">
        <v>71</v>
      </c>
      <c r="L269" t="s">
        <v>872</v>
      </c>
      <c r="M269" t="s">
        <v>244</v>
      </c>
      <c r="N269" t="s">
        <v>3966</v>
      </c>
      <c r="P269">
        <f t="shared" si="4"/>
        <v>0.3</v>
      </c>
    </row>
    <row r="270" spans="1:16" x14ac:dyDescent="0.25">
      <c r="A270" t="s">
        <v>873</v>
      </c>
      <c r="B270" s="1">
        <v>45748</v>
      </c>
      <c r="C270" t="s">
        <v>874</v>
      </c>
      <c r="D270" t="s">
        <v>41</v>
      </c>
      <c r="E270">
        <v>731.04</v>
      </c>
      <c r="F270">
        <v>8</v>
      </c>
      <c r="G270">
        <v>219.31</v>
      </c>
      <c r="H270">
        <v>0.05</v>
      </c>
      <c r="I270" t="s">
        <v>874</v>
      </c>
      <c r="J270" t="s">
        <v>795</v>
      </c>
      <c r="K270" t="s">
        <v>71</v>
      </c>
      <c r="L270" t="s">
        <v>143</v>
      </c>
      <c r="M270" t="s">
        <v>144</v>
      </c>
      <c r="N270" t="s">
        <v>3967</v>
      </c>
      <c r="P270">
        <f t="shared" si="4"/>
        <v>0.29999726417159117</v>
      </c>
    </row>
    <row r="271" spans="1:16" x14ac:dyDescent="0.25">
      <c r="A271" t="s">
        <v>875</v>
      </c>
      <c r="B271" s="1">
        <v>45161</v>
      </c>
      <c r="C271" t="s">
        <v>876</v>
      </c>
      <c r="D271" t="s">
        <v>41</v>
      </c>
      <c r="E271">
        <v>6266.56</v>
      </c>
      <c r="F271">
        <v>14</v>
      </c>
      <c r="G271">
        <v>1879.97</v>
      </c>
      <c r="H271">
        <v>0.05</v>
      </c>
      <c r="I271" t="s">
        <v>876</v>
      </c>
      <c r="J271" t="s">
        <v>877</v>
      </c>
      <c r="K271" t="s">
        <v>71</v>
      </c>
      <c r="L271" t="s">
        <v>878</v>
      </c>
      <c r="M271" t="s">
        <v>645</v>
      </c>
      <c r="N271" t="s">
        <v>3967</v>
      </c>
      <c r="P271">
        <f t="shared" si="4"/>
        <v>0.30000031915436859</v>
      </c>
    </row>
    <row r="272" spans="1:16" x14ac:dyDescent="0.25">
      <c r="A272" t="s">
        <v>879</v>
      </c>
      <c r="B272" s="1">
        <v>45518</v>
      </c>
      <c r="C272" t="s">
        <v>880</v>
      </c>
      <c r="D272" t="s">
        <v>22</v>
      </c>
      <c r="E272">
        <v>257.94</v>
      </c>
      <c r="F272">
        <v>20</v>
      </c>
      <c r="G272">
        <v>77.38</v>
      </c>
      <c r="H272">
        <v>0.1</v>
      </c>
      <c r="I272" t="s">
        <v>880</v>
      </c>
      <c r="J272" t="s">
        <v>881</v>
      </c>
      <c r="K272" t="s">
        <v>24</v>
      </c>
      <c r="L272" t="s">
        <v>882</v>
      </c>
      <c r="M272" t="s">
        <v>310</v>
      </c>
      <c r="N272" t="s">
        <v>3967</v>
      </c>
      <c r="P272">
        <f t="shared" si="4"/>
        <v>0.29999224625881987</v>
      </c>
    </row>
    <row r="273" spans="1:16" x14ac:dyDescent="0.25">
      <c r="A273" t="s">
        <v>883</v>
      </c>
      <c r="B273" s="1">
        <v>45702</v>
      </c>
      <c r="C273" t="s">
        <v>884</v>
      </c>
      <c r="D273" t="s">
        <v>91</v>
      </c>
      <c r="E273">
        <v>7644.03</v>
      </c>
      <c r="F273">
        <v>18</v>
      </c>
      <c r="G273">
        <v>2293.21</v>
      </c>
      <c r="H273">
        <v>0.15</v>
      </c>
      <c r="I273" t="s">
        <v>884</v>
      </c>
      <c r="J273" t="s">
        <v>718</v>
      </c>
      <c r="K273" t="s">
        <v>38</v>
      </c>
      <c r="L273" t="s">
        <v>318</v>
      </c>
      <c r="M273" t="s">
        <v>266</v>
      </c>
      <c r="N273" t="s">
        <v>3966</v>
      </c>
      <c r="P273">
        <f t="shared" si="4"/>
        <v>0.30000013082104598</v>
      </c>
    </row>
    <row r="274" spans="1:16" x14ac:dyDescent="0.25">
      <c r="A274" t="s">
        <v>885</v>
      </c>
      <c r="B274" s="1">
        <v>45241</v>
      </c>
      <c r="C274" t="s">
        <v>886</v>
      </c>
      <c r="D274" t="s">
        <v>48</v>
      </c>
      <c r="E274">
        <v>205.76</v>
      </c>
      <c r="F274">
        <v>14</v>
      </c>
      <c r="G274">
        <v>61.73</v>
      </c>
      <c r="H274">
        <v>0.1</v>
      </c>
      <c r="I274" t="s">
        <v>886</v>
      </c>
      <c r="J274" t="s">
        <v>887</v>
      </c>
      <c r="K274" t="s">
        <v>71</v>
      </c>
      <c r="L274" t="s">
        <v>25</v>
      </c>
      <c r="M274" t="s">
        <v>26</v>
      </c>
      <c r="N274" t="s">
        <v>3966</v>
      </c>
      <c r="P274">
        <f t="shared" si="4"/>
        <v>0.30000972006220838</v>
      </c>
    </row>
    <row r="275" spans="1:16" x14ac:dyDescent="0.25">
      <c r="A275" t="s">
        <v>888</v>
      </c>
      <c r="B275" s="1">
        <v>45383</v>
      </c>
      <c r="C275" t="s">
        <v>889</v>
      </c>
      <c r="D275" t="s">
        <v>29</v>
      </c>
      <c r="E275">
        <v>6944.96</v>
      </c>
      <c r="F275">
        <v>17</v>
      </c>
      <c r="G275">
        <v>2083.4899999999998</v>
      </c>
      <c r="H275">
        <v>0.15</v>
      </c>
      <c r="I275" t="s">
        <v>889</v>
      </c>
      <c r="J275" t="s">
        <v>281</v>
      </c>
      <c r="K275" t="s">
        <v>38</v>
      </c>
      <c r="L275" t="s">
        <v>890</v>
      </c>
      <c r="M275" t="s">
        <v>891</v>
      </c>
      <c r="N275" t="s">
        <v>3966</v>
      </c>
      <c r="P275">
        <f t="shared" si="4"/>
        <v>0.30000028797862044</v>
      </c>
    </row>
    <row r="276" spans="1:16" x14ac:dyDescent="0.25">
      <c r="A276" t="s">
        <v>892</v>
      </c>
      <c r="B276" s="1">
        <v>45456</v>
      </c>
      <c r="C276" t="s">
        <v>893</v>
      </c>
      <c r="D276" t="s">
        <v>36</v>
      </c>
      <c r="E276">
        <v>2640.24</v>
      </c>
      <c r="F276">
        <v>5</v>
      </c>
      <c r="G276">
        <v>792.07</v>
      </c>
      <c r="H276">
        <v>0.05</v>
      </c>
      <c r="I276" t="s">
        <v>893</v>
      </c>
      <c r="J276" t="s">
        <v>894</v>
      </c>
      <c r="K276" t="s">
        <v>24</v>
      </c>
      <c r="L276" t="s">
        <v>99</v>
      </c>
      <c r="M276" t="s">
        <v>56</v>
      </c>
      <c r="N276" t="s">
        <v>3967</v>
      </c>
      <c r="P276">
        <f t="shared" si="4"/>
        <v>0.29999924249310672</v>
      </c>
    </row>
    <row r="277" spans="1:16" x14ac:dyDescent="0.25">
      <c r="A277" t="s">
        <v>895</v>
      </c>
      <c r="B277" s="1">
        <v>45258</v>
      </c>
      <c r="C277" t="s">
        <v>896</v>
      </c>
      <c r="D277" t="s">
        <v>36</v>
      </c>
      <c r="E277">
        <v>2819.29</v>
      </c>
      <c r="F277">
        <v>18</v>
      </c>
      <c r="G277">
        <v>845.79</v>
      </c>
      <c r="H277">
        <v>0.1</v>
      </c>
      <c r="I277" t="s">
        <v>896</v>
      </c>
      <c r="J277" t="s">
        <v>897</v>
      </c>
      <c r="K277" t="s">
        <v>31</v>
      </c>
      <c r="L277" t="s">
        <v>459</v>
      </c>
      <c r="M277" t="s">
        <v>129</v>
      </c>
      <c r="N277" t="s">
        <v>3967</v>
      </c>
      <c r="P277">
        <f t="shared" si="4"/>
        <v>0.30000106409769833</v>
      </c>
    </row>
    <row r="278" spans="1:16" x14ac:dyDescent="0.25">
      <c r="A278" t="s">
        <v>898</v>
      </c>
      <c r="B278" s="1">
        <v>45607</v>
      </c>
      <c r="C278" t="s">
        <v>899</v>
      </c>
      <c r="D278" t="s">
        <v>29</v>
      </c>
      <c r="E278">
        <v>2831.9</v>
      </c>
      <c r="F278">
        <v>11</v>
      </c>
      <c r="G278">
        <v>849.57</v>
      </c>
      <c r="H278">
        <v>0.1</v>
      </c>
      <c r="I278" t="s">
        <v>899</v>
      </c>
      <c r="J278" t="s">
        <v>484</v>
      </c>
      <c r="K278" t="s">
        <v>38</v>
      </c>
      <c r="L278" t="s">
        <v>25</v>
      </c>
      <c r="M278" t="s">
        <v>26</v>
      </c>
      <c r="N278" t="s">
        <v>3967</v>
      </c>
      <c r="P278">
        <f t="shared" si="4"/>
        <v>0.3</v>
      </c>
    </row>
    <row r="279" spans="1:16" x14ac:dyDescent="0.25">
      <c r="A279" t="s">
        <v>900</v>
      </c>
      <c r="B279" s="1">
        <v>45600</v>
      </c>
      <c r="C279" t="s">
        <v>901</v>
      </c>
      <c r="D279" t="s">
        <v>29</v>
      </c>
      <c r="E279">
        <v>651.67999999999995</v>
      </c>
      <c r="F279">
        <v>16</v>
      </c>
      <c r="G279">
        <v>195.5</v>
      </c>
      <c r="H279">
        <v>0</v>
      </c>
      <c r="I279" t="s">
        <v>901</v>
      </c>
      <c r="J279" t="s">
        <v>902</v>
      </c>
      <c r="K279" t="s">
        <v>31</v>
      </c>
      <c r="L279" t="s">
        <v>750</v>
      </c>
      <c r="M279" t="s">
        <v>632</v>
      </c>
      <c r="N279" t="s">
        <v>3967</v>
      </c>
      <c r="P279">
        <f t="shared" si="4"/>
        <v>0.29999386201816847</v>
      </c>
    </row>
    <row r="280" spans="1:16" x14ac:dyDescent="0.25">
      <c r="A280" t="s">
        <v>903</v>
      </c>
      <c r="B280" s="1">
        <v>44927</v>
      </c>
      <c r="C280" t="s">
        <v>904</v>
      </c>
      <c r="D280" t="s">
        <v>36</v>
      </c>
      <c r="E280">
        <v>5150.42</v>
      </c>
      <c r="F280">
        <v>11</v>
      </c>
      <c r="G280">
        <v>1545.13</v>
      </c>
      <c r="H280">
        <v>0</v>
      </c>
      <c r="I280" t="s">
        <v>904</v>
      </c>
      <c r="J280" t="s">
        <v>905</v>
      </c>
      <c r="K280" t="s">
        <v>38</v>
      </c>
      <c r="L280" t="s">
        <v>906</v>
      </c>
      <c r="M280" t="s">
        <v>33</v>
      </c>
      <c r="N280" t="s">
        <v>3967</v>
      </c>
      <c r="P280">
        <f t="shared" si="4"/>
        <v>0.30000077663569186</v>
      </c>
    </row>
    <row r="281" spans="1:16" x14ac:dyDescent="0.25">
      <c r="A281" t="s">
        <v>907</v>
      </c>
      <c r="B281" s="1">
        <v>45675</v>
      </c>
      <c r="C281" t="s">
        <v>908</v>
      </c>
      <c r="D281" t="s">
        <v>91</v>
      </c>
      <c r="E281">
        <v>370.39</v>
      </c>
      <c r="F281">
        <v>1</v>
      </c>
      <c r="G281">
        <v>111.12</v>
      </c>
      <c r="H281">
        <v>0.1</v>
      </c>
      <c r="I281" t="s">
        <v>908</v>
      </c>
      <c r="J281" t="s">
        <v>909</v>
      </c>
      <c r="K281" t="s">
        <v>31</v>
      </c>
      <c r="L281" t="s">
        <v>82</v>
      </c>
      <c r="M281" t="s">
        <v>83</v>
      </c>
      <c r="N281" t="s">
        <v>3967</v>
      </c>
      <c r="P281">
        <f t="shared" si="4"/>
        <v>0.30000809957072277</v>
      </c>
    </row>
    <row r="282" spans="1:16" x14ac:dyDescent="0.25">
      <c r="A282" t="s">
        <v>910</v>
      </c>
      <c r="B282" s="1">
        <v>45048</v>
      </c>
      <c r="C282" t="s">
        <v>911</v>
      </c>
      <c r="D282" t="s">
        <v>41</v>
      </c>
      <c r="E282">
        <v>1657.37</v>
      </c>
      <c r="F282">
        <v>13</v>
      </c>
      <c r="G282">
        <v>497.21</v>
      </c>
      <c r="H282">
        <v>0.05</v>
      </c>
      <c r="I282" t="s">
        <v>911</v>
      </c>
      <c r="J282" t="s">
        <v>912</v>
      </c>
      <c r="K282" t="s">
        <v>38</v>
      </c>
      <c r="L282" t="s">
        <v>25</v>
      </c>
      <c r="M282" t="s">
        <v>26</v>
      </c>
      <c r="N282" t="s">
        <v>3966</v>
      </c>
      <c r="P282">
        <f t="shared" si="4"/>
        <v>0.29999939663442682</v>
      </c>
    </row>
    <row r="283" spans="1:16" x14ac:dyDescent="0.25">
      <c r="A283" t="s">
        <v>913</v>
      </c>
      <c r="B283" s="1">
        <v>45804</v>
      </c>
      <c r="C283" t="s">
        <v>914</v>
      </c>
      <c r="D283" t="s">
        <v>41</v>
      </c>
      <c r="E283">
        <v>2985.46</v>
      </c>
      <c r="F283">
        <v>10</v>
      </c>
      <c r="G283">
        <v>895.64</v>
      </c>
      <c r="H283">
        <v>0.15</v>
      </c>
      <c r="I283" t="s">
        <v>914</v>
      </c>
      <c r="J283" t="s">
        <v>915</v>
      </c>
      <c r="K283" t="s">
        <v>71</v>
      </c>
      <c r="L283" t="s">
        <v>25</v>
      </c>
      <c r="M283" t="s">
        <v>26</v>
      </c>
      <c r="N283" t="s">
        <v>3966</v>
      </c>
      <c r="P283">
        <f t="shared" si="4"/>
        <v>0.30000066991351415</v>
      </c>
    </row>
    <row r="284" spans="1:16" x14ac:dyDescent="0.25">
      <c r="A284" t="s">
        <v>916</v>
      </c>
      <c r="B284" s="1">
        <v>45653</v>
      </c>
      <c r="C284" t="s">
        <v>917</v>
      </c>
      <c r="D284" t="s">
        <v>48</v>
      </c>
      <c r="E284">
        <v>6944.36</v>
      </c>
      <c r="F284">
        <v>14</v>
      </c>
      <c r="G284">
        <v>2083.31</v>
      </c>
      <c r="H284">
        <v>0.1</v>
      </c>
      <c r="I284" t="s">
        <v>917</v>
      </c>
      <c r="J284" t="s">
        <v>918</v>
      </c>
      <c r="K284" t="s">
        <v>24</v>
      </c>
      <c r="L284" t="s">
        <v>919</v>
      </c>
      <c r="M284" t="s">
        <v>186</v>
      </c>
      <c r="N284" t="s">
        <v>3966</v>
      </c>
      <c r="P284">
        <f t="shared" si="4"/>
        <v>0.30000028800350215</v>
      </c>
    </row>
    <row r="285" spans="1:16" x14ac:dyDescent="0.25">
      <c r="A285" t="s">
        <v>920</v>
      </c>
      <c r="B285" s="1">
        <v>45734</v>
      </c>
      <c r="C285" t="s">
        <v>921</v>
      </c>
      <c r="D285" t="s">
        <v>36</v>
      </c>
      <c r="E285">
        <v>236.03</v>
      </c>
      <c r="F285">
        <v>2</v>
      </c>
      <c r="G285">
        <v>70.81</v>
      </c>
      <c r="H285">
        <v>0.1</v>
      </c>
      <c r="I285" t="s">
        <v>921</v>
      </c>
      <c r="J285" t="s">
        <v>922</v>
      </c>
      <c r="K285" t="s">
        <v>71</v>
      </c>
      <c r="L285" t="s">
        <v>923</v>
      </c>
      <c r="M285" t="s">
        <v>160</v>
      </c>
      <c r="N285" t="s">
        <v>3966</v>
      </c>
      <c r="P285">
        <f t="shared" si="4"/>
        <v>0.30000423674956572</v>
      </c>
    </row>
    <row r="286" spans="1:16" x14ac:dyDescent="0.25">
      <c r="A286" t="s">
        <v>249</v>
      </c>
      <c r="B286" s="1">
        <v>45375</v>
      </c>
      <c r="C286" t="s">
        <v>250</v>
      </c>
      <c r="D286" t="s">
        <v>15</v>
      </c>
      <c r="E286">
        <v>3570.66</v>
      </c>
      <c r="F286">
        <v>6</v>
      </c>
      <c r="G286">
        <v>1071.2</v>
      </c>
      <c r="H286">
        <v>0</v>
      </c>
      <c r="I286" t="s">
        <v>250</v>
      </c>
      <c r="J286" t="s">
        <v>924</v>
      </c>
      <c r="K286" t="s">
        <v>17</v>
      </c>
      <c r="L286" t="s">
        <v>155</v>
      </c>
      <c r="M286" t="s">
        <v>111</v>
      </c>
      <c r="N286" t="s">
        <v>3966</v>
      </c>
      <c r="P286">
        <f t="shared" si="4"/>
        <v>0.30000056012053794</v>
      </c>
    </row>
    <row r="287" spans="1:16" x14ac:dyDescent="0.25">
      <c r="A287" t="s">
        <v>253</v>
      </c>
      <c r="B287" s="1">
        <v>45296</v>
      </c>
      <c r="C287" t="s">
        <v>250</v>
      </c>
      <c r="D287" t="s">
        <v>48</v>
      </c>
      <c r="E287">
        <v>705.47</v>
      </c>
      <c r="F287">
        <v>2</v>
      </c>
      <c r="G287">
        <v>211.64</v>
      </c>
      <c r="H287">
        <v>0.05</v>
      </c>
      <c r="I287" t="s">
        <v>250</v>
      </c>
      <c r="J287" t="s">
        <v>924</v>
      </c>
      <c r="K287" t="s">
        <v>17</v>
      </c>
      <c r="L287" t="s">
        <v>155</v>
      </c>
      <c r="M287" t="s">
        <v>111</v>
      </c>
      <c r="N287" t="s">
        <v>3966</v>
      </c>
      <c r="P287">
        <f t="shared" si="4"/>
        <v>0.29999858250528011</v>
      </c>
    </row>
    <row r="288" spans="1:16" x14ac:dyDescent="0.25">
      <c r="A288" t="s">
        <v>583</v>
      </c>
      <c r="B288" s="1">
        <v>45652</v>
      </c>
      <c r="C288" t="s">
        <v>584</v>
      </c>
      <c r="D288" t="s">
        <v>15</v>
      </c>
      <c r="E288">
        <v>2944.96</v>
      </c>
      <c r="F288">
        <v>6</v>
      </c>
      <c r="G288">
        <v>883.49</v>
      </c>
      <c r="H288">
        <v>0.05</v>
      </c>
      <c r="I288" t="s">
        <v>584</v>
      </c>
      <c r="J288" t="s">
        <v>399</v>
      </c>
      <c r="K288" t="s">
        <v>17</v>
      </c>
      <c r="L288" t="s">
        <v>143</v>
      </c>
      <c r="M288" t="s">
        <v>144</v>
      </c>
      <c r="N288" t="s">
        <v>3967</v>
      </c>
      <c r="P288">
        <f t="shared" si="4"/>
        <v>0.30000067912637185</v>
      </c>
    </row>
    <row r="289" spans="1:16" x14ac:dyDescent="0.25">
      <c r="A289" t="s">
        <v>587</v>
      </c>
      <c r="B289" s="1">
        <v>45411</v>
      </c>
      <c r="C289" t="s">
        <v>584</v>
      </c>
      <c r="D289" t="s">
        <v>91</v>
      </c>
      <c r="E289">
        <v>654.64</v>
      </c>
      <c r="F289">
        <v>4</v>
      </c>
      <c r="G289">
        <v>196.39</v>
      </c>
      <c r="H289">
        <v>0</v>
      </c>
      <c r="I289" t="s">
        <v>584</v>
      </c>
      <c r="J289" t="s">
        <v>399</v>
      </c>
      <c r="K289" t="s">
        <v>17</v>
      </c>
      <c r="L289" t="s">
        <v>143</v>
      </c>
      <c r="M289" t="s">
        <v>144</v>
      </c>
      <c r="N289" t="s">
        <v>3967</v>
      </c>
      <c r="P289">
        <f t="shared" si="4"/>
        <v>0.29999694488573869</v>
      </c>
    </row>
    <row r="290" spans="1:16" x14ac:dyDescent="0.25">
      <c r="A290" t="s">
        <v>925</v>
      </c>
      <c r="B290" s="1">
        <v>44937</v>
      </c>
      <c r="C290" t="s">
        <v>926</v>
      </c>
      <c r="D290" t="s">
        <v>29</v>
      </c>
      <c r="E290">
        <v>1154.6500000000001</v>
      </c>
      <c r="F290">
        <v>6</v>
      </c>
      <c r="G290">
        <v>346.39</v>
      </c>
      <c r="H290">
        <v>0.05</v>
      </c>
      <c r="I290" t="s">
        <v>926</v>
      </c>
      <c r="J290" t="s">
        <v>927</v>
      </c>
      <c r="K290" t="s">
        <v>31</v>
      </c>
      <c r="L290" t="s">
        <v>18</v>
      </c>
      <c r="M290" t="s">
        <v>19</v>
      </c>
      <c r="N290" t="s">
        <v>3967</v>
      </c>
      <c r="P290">
        <f t="shared" si="4"/>
        <v>0.29999566968345381</v>
      </c>
    </row>
    <row r="291" spans="1:16" x14ac:dyDescent="0.25">
      <c r="A291" t="s">
        <v>928</v>
      </c>
      <c r="B291" s="1">
        <v>45809</v>
      </c>
      <c r="C291" t="s">
        <v>929</v>
      </c>
      <c r="D291" t="s">
        <v>15</v>
      </c>
      <c r="E291">
        <v>3383.07</v>
      </c>
      <c r="F291">
        <v>13</v>
      </c>
      <c r="G291">
        <v>1014.92</v>
      </c>
      <c r="H291">
        <v>0.15</v>
      </c>
      <c r="I291" t="s">
        <v>929</v>
      </c>
      <c r="J291" t="s">
        <v>930</v>
      </c>
      <c r="K291" t="s">
        <v>24</v>
      </c>
      <c r="L291" t="s">
        <v>931</v>
      </c>
      <c r="M291" t="s">
        <v>61</v>
      </c>
      <c r="N291" t="s">
        <v>3968</v>
      </c>
      <c r="P291">
        <f t="shared" si="4"/>
        <v>0.29999970441049106</v>
      </c>
    </row>
    <row r="292" spans="1:16" x14ac:dyDescent="0.25">
      <c r="A292" t="s">
        <v>932</v>
      </c>
      <c r="B292" s="1">
        <v>45561</v>
      </c>
      <c r="C292" t="s">
        <v>933</v>
      </c>
      <c r="D292" t="s">
        <v>29</v>
      </c>
      <c r="E292">
        <v>4420.12</v>
      </c>
      <c r="F292">
        <v>11</v>
      </c>
      <c r="G292">
        <v>1326.04</v>
      </c>
      <c r="H292">
        <v>0.15</v>
      </c>
      <c r="I292" t="s">
        <v>933</v>
      </c>
      <c r="J292" t="s">
        <v>117</v>
      </c>
      <c r="K292" t="s">
        <v>17</v>
      </c>
      <c r="L292" t="s">
        <v>663</v>
      </c>
      <c r="M292" t="s">
        <v>160</v>
      </c>
      <c r="N292" t="s">
        <v>3968</v>
      </c>
      <c r="P292">
        <f t="shared" si="4"/>
        <v>0.30000090495280674</v>
      </c>
    </row>
    <row r="293" spans="1:16" x14ac:dyDescent="0.25">
      <c r="A293" t="s">
        <v>934</v>
      </c>
      <c r="B293" s="1">
        <v>45514</v>
      </c>
      <c r="C293" t="s">
        <v>935</v>
      </c>
      <c r="D293" t="s">
        <v>22</v>
      </c>
      <c r="E293">
        <v>6072.66</v>
      </c>
      <c r="F293">
        <v>20</v>
      </c>
      <c r="G293">
        <v>1821.8</v>
      </c>
      <c r="H293">
        <v>0.1</v>
      </c>
      <c r="I293" t="s">
        <v>935</v>
      </c>
      <c r="J293" t="s">
        <v>936</v>
      </c>
      <c r="K293" t="s">
        <v>17</v>
      </c>
      <c r="L293" t="s">
        <v>164</v>
      </c>
      <c r="M293" t="s">
        <v>266</v>
      </c>
      <c r="N293" t="s">
        <v>3968</v>
      </c>
      <c r="P293">
        <f t="shared" si="4"/>
        <v>0.30000032934496579</v>
      </c>
    </row>
    <row r="294" spans="1:16" x14ac:dyDescent="0.25">
      <c r="A294" t="s">
        <v>937</v>
      </c>
      <c r="B294" s="1">
        <v>45718</v>
      </c>
      <c r="C294" t="s">
        <v>938</v>
      </c>
      <c r="D294" t="s">
        <v>22</v>
      </c>
      <c r="E294">
        <v>369.79</v>
      </c>
      <c r="F294">
        <v>12</v>
      </c>
      <c r="G294">
        <v>110.94</v>
      </c>
      <c r="H294">
        <v>0.1</v>
      </c>
      <c r="I294" t="s">
        <v>938</v>
      </c>
      <c r="J294" t="s">
        <v>205</v>
      </c>
      <c r="K294" t="s">
        <v>24</v>
      </c>
      <c r="L294" t="s">
        <v>55</v>
      </c>
      <c r="M294" t="s">
        <v>56</v>
      </c>
      <c r="N294" t="s">
        <v>3968</v>
      </c>
      <c r="P294">
        <f t="shared" si="4"/>
        <v>0.30000811271262068</v>
      </c>
    </row>
    <row r="295" spans="1:16" x14ac:dyDescent="0.25">
      <c r="A295" t="s">
        <v>939</v>
      </c>
      <c r="B295" s="1">
        <v>45726</v>
      </c>
      <c r="C295" t="s">
        <v>940</v>
      </c>
      <c r="D295" t="s">
        <v>36</v>
      </c>
      <c r="E295">
        <v>8069.76</v>
      </c>
      <c r="F295">
        <v>16</v>
      </c>
      <c r="G295">
        <v>2420.9299999999998</v>
      </c>
      <c r="H295">
        <v>0</v>
      </c>
      <c r="I295" t="s">
        <v>940</v>
      </c>
      <c r="J295" t="s">
        <v>941</v>
      </c>
      <c r="K295" t="s">
        <v>17</v>
      </c>
      <c r="L295" t="s">
        <v>143</v>
      </c>
      <c r="M295" t="s">
        <v>144</v>
      </c>
      <c r="N295" t="s">
        <v>3967</v>
      </c>
      <c r="P295">
        <f t="shared" si="4"/>
        <v>0.30000024783884521</v>
      </c>
    </row>
    <row r="296" spans="1:16" x14ac:dyDescent="0.25">
      <c r="A296" t="s">
        <v>942</v>
      </c>
      <c r="B296" s="1">
        <v>44978</v>
      </c>
      <c r="C296" t="s">
        <v>940</v>
      </c>
      <c r="D296" t="s">
        <v>91</v>
      </c>
      <c r="E296">
        <v>1908.2</v>
      </c>
      <c r="F296">
        <v>4</v>
      </c>
      <c r="G296">
        <v>572.46</v>
      </c>
      <c r="H296">
        <v>0</v>
      </c>
      <c r="I296" t="s">
        <v>940</v>
      </c>
      <c r="J296" t="s">
        <v>941</v>
      </c>
      <c r="K296" t="s">
        <v>17</v>
      </c>
      <c r="L296" t="s">
        <v>143</v>
      </c>
      <c r="M296" t="s">
        <v>144</v>
      </c>
      <c r="N296" t="s">
        <v>3967</v>
      </c>
      <c r="P296">
        <f t="shared" si="4"/>
        <v>0.3</v>
      </c>
    </row>
    <row r="297" spans="1:16" x14ac:dyDescent="0.25">
      <c r="A297" t="s">
        <v>943</v>
      </c>
      <c r="B297" s="1">
        <v>45616</v>
      </c>
      <c r="C297" t="s">
        <v>944</v>
      </c>
      <c r="D297" t="s">
        <v>15</v>
      </c>
      <c r="E297">
        <v>3377.58</v>
      </c>
      <c r="F297">
        <v>6</v>
      </c>
      <c r="G297">
        <v>1013.27</v>
      </c>
      <c r="H297">
        <v>0</v>
      </c>
      <c r="I297" t="s">
        <v>944</v>
      </c>
      <c r="J297" t="s">
        <v>686</v>
      </c>
      <c r="K297" t="s">
        <v>17</v>
      </c>
      <c r="L297" t="s">
        <v>155</v>
      </c>
      <c r="M297" t="s">
        <v>111</v>
      </c>
      <c r="N297" t="s">
        <v>3967</v>
      </c>
      <c r="P297">
        <f t="shared" si="4"/>
        <v>0.29999881572013098</v>
      </c>
    </row>
    <row r="298" spans="1:16" x14ac:dyDescent="0.25">
      <c r="A298" t="s">
        <v>945</v>
      </c>
      <c r="B298" s="1">
        <v>45164</v>
      </c>
      <c r="C298" t="s">
        <v>946</v>
      </c>
      <c r="D298" t="s">
        <v>36</v>
      </c>
      <c r="E298">
        <v>365.8</v>
      </c>
      <c r="F298">
        <v>20</v>
      </c>
      <c r="G298">
        <v>109.74</v>
      </c>
      <c r="H298">
        <v>0</v>
      </c>
      <c r="I298" t="s">
        <v>946</v>
      </c>
      <c r="J298" t="s">
        <v>947</v>
      </c>
      <c r="K298" t="s">
        <v>17</v>
      </c>
      <c r="L298" t="s">
        <v>72</v>
      </c>
      <c r="M298" t="s">
        <v>26</v>
      </c>
      <c r="N298" t="s">
        <v>3967</v>
      </c>
      <c r="P298">
        <f t="shared" si="4"/>
        <v>0.3</v>
      </c>
    </row>
    <row r="299" spans="1:16" x14ac:dyDescent="0.25">
      <c r="A299" t="s">
        <v>948</v>
      </c>
      <c r="B299" s="1">
        <v>45292</v>
      </c>
      <c r="C299" t="s">
        <v>949</v>
      </c>
      <c r="D299" t="s">
        <v>48</v>
      </c>
      <c r="E299">
        <v>1462.02</v>
      </c>
      <c r="F299">
        <v>7</v>
      </c>
      <c r="G299">
        <v>438.61</v>
      </c>
      <c r="H299">
        <v>0</v>
      </c>
      <c r="I299" t="s">
        <v>949</v>
      </c>
      <c r="J299" t="s">
        <v>264</v>
      </c>
      <c r="K299" t="s">
        <v>24</v>
      </c>
      <c r="L299" t="s">
        <v>774</v>
      </c>
      <c r="M299" t="s">
        <v>33</v>
      </c>
      <c r="N299" t="s">
        <v>3967</v>
      </c>
      <c r="P299">
        <f t="shared" si="4"/>
        <v>0.30000273594068483</v>
      </c>
    </row>
    <row r="300" spans="1:16" x14ac:dyDescent="0.25">
      <c r="A300" t="s">
        <v>950</v>
      </c>
      <c r="B300" s="1">
        <v>45620</v>
      </c>
      <c r="C300" t="s">
        <v>951</v>
      </c>
      <c r="D300" t="s">
        <v>41</v>
      </c>
      <c r="E300">
        <v>3766.1</v>
      </c>
      <c r="F300">
        <v>12</v>
      </c>
      <c r="G300">
        <v>1129.83</v>
      </c>
      <c r="H300">
        <v>0.05</v>
      </c>
      <c r="I300" t="s">
        <v>951</v>
      </c>
      <c r="J300" t="s">
        <v>952</v>
      </c>
      <c r="K300" t="s">
        <v>24</v>
      </c>
      <c r="L300" t="s">
        <v>99</v>
      </c>
      <c r="M300" t="s">
        <v>56</v>
      </c>
      <c r="N300" t="s">
        <v>3967</v>
      </c>
      <c r="P300">
        <f t="shared" si="4"/>
        <v>0.3</v>
      </c>
    </row>
    <row r="301" spans="1:16" x14ac:dyDescent="0.25">
      <c r="A301" t="s">
        <v>953</v>
      </c>
      <c r="B301" s="1">
        <v>45529</v>
      </c>
      <c r="C301" t="s">
        <v>954</v>
      </c>
      <c r="D301" t="s">
        <v>91</v>
      </c>
      <c r="E301">
        <v>299.05</v>
      </c>
      <c r="F301">
        <v>7</v>
      </c>
      <c r="G301">
        <v>89.71</v>
      </c>
      <c r="H301">
        <v>0.15</v>
      </c>
      <c r="I301" t="s">
        <v>954</v>
      </c>
      <c r="J301" t="s">
        <v>686</v>
      </c>
      <c r="K301" t="s">
        <v>24</v>
      </c>
      <c r="L301" t="s">
        <v>955</v>
      </c>
      <c r="M301" t="s">
        <v>26</v>
      </c>
      <c r="N301" t="s">
        <v>3967</v>
      </c>
      <c r="P301">
        <f t="shared" si="4"/>
        <v>0.29998328038789496</v>
      </c>
    </row>
    <row r="302" spans="1:16" x14ac:dyDescent="0.25">
      <c r="A302" t="s">
        <v>956</v>
      </c>
      <c r="B302" s="1">
        <v>45087</v>
      </c>
      <c r="C302" t="s">
        <v>957</v>
      </c>
      <c r="D302" t="s">
        <v>15</v>
      </c>
      <c r="E302">
        <v>636.79999999999995</v>
      </c>
      <c r="F302">
        <v>2</v>
      </c>
      <c r="G302">
        <v>191.04</v>
      </c>
      <c r="H302">
        <v>0.15</v>
      </c>
      <c r="I302" t="s">
        <v>957</v>
      </c>
      <c r="J302" t="s">
        <v>958</v>
      </c>
      <c r="K302" t="s">
        <v>24</v>
      </c>
      <c r="L302" t="s">
        <v>278</v>
      </c>
      <c r="M302" t="s">
        <v>44</v>
      </c>
      <c r="N302" t="s">
        <v>3967</v>
      </c>
      <c r="P302">
        <f t="shared" si="4"/>
        <v>0.3</v>
      </c>
    </row>
    <row r="303" spans="1:16" x14ac:dyDescent="0.25">
      <c r="A303" t="s">
        <v>959</v>
      </c>
      <c r="B303" s="1">
        <v>45644</v>
      </c>
      <c r="C303" t="s">
        <v>960</v>
      </c>
      <c r="D303" t="s">
        <v>41</v>
      </c>
      <c r="E303">
        <v>2945.88</v>
      </c>
      <c r="F303">
        <v>7</v>
      </c>
      <c r="G303">
        <v>883.76</v>
      </c>
      <c r="H303">
        <v>0.1</v>
      </c>
      <c r="I303" t="s">
        <v>960</v>
      </c>
      <c r="J303" t="s">
        <v>961</v>
      </c>
      <c r="K303" t="s">
        <v>31</v>
      </c>
      <c r="L303" t="s">
        <v>25</v>
      </c>
      <c r="M303" t="s">
        <v>26</v>
      </c>
      <c r="N303" t="s">
        <v>3967</v>
      </c>
      <c r="P303">
        <f t="shared" si="4"/>
        <v>0.2999986421714394</v>
      </c>
    </row>
    <row r="304" spans="1:16" x14ac:dyDescent="0.25">
      <c r="A304" t="s">
        <v>962</v>
      </c>
      <c r="B304" s="1">
        <v>45166</v>
      </c>
      <c r="C304" t="s">
        <v>963</v>
      </c>
      <c r="D304" t="s">
        <v>36</v>
      </c>
      <c r="E304">
        <v>1072.28</v>
      </c>
      <c r="F304">
        <v>3</v>
      </c>
      <c r="G304">
        <v>321.69</v>
      </c>
      <c r="H304">
        <v>0.05</v>
      </c>
      <c r="I304" t="s">
        <v>963</v>
      </c>
      <c r="J304" t="s">
        <v>964</v>
      </c>
      <c r="K304" t="s">
        <v>17</v>
      </c>
      <c r="L304" t="s">
        <v>72</v>
      </c>
      <c r="M304" t="s">
        <v>26</v>
      </c>
      <c r="N304" t="s">
        <v>3967</v>
      </c>
      <c r="P304">
        <f t="shared" si="4"/>
        <v>0.30000559555340023</v>
      </c>
    </row>
    <row r="305" spans="1:16" x14ac:dyDescent="0.25">
      <c r="A305" t="s">
        <v>965</v>
      </c>
      <c r="B305" s="1">
        <v>44948</v>
      </c>
      <c r="C305" t="s">
        <v>966</v>
      </c>
      <c r="D305" t="s">
        <v>22</v>
      </c>
      <c r="E305">
        <v>1826.37</v>
      </c>
      <c r="F305">
        <v>13</v>
      </c>
      <c r="G305">
        <v>547.91</v>
      </c>
      <c r="H305">
        <v>0</v>
      </c>
      <c r="I305" t="s">
        <v>966</v>
      </c>
      <c r="J305" t="s">
        <v>967</v>
      </c>
      <c r="K305" t="s">
        <v>71</v>
      </c>
      <c r="L305" t="s">
        <v>470</v>
      </c>
      <c r="M305" t="s">
        <v>33</v>
      </c>
      <c r="N305" t="s">
        <v>3966</v>
      </c>
      <c r="P305">
        <f t="shared" si="4"/>
        <v>0.29999945246582016</v>
      </c>
    </row>
    <row r="306" spans="1:16" x14ac:dyDescent="0.25">
      <c r="A306" t="s">
        <v>968</v>
      </c>
      <c r="B306" s="1">
        <v>44964</v>
      </c>
      <c r="C306" t="s">
        <v>969</v>
      </c>
      <c r="D306" t="s">
        <v>48</v>
      </c>
      <c r="E306">
        <v>1291.1400000000001</v>
      </c>
      <c r="F306">
        <v>3</v>
      </c>
      <c r="G306">
        <v>387.34</v>
      </c>
      <c r="H306">
        <v>0.15</v>
      </c>
      <c r="I306" t="s">
        <v>969</v>
      </c>
      <c r="J306" t="s">
        <v>970</v>
      </c>
      <c r="K306" t="s">
        <v>31</v>
      </c>
      <c r="L306" t="s">
        <v>50</v>
      </c>
      <c r="M306" t="s">
        <v>51</v>
      </c>
      <c r="N306" t="s">
        <v>3967</v>
      </c>
      <c r="P306">
        <f t="shared" si="4"/>
        <v>0.29999845098130329</v>
      </c>
    </row>
    <row r="307" spans="1:16" x14ac:dyDescent="0.25">
      <c r="A307" t="s">
        <v>971</v>
      </c>
      <c r="B307" s="1">
        <v>45390</v>
      </c>
      <c r="C307" t="s">
        <v>972</v>
      </c>
      <c r="D307" t="s">
        <v>41</v>
      </c>
      <c r="E307">
        <v>4430.17</v>
      </c>
      <c r="F307">
        <v>12</v>
      </c>
      <c r="G307">
        <v>1329.05</v>
      </c>
      <c r="H307">
        <v>0.15</v>
      </c>
      <c r="I307" t="s">
        <v>972</v>
      </c>
      <c r="J307" t="s">
        <v>973</v>
      </c>
      <c r="K307" t="s">
        <v>24</v>
      </c>
      <c r="L307" t="s">
        <v>25</v>
      </c>
      <c r="M307" t="s">
        <v>26</v>
      </c>
      <c r="N307" t="s">
        <v>3967</v>
      </c>
      <c r="P307">
        <f t="shared" si="4"/>
        <v>0.29999977427502783</v>
      </c>
    </row>
    <row r="308" spans="1:16" x14ac:dyDescent="0.25">
      <c r="A308" t="s">
        <v>974</v>
      </c>
      <c r="B308" s="1">
        <v>45468</v>
      </c>
      <c r="C308" t="s">
        <v>972</v>
      </c>
      <c r="D308" t="s">
        <v>41</v>
      </c>
      <c r="E308">
        <v>1677.28</v>
      </c>
      <c r="F308">
        <v>16</v>
      </c>
      <c r="G308">
        <v>503.18</v>
      </c>
      <c r="H308">
        <v>0</v>
      </c>
      <c r="I308" t="s">
        <v>972</v>
      </c>
      <c r="J308" t="s">
        <v>973</v>
      </c>
      <c r="K308" t="s">
        <v>24</v>
      </c>
      <c r="L308" t="s">
        <v>25</v>
      </c>
      <c r="M308" t="s">
        <v>26</v>
      </c>
      <c r="N308" t="s">
        <v>3968</v>
      </c>
      <c r="P308">
        <f t="shared" si="4"/>
        <v>0.29999761518649243</v>
      </c>
    </row>
    <row r="309" spans="1:16" x14ac:dyDescent="0.25">
      <c r="A309" t="s">
        <v>975</v>
      </c>
      <c r="B309" s="1">
        <v>45252</v>
      </c>
      <c r="C309" t="s">
        <v>972</v>
      </c>
      <c r="D309" t="s">
        <v>48</v>
      </c>
      <c r="E309">
        <v>1054.3499999999999</v>
      </c>
      <c r="F309">
        <v>8</v>
      </c>
      <c r="G309">
        <v>316.3</v>
      </c>
      <c r="H309">
        <v>0.05</v>
      </c>
      <c r="I309" t="s">
        <v>972</v>
      </c>
      <c r="J309" t="s">
        <v>973</v>
      </c>
      <c r="K309" t="s">
        <v>24</v>
      </c>
      <c r="L309" t="s">
        <v>25</v>
      </c>
      <c r="M309" t="s">
        <v>26</v>
      </c>
      <c r="N309" t="s">
        <v>3968</v>
      </c>
      <c r="P309">
        <f t="shared" si="4"/>
        <v>0.29999525774173663</v>
      </c>
    </row>
    <row r="310" spans="1:16" x14ac:dyDescent="0.25">
      <c r="A310" t="s">
        <v>976</v>
      </c>
      <c r="B310" s="1">
        <v>44951</v>
      </c>
      <c r="C310" t="s">
        <v>977</v>
      </c>
      <c r="D310" t="s">
        <v>29</v>
      </c>
      <c r="E310">
        <v>686.1</v>
      </c>
      <c r="F310">
        <v>6</v>
      </c>
      <c r="G310">
        <v>205.83</v>
      </c>
      <c r="H310">
        <v>0.15</v>
      </c>
      <c r="I310" t="s">
        <v>977</v>
      </c>
      <c r="J310" t="s">
        <v>978</v>
      </c>
      <c r="K310" t="s">
        <v>71</v>
      </c>
      <c r="L310" t="s">
        <v>50</v>
      </c>
      <c r="M310" t="s">
        <v>51</v>
      </c>
      <c r="N310" t="s">
        <v>3966</v>
      </c>
      <c r="P310">
        <f t="shared" si="4"/>
        <v>0.3</v>
      </c>
    </row>
    <row r="311" spans="1:16" x14ac:dyDescent="0.25">
      <c r="A311" t="s">
        <v>979</v>
      </c>
      <c r="B311" s="1">
        <v>45721</v>
      </c>
      <c r="C311" t="s">
        <v>980</v>
      </c>
      <c r="D311" t="s">
        <v>91</v>
      </c>
      <c r="E311">
        <v>6428.92</v>
      </c>
      <c r="F311">
        <v>18</v>
      </c>
      <c r="G311">
        <v>1928.67</v>
      </c>
      <c r="H311">
        <v>0.05</v>
      </c>
      <c r="I311" t="s">
        <v>980</v>
      </c>
      <c r="J311" t="s">
        <v>981</v>
      </c>
      <c r="K311" t="s">
        <v>24</v>
      </c>
      <c r="L311" t="s">
        <v>143</v>
      </c>
      <c r="M311" t="s">
        <v>144</v>
      </c>
      <c r="N311" t="s">
        <v>3967</v>
      </c>
      <c r="P311">
        <f t="shared" si="4"/>
        <v>0.29999906671727133</v>
      </c>
    </row>
    <row r="312" spans="1:16" x14ac:dyDescent="0.25">
      <c r="A312" t="s">
        <v>982</v>
      </c>
      <c r="B312" s="1">
        <v>44959</v>
      </c>
      <c r="C312" t="s">
        <v>983</v>
      </c>
      <c r="D312" t="s">
        <v>41</v>
      </c>
      <c r="E312">
        <v>4846.2299999999996</v>
      </c>
      <c r="F312">
        <v>10</v>
      </c>
      <c r="G312">
        <v>1453.87</v>
      </c>
      <c r="H312">
        <v>0.1</v>
      </c>
      <c r="I312" t="s">
        <v>983</v>
      </c>
      <c r="J312" t="s">
        <v>984</v>
      </c>
      <c r="K312" t="s">
        <v>31</v>
      </c>
      <c r="L312" t="s">
        <v>985</v>
      </c>
      <c r="M312" t="s">
        <v>51</v>
      </c>
      <c r="N312" t="s">
        <v>3967</v>
      </c>
      <c r="P312">
        <f t="shared" si="4"/>
        <v>0.30000020634596375</v>
      </c>
    </row>
    <row r="313" spans="1:16" x14ac:dyDescent="0.25">
      <c r="A313" t="s">
        <v>986</v>
      </c>
      <c r="B313" s="1">
        <v>45070</v>
      </c>
      <c r="C313" t="s">
        <v>987</v>
      </c>
      <c r="D313" t="s">
        <v>91</v>
      </c>
      <c r="E313">
        <v>6823.44</v>
      </c>
      <c r="F313">
        <v>15</v>
      </c>
      <c r="G313">
        <v>2047.03</v>
      </c>
      <c r="H313">
        <v>0.1</v>
      </c>
      <c r="I313" t="s">
        <v>987</v>
      </c>
      <c r="J313" t="s">
        <v>988</v>
      </c>
      <c r="K313" t="s">
        <v>31</v>
      </c>
      <c r="L313" t="s">
        <v>597</v>
      </c>
      <c r="M313" t="s">
        <v>26</v>
      </c>
      <c r="N313" t="s">
        <v>3967</v>
      </c>
      <c r="P313">
        <f t="shared" si="4"/>
        <v>0.29999970689271105</v>
      </c>
    </row>
    <row r="314" spans="1:16" x14ac:dyDescent="0.25">
      <c r="A314" t="s">
        <v>194</v>
      </c>
      <c r="B314" s="1">
        <v>45442</v>
      </c>
      <c r="C314" t="s">
        <v>195</v>
      </c>
      <c r="D314" t="s">
        <v>41</v>
      </c>
      <c r="E314">
        <v>1061.1099999999999</v>
      </c>
      <c r="F314">
        <v>4</v>
      </c>
      <c r="G314">
        <v>318.33</v>
      </c>
      <c r="H314">
        <v>0.15</v>
      </c>
      <c r="I314" t="s">
        <v>195</v>
      </c>
      <c r="J314" t="s">
        <v>989</v>
      </c>
      <c r="K314" t="s">
        <v>24</v>
      </c>
      <c r="L314" t="s">
        <v>155</v>
      </c>
      <c r="M314" t="s">
        <v>111</v>
      </c>
      <c r="N314" t="s">
        <v>3967</v>
      </c>
      <c r="P314">
        <f t="shared" si="4"/>
        <v>0.29999717277190868</v>
      </c>
    </row>
    <row r="315" spans="1:16" x14ac:dyDescent="0.25">
      <c r="A315" t="s">
        <v>197</v>
      </c>
      <c r="B315" s="1">
        <v>45086</v>
      </c>
      <c r="C315" t="s">
        <v>195</v>
      </c>
      <c r="D315" t="s">
        <v>15</v>
      </c>
      <c r="E315">
        <v>855.58</v>
      </c>
      <c r="F315">
        <v>2</v>
      </c>
      <c r="G315">
        <v>256.67</v>
      </c>
      <c r="H315">
        <v>0.15</v>
      </c>
      <c r="I315" t="s">
        <v>195</v>
      </c>
      <c r="J315" t="s">
        <v>989</v>
      </c>
      <c r="K315" t="s">
        <v>24</v>
      </c>
      <c r="L315" t="s">
        <v>155</v>
      </c>
      <c r="M315" t="s">
        <v>111</v>
      </c>
      <c r="N315" t="s">
        <v>3967</v>
      </c>
      <c r="P315">
        <f t="shared" si="4"/>
        <v>0.29999532480890156</v>
      </c>
    </row>
    <row r="316" spans="1:16" x14ac:dyDescent="0.25">
      <c r="A316" t="s">
        <v>990</v>
      </c>
      <c r="B316" s="1">
        <v>45314</v>
      </c>
      <c r="C316" t="s">
        <v>991</v>
      </c>
      <c r="D316" t="s">
        <v>29</v>
      </c>
      <c r="E316">
        <v>7389.65</v>
      </c>
      <c r="F316">
        <v>15</v>
      </c>
      <c r="G316">
        <v>2216.89</v>
      </c>
      <c r="H316">
        <v>0.15</v>
      </c>
      <c r="I316" t="s">
        <v>991</v>
      </c>
      <c r="J316" t="s">
        <v>992</v>
      </c>
      <c r="K316" t="s">
        <v>71</v>
      </c>
      <c r="L316" t="s">
        <v>25</v>
      </c>
      <c r="M316" t="s">
        <v>26</v>
      </c>
      <c r="N316" t="s">
        <v>3967</v>
      </c>
      <c r="P316">
        <f t="shared" si="4"/>
        <v>0.29999932337796781</v>
      </c>
    </row>
    <row r="317" spans="1:16" x14ac:dyDescent="0.25">
      <c r="A317" t="s">
        <v>993</v>
      </c>
      <c r="B317" s="1">
        <v>44963</v>
      </c>
      <c r="C317" t="s">
        <v>994</v>
      </c>
      <c r="D317" t="s">
        <v>36</v>
      </c>
      <c r="E317">
        <v>1848.16</v>
      </c>
      <c r="F317">
        <v>10</v>
      </c>
      <c r="G317">
        <v>554.45000000000005</v>
      </c>
      <c r="H317">
        <v>0.15</v>
      </c>
      <c r="I317" t="s">
        <v>994</v>
      </c>
      <c r="J317" t="s">
        <v>995</v>
      </c>
      <c r="K317" t="s">
        <v>31</v>
      </c>
      <c r="L317" t="s">
        <v>423</v>
      </c>
      <c r="M317" t="s">
        <v>244</v>
      </c>
      <c r="N317" t="s">
        <v>3967</v>
      </c>
      <c r="P317">
        <f t="shared" si="4"/>
        <v>0.30000108215738897</v>
      </c>
    </row>
    <row r="318" spans="1:16" x14ac:dyDescent="0.25">
      <c r="A318" t="s">
        <v>996</v>
      </c>
      <c r="B318" s="1">
        <v>45488</v>
      </c>
      <c r="C318" t="s">
        <v>997</v>
      </c>
      <c r="D318" t="s">
        <v>22</v>
      </c>
      <c r="E318">
        <v>6785.14</v>
      </c>
      <c r="F318">
        <v>15</v>
      </c>
      <c r="G318">
        <v>2035.54</v>
      </c>
      <c r="H318">
        <v>0.05</v>
      </c>
      <c r="I318" t="s">
        <v>997</v>
      </c>
      <c r="J318" t="s">
        <v>998</v>
      </c>
      <c r="K318" t="s">
        <v>71</v>
      </c>
      <c r="L318" t="s">
        <v>741</v>
      </c>
      <c r="M318" t="s">
        <v>19</v>
      </c>
      <c r="N318" t="s">
        <v>3967</v>
      </c>
      <c r="P318">
        <f t="shared" si="4"/>
        <v>0.29999970523821173</v>
      </c>
    </row>
    <row r="319" spans="1:16" x14ac:dyDescent="0.25">
      <c r="A319" t="s">
        <v>999</v>
      </c>
      <c r="B319" s="1">
        <v>44963</v>
      </c>
      <c r="C319" t="s">
        <v>1000</v>
      </c>
      <c r="D319" t="s">
        <v>22</v>
      </c>
      <c r="E319">
        <v>2347.87</v>
      </c>
      <c r="F319">
        <v>7</v>
      </c>
      <c r="G319">
        <v>704.36</v>
      </c>
      <c r="H319">
        <v>0</v>
      </c>
      <c r="I319" t="s">
        <v>1000</v>
      </c>
      <c r="J319" t="s">
        <v>1001</v>
      </c>
      <c r="K319" t="s">
        <v>17</v>
      </c>
      <c r="L319" t="s">
        <v>1002</v>
      </c>
      <c r="M319" t="s">
        <v>221</v>
      </c>
      <c r="N319" t="s">
        <v>3968</v>
      </c>
      <c r="P319">
        <f t="shared" si="4"/>
        <v>0.29999957408204031</v>
      </c>
    </row>
    <row r="320" spans="1:16" x14ac:dyDescent="0.25">
      <c r="A320" t="s">
        <v>1003</v>
      </c>
      <c r="B320" s="1">
        <v>45722</v>
      </c>
      <c r="C320" t="s">
        <v>1000</v>
      </c>
      <c r="D320" t="s">
        <v>36</v>
      </c>
      <c r="E320">
        <v>400.64</v>
      </c>
      <c r="F320">
        <v>5</v>
      </c>
      <c r="G320">
        <v>120.19</v>
      </c>
      <c r="H320">
        <v>0.1</v>
      </c>
      <c r="I320" t="s">
        <v>1000</v>
      </c>
      <c r="J320" t="s">
        <v>1001</v>
      </c>
      <c r="K320" t="s">
        <v>17</v>
      </c>
      <c r="L320" t="s">
        <v>1002</v>
      </c>
      <c r="M320" t="s">
        <v>221</v>
      </c>
      <c r="N320" t="s">
        <v>3968</v>
      </c>
      <c r="P320">
        <f t="shared" si="4"/>
        <v>0.29999500798722045</v>
      </c>
    </row>
    <row r="321" spans="1:16" x14ac:dyDescent="0.25">
      <c r="A321" t="s">
        <v>1004</v>
      </c>
      <c r="B321" s="1">
        <v>45136</v>
      </c>
      <c r="C321" t="s">
        <v>1005</v>
      </c>
      <c r="D321" t="s">
        <v>22</v>
      </c>
      <c r="E321">
        <v>105.26</v>
      </c>
      <c r="F321">
        <v>17</v>
      </c>
      <c r="G321">
        <v>31.58</v>
      </c>
      <c r="H321">
        <v>0.1</v>
      </c>
      <c r="I321" t="s">
        <v>1005</v>
      </c>
      <c r="J321" t="s">
        <v>1006</v>
      </c>
      <c r="K321" t="s">
        <v>38</v>
      </c>
      <c r="L321" t="s">
        <v>1007</v>
      </c>
      <c r="M321" t="s">
        <v>56</v>
      </c>
      <c r="N321" t="s">
        <v>3968</v>
      </c>
      <c r="P321">
        <f t="shared" si="4"/>
        <v>0.30001900057001707</v>
      </c>
    </row>
    <row r="322" spans="1:16" x14ac:dyDescent="0.25">
      <c r="A322" t="s">
        <v>1008</v>
      </c>
      <c r="B322" s="1">
        <v>45133</v>
      </c>
      <c r="C322" t="s">
        <v>1009</v>
      </c>
      <c r="D322" t="s">
        <v>41</v>
      </c>
      <c r="E322">
        <v>1918.4</v>
      </c>
      <c r="F322">
        <v>6</v>
      </c>
      <c r="G322">
        <v>575.52</v>
      </c>
      <c r="H322">
        <v>0.1</v>
      </c>
      <c r="I322" t="s">
        <v>1009</v>
      </c>
      <c r="J322" t="s">
        <v>1010</v>
      </c>
      <c r="K322" t="s">
        <v>31</v>
      </c>
      <c r="L322" t="s">
        <v>488</v>
      </c>
      <c r="M322" t="s">
        <v>26</v>
      </c>
      <c r="N322" t="s">
        <v>3968</v>
      </c>
      <c r="P322">
        <f t="shared" si="4"/>
        <v>0.3</v>
      </c>
    </row>
    <row r="323" spans="1:16" x14ac:dyDescent="0.25">
      <c r="A323" t="s">
        <v>1011</v>
      </c>
      <c r="B323" s="1">
        <v>45392</v>
      </c>
      <c r="C323" t="s">
        <v>1012</v>
      </c>
      <c r="D323" t="s">
        <v>91</v>
      </c>
      <c r="E323">
        <v>2122.27</v>
      </c>
      <c r="F323">
        <v>8</v>
      </c>
      <c r="G323">
        <v>636.67999999999995</v>
      </c>
      <c r="H323">
        <v>0.1</v>
      </c>
      <c r="I323" t="s">
        <v>1012</v>
      </c>
      <c r="J323" t="s">
        <v>1013</v>
      </c>
      <c r="K323" t="s">
        <v>71</v>
      </c>
      <c r="L323" t="s">
        <v>82</v>
      </c>
      <c r="M323" t="s">
        <v>83</v>
      </c>
      <c r="N323" t="s">
        <v>3968</v>
      </c>
      <c r="P323">
        <f t="shared" ref="P323:P386" si="5">G323/E323</f>
        <v>0.2999995288064195</v>
      </c>
    </row>
    <row r="324" spans="1:16" x14ac:dyDescent="0.25">
      <c r="A324" t="s">
        <v>1014</v>
      </c>
      <c r="B324" s="1">
        <v>44936</v>
      </c>
      <c r="C324" t="s">
        <v>1015</v>
      </c>
      <c r="D324" t="s">
        <v>48</v>
      </c>
      <c r="E324">
        <v>4938.66</v>
      </c>
      <c r="F324">
        <v>20</v>
      </c>
      <c r="G324">
        <v>1481.6</v>
      </c>
      <c r="H324">
        <v>0.1</v>
      </c>
      <c r="I324" t="s">
        <v>1015</v>
      </c>
      <c r="J324" t="s">
        <v>1016</v>
      </c>
      <c r="K324" t="s">
        <v>31</v>
      </c>
      <c r="L324" t="s">
        <v>82</v>
      </c>
      <c r="M324" t="s">
        <v>83</v>
      </c>
      <c r="N324" t="s">
        <v>3967</v>
      </c>
      <c r="P324">
        <f t="shared" si="5"/>
        <v>0.30000040496814923</v>
      </c>
    </row>
    <row r="325" spans="1:16" x14ac:dyDescent="0.25">
      <c r="A325" t="s">
        <v>1017</v>
      </c>
      <c r="B325" s="1">
        <v>45681</v>
      </c>
      <c r="C325" t="s">
        <v>1015</v>
      </c>
      <c r="D325" t="s">
        <v>29</v>
      </c>
      <c r="E325">
        <v>971.04</v>
      </c>
      <c r="F325">
        <v>16</v>
      </c>
      <c r="G325">
        <v>291.31</v>
      </c>
      <c r="H325">
        <v>0</v>
      </c>
      <c r="I325" t="s">
        <v>1015</v>
      </c>
      <c r="J325" t="s">
        <v>1016</v>
      </c>
      <c r="K325" t="s">
        <v>31</v>
      </c>
      <c r="L325" t="s">
        <v>82</v>
      </c>
      <c r="M325" t="s">
        <v>83</v>
      </c>
      <c r="N325" t="s">
        <v>3967</v>
      </c>
      <c r="P325">
        <f t="shared" si="5"/>
        <v>0.29999794035261163</v>
      </c>
    </row>
    <row r="326" spans="1:16" x14ac:dyDescent="0.25">
      <c r="A326" t="s">
        <v>1018</v>
      </c>
      <c r="B326" s="1">
        <v>45774</v>
      </c>
      <c r="C326" t="s">
        <v>1019</v>
      </c>
      <c r="D326" t="s">
        <v>15</v>
      </c>
      <c r="E326">
        <v>1007.33</v>
      </c>
      <c r="F326">
        <v>2</v>
      </c>
      <c r="G326">
        <v>302.2</v>
      </c>
      <c r="H326">
        <v>0.1</v>
      </c>
      <c r="I326" t="s">
        <v>1019</v>
      </c>
      <c r="J326" t="s">
        <v>1020</v>
      </c>
      <c r="K326" t="s">
        <v>71</v>
      </c>
      <c r="L326" t="s">
        <v>470</v>
      </c>
      <c r="M326" t="s">
        <v>33</v>
      </c>
      <c r="N326" t="s">
        <v>3967</v>
      </c>
      <c r="P326">
        <f t="shared" si="5"/>
        <v>0.30000099272333791</v>
      </c>
    </row>
    <row r="327" spans="1:16" x14ac:dyDescent="0.25">
      <c r="A327" t="s">
        <v>1021</v>
      </c>
      <c r="B327" s="1">
        <v>45708</v>
      </c>
      <c r="C327" t="s">
        <v>1022</v>
      </c>
      <c r="D327" t="s">
        <v>22</v>
      </c>
      <c r="E327">
        <v>837.58</v>
      </c>
      <c r="F327">
        <v>4</v>
      </c>
      <c r="G327">
        <v>251.27</v>
      </c>
      <c r="H327">
        <v>0.1</v>
      </c>
      <c r="I327" t="s">
        <v>1022</v>
      </c>
      <c r="J327" t="s">
        <v>1023</v>
      </c>
      <c r="K327" t="s">
        <v>17</v>
      </c>
      <c r="L327" t="s">
        <v>82</v>
      </c>
      <c r="M327" t="s">
        <v>83</v>
      </c>
      <c r="N327" t="s">
        <v>3967</v>
      </c>
      <c r="P327">
        <f t="shared" si="5"/>
        <v>0.29999522433677978</v>
      </c>
    </row>
    <row r="328" spans="1:16" x14ac:dyDescent="0.25">
      <c r="A328" t="s">
        <v>845</v>
      </c>
      <c r="B328" s="1">
        <v>45183</v>
      </c>
      <c r="C328" t="s">
        <v>846</v>
      </c>
      <c r="D328" t="s">
        <v>41</v>
      </c>
      <c r="E328">
        <v>1962.4</v>
      </c>
      <c r="F328">
        <v>10</v>
      </c>
      <c r="G328">
        <v>588.72</v>
      </c>
      <c r="H328">
        <v>0.15</v>
      </c>
      <c r="I328" t="s">
        <v>846</v>
      </c>
      <c r="J328" t="s">
        <v>1024</v>
      </c>
      <c r="K328" t="s">
        <v>31</v>
      </c>
      <c r="L328" t="s">
        <v>427</v>
      </c>
      <c r="M328" t="s">
        <v>56</v>
      </c>
      <c r="N328" t="s">
        <v>3966</v>
      </c>
      <c r="P328">
        <f t="shared" si="5"/>
        <v>0.3</v>
      </c>
    </row>
    <row r="329" spans="1:16" x14ac:dyDescent="0.25">
      <c r="A329" t="s">
        <v>849</v>
      </c>
      <c r="B329" s="1">
        <v>45820</v>
      </c>
      <c r="C329" t="s">
        <v>846</v>
      </c>
      <c r="D329" t="s">
        <v>36</v>
      </c>
      <c r="E329">
        <v>7630.88</v>
      </c>
      <c r="F329">
        <v>19</v>
      </c>
      <c r="G329">
        <v>2289.2600000000002</v>
      </c>
      <c r="H329">
        <v>0.1</v>
      </c>
      <c r="I329" t="s">
        <v>846</v>
      </c>
      <c r="J329" t="s">
        <v>1024</v>
      </c>
      <c r="K329" t="s">
        <v>31</v>
      </c>
      <c r="L329" t="s">
        <v>427</v>
      </c>
      <c r="M329" t="s">
        <v>56</v>
      </c>
      <c r="N329" t="s">
        <v>3966</v>
      </c>
      <c r="P329">
        <f t="shared" si="5"/>
        <v>0.29999947581406078</v>
      </c>
    </row>
    <row r="330" spans="1:16" x14ac:dyDescent="0.25">
      <c r="A330" t="s">
        <v>1025</v>
      </c>
      <c r="B330" s="1">
        <v>45399</v>
      </c>
      <c r="C330" t="s">
        <v>1026</v>
      </c>
      <c r="D330" t="s">
        <v>91</v>
      </c>
      <c r="E330">
        <v>2105.71</v>
      </c>
      <c r="F330">
        <v>7</v>
      </c>
      <c r="G330">
        <v>631.71</v>
      </c>
      <c r="H330">
        <v>0.15</v>
      </c>
      <c r="I330" t="s">
        <v>1026</v>
      </c>
      <c r="J330" t="s">
        <v>1027</v>
      </c>
      <c r="K330" t="s">
        <v>71</v>
      </c>
      <c r="L330" t="s">
        <v>82</v>
      </c>
      <c r="M330" t="s">
        <v>83</v>
      </c>
      <c r="N330" t="s">
        <v>3966</v>
      </c>
      <c r="P330">
        <f t="shared" si="5"/>
        <v>0.2999985753023921</v>
      </c>
    </row>
    <row r="331" spans="1:16" x14ac:dyDescent="0.25">
      <c r="A331" t="s">
        <v>1028</v>
      </c>
      <c r="B331" s="1">
        <v>45610</v>
      </c>
      <c r="C331" t="s">
        <v>1029</v>
      </c>
      <c r="D331" t="s">
        <v>91</v>
      </c>
      <c r="E331">
        <v>6732.84</v>
      </c>
      <c r="F331">
        <v>12</v>
      </c>
      <c r="G331">
        <v>2019.85</v>
      </c>
      <c r="H331">
        <v>0</v>
      </c>
      <c r="I331" t="s">
        <v>1029</v>
      </c>
      <c r="J331" t="s">
        <v>1030</v>
      </c>
      <c r="K331" t="s">
        <v>38</v>
      </c>
      <c r="L331" t="s">
        <v>1031</v>
      </c>
      <c r="M331" t="s">
        <v>266</v>
      </c>
      <c r="N331" t="s">
        <v>3966</v>
      </c>
      <c r="P331">
        <f t="shared" si="5"/>
        <v>0.29999970294853284</v>
      </c>
    </row>
    <row r="332" spans="1:16" x14ac:dyDescent="0.25">
      <c r="A332" t="s">
        <v>1032</v>
      </c>
      <c r="B332" s="1">
        <v>45498</v>
      </c>
      <c r="C332" t="s">
        <v>1033</v>
      </c>
      <c r="D332" t="s">
        <v>36</v>
      </c>
      <c r="E332">
        <v>3337.34</v>
      </c>
      <c r="F332">
        <v>15</v>
      </c>
      <c r="G332">
        <v>1001.2</v>
      </c>
      <c r="H332">
        <v>0.1</v>
      </c>
      <c r="I332" t="s">
        <v>1033</v>
      </c>
      <c r="J332" t="s">
        <v>1034</v>
      </c>
      <c r="K332" t="s">
        <v>31</v>
      </c>
      <c r="L332" t="s">
        <v>143</v>
      </c>
      <c r="M332" t="s">
        <v>144</v>
      </c>
      <c r="N332" t="s">
        <v>3966</v>
      </c>
      <c r="P332">
        <f t="shared" si="5"/>
        <v>0.29999940072033415</v>
      </c>
    </row>
    <row r="333" spans="1:16" x14ac:dyDescent="0.25">
      <c r="A333" t="s">
        <v>1035</v>
      </c>
      <c r="B333" s="1">
        <v>45530</v>
      </c>
      <c r="C333" t="s">
        <v>1036</v>
      </c>
      <c r="D333" t="s">
        <v>48</v>
      </c>
      <c r="E333">
        <v>3119.72</v>
      </c>
      <c r="F333">
        <v>9</v>
      </c>
      <c r="G333">
        <v>935.92</v>
      </c>
      <c r="H333">
        <v>0.05</v>
      </c>
      <c r="I333" t="s">
        <v>1036</v>
      </c>
      <c r="J333" t="s">
        <v>1037</v>
      </c>
      <c r="K333" t="s">
        <v>17</v>
      </c>
      <c r="L333" t="s">
        <v>155</v>
      </c>
      <c r="M333" t="s">
        <v>111</v>
      </c>
      <c r="N333" t="s">
        <v>3966</v>
      </c>
      <c r="P333">
        <f t="shared" si="5"/>
        <v>0.30000128216634825</v>
      </c>
    </row>
    <row r="334" spans="1:16" x14ac:dyDescent="0.25">
      <c r="A334" t="s">
        <v>1038</v>
      </c>
      <c r="B334" s="1">
        <v>45509</v>
      </c>
      <c r="C334" t="s">
        <v>1036</v>
      </c>
      <c r="D334" t="s">
        <v>22</v>
      </c>
      <c r="E334">
        <v>4637.8599999999997</v>
      </c>
      <c r="F334">
        <v>19</v>
      </c>
      <c r="G334">
        <v>1391.36</v>
      </c>
      <c r="H334">
        <v>0.1</v>
      </c>
      <c r="I334" t="s">
        <v>1036</v>
      </c>
      <c r="J334" t="s">
        <v>1037</v>
      </c>
      <c r="K334" t="s">
        <v>17</v>
      </c>
      <c r="L334" t="s">
        <v>155</v>
      </c>
      <c r="M334" t="s">
        <v>111</v>
      </c>
      <c r="N334" t="s">
        <v>3966</v>
      </c>
      <c r="P334">
        <f t="shared" si="5"/>
        <v>0.30000043123337056</v>
      </c>
    </row>
    <row r="335" spans="1:16" x14ac:dyDescent="0.25">
      <c r="A335" t="s">
        <v>1039</v>
      </c>
      <c r="B335" s="1">
        <v>45680</v>
      </c>
      <c r="C335" t="s">
        <v>1040</v>
      </c>
      <c r="D335" t="s">
        <v>15</v>
      </c>
      <c r="E335">
        <v>3195.24</v>
      </c>
      <c r="F335">
        <v>6</v>
      </c>
      <c r="G335">
        <v>958.57</v>
      </c>
      <c r="H335">
        <v>0</v>
      </c>
      <c r="I335" t="s">
        <v>1040</v>
      </c>
      <c r="J335" t="s">
        <v>1041</v>
      </c>
      <c r="K335" t="s">
        <v>71</v>
      </c>
      <c r="L335" t="s">
        <v>1042</v>
      </c>
      <c r="M335" t="s">
        <v>129</v>
      </c>
      <c r="N335" t="s">
        <v>3966</v>
      </c>
      <c r="P335">
        <f t="shared" si="5"/>
        <v>0.29999937406892757</v>
      </c>
    </row>
    <row r="336" spans="1:16" x14ac:dyDescent="0.25">
      <c r="A336" t="s">
        <v>1043</v>
      </c>
      <c r="B336" s="1">
        <v>45111</v>
      </c>
      <c r="C336" t="s">
        <v>1044</v>
      </c>
      <c r="D336" t="s">
        <v>91</v>
      </c>
      <c r="E336">
        <v>1396.61</v>
      </c>
      <c r="F336">
        <v>12</v>
      </c>
      <c r="G336">
        <v>418.98</v>
      </c>
      <c r="H336">
        <v>0.05</v>
      </c>
      <c r="I336" t="s">
        <v>1044</v>
      </c>
      <c r="J336" t="s">
        <v>1045</v>
      </c>
      <c r="K336" t="s">
        <v>71</v>
      </c>
      <c r="L336" t="s">
        <v>143</v>
      </c>
      <c r="M336" t="s">
        <v>144</v>
      </c>
      <c r="N336" t="s">
        <v>3966</v>
      </c>
      <c r="P336">
        <f t="shared" si="5"/>
        <v>0.29999785194148693</v>
      </c>
    </row>
    <row r="337" spans="1:16" x14ac:dyDescent="0.25">
      <c r="A337" t="s">
        <v>1046</v>
      </c>
      <c r="B337" s="1">
        <v>45774</v>
      </c>
      <c r="C337" t="s">
        <v>1044</v>
      </c>
      <c r="D337" t="s">
        <v>41</v>
      </c>
      <c r="E337">
        <v>4481.74</v>
      </c>
      <c r="F337">
        <v>16</v>
      </c>
      <c r="G337">
        <v>1344.52</v>
      </c>
      <c r="H337">
        <v>0.15</v>
      </c>
      <c r="I337" t="s">
        <v>1044</v>
      </c>
      <c r="J337" t="s">
        <v>1045</v>
      </c>
      <c r="K337" t="s">
        <v>71</v>
      </c>
      <c r="L337" t="s">
        <v>143</v>
      </c>
      <c r="M337" t="s">
        <v>144</v>
      </c>
      <c r="N337" t="s">
        <v>3966</v>
      </c>
      <c r="P337">
        <f t="shared" si="5"/>
        <v>0.29999955374475096</v>
      </c>
    </row>
    <row r="338" spans="1:16" x14ac:dyDescent="0.25">
      <c r="A338" t="s">
        <v>1047</v>
      </c>
      <c r="B338" s="1">
        <v>45555</v>
      </c>
      <c r="C338" t="s">
        <v>1048</v>
      </c>
      <c r="D338" t="s">
        <v>22</v>
      </c>
      <c r="E338">
        <v>1020.6</v>
      </c>
      <c r="F338">
        <v>6</v>
      </c>
      <c r="G338">
        <v>306.18</v>
      </c>
      <c r="H338">
        <v>0</v>
      </c>
      <c r="I338" t="s">
        <v>1048</v>
      </c>
      <c r="J338" t="s">
        <v>1049</v>
      </c>
      <c r="K338" t="s">
        <v>24</v>
      </c>
      <c r="L338" t="s">
        <v>50</v>
      </c>
      <c r="M338" t="s">
        <v>51</v>
      </c>
      <c r="N338" t="s">
        <v>3966</v>
      </c>
      <c r="P338">
        <f t="shared" si="5"/>
        <v>0.3</v>
      </c>
    </row>
    <row r="339" spans="1:16" x14ac:dyDescent="0.25">
      <c r="A339" t="s">
        <v>1050</v>
      </c>
      <c r="B339" s="1">
        <v>45177</v>
      </c>
      <c r="C339" t="s">
        <v>1051</v>
      </c>
      <c r="D339" t="s">
        <v>15</v>
      </c>
      <c r="E339">
        <v>3437.2</v>
      </c>
      <c r="F339">
        <v>19</v>
      </c>
      <c r="G339">
        <v>1031.1600000000001</v>
      </c>
      <c r="H339">
        <v>0.15</v>
      </c>
      <c r="I339" t="s">
        <v>1051</v>
      </c>
      <c r="J339" t="s">
        <v>426</v>
      </c>
      <c r="K339" t="s">
        <v>71</v>
      </c>
      <c r="L339" t="s">
        <v>72</v>
      </c>
      <c r="M339" t="s">
        <v>26</v>
      </c>
      <c r="N339" t="s">
        <v>3967</v>
      </c>
      <c r="P339">
        <f t="shared" si="5"/>
        <v>0.30000000000000004</v>
      </c>
    </row>
    <row r="340" spans="1:16" x14ac:dyDescent="0.25">
      <c r="A340" t="s">
        <v>1052</v>
      </c>
      <c r="B340" s="1">
        <v>45611</v>
      </c>
      <c r="C340" t="s">
        <v>1053</v>
      </c>
      <c r="D340" t="s">
        <v>48</v>
      </c>
      <c r="E340">
        <v>982.4</v>
      </c>
      <c r="F340">
        <v>10</v>
      </c>
      <c r="G340">
        <v>294.72000000000003</v>
      </c>
      <c r="H340">
        <v>0</v>
      </c>
      <c r="I340" t="s">
        <v>1053</v>
      </c>
      <c r="J340" t="s">
        <v>1054</v>
      </c>
      <c r="K340" t="s">
        <v>24</v>
      </c>
      <c r="L340" t="s">
        <v>243</v>
      </c>
      <c r="M340" t="s">
        <v>244</v>
      </c>
      <c r="N340" t="s">
        <v>3967</v>
      </c>
      <c r="P340">
        <f t="shared" si="5"/>
        <v>0.30000000000000004</v>
      </c>
    </row>
    <row r="341" spans="1:16" x14ac:dyDescent="0.25">
      <c r="A341" t="s">
        <v>1055</v>
      </c>
      <c r="B341" s="1">
        <v>45767</v>
      </c>
      <c r="C341" t="s">
        <v>1053</v>
      </c>
      <c r="D341" t="s">
        <v>15</v>
      </c>
      <c r="E341">
        <v>2894.6</v>
      </c>
      <c r="F341">
        <v>5</v>
      </c>
      <c r="G341">
        <v>868.38</v>
      </c>
      <c r="H341">
        <v>0</v>
      </c>
      <c r="I341" t="s">
        <v>1053</v>
      </c>
      <c r="J341" t="s">
        <v>1054</v>
      </c>
      <c r="K341" t="s">
        <v>24</v>
      </c>
      <c r="L341" t="s">
        <v>243</v>
      </c>
      <c r="M341" t="s">
        <v>244</v>
      </c>
      <c r="N341" t="s">
        <v>3966</v>
      </c>
      <c r="P341">
        <f t="shared" si="5"/>
        <v>0.3</v>
      </c>
    </row>
    <row r="342" spans="1:16" x14ac:dyDescent="0.25">
      <c r="A342" t="s">
        <v>1056</v>
      </c>
      <c r="B342" s="1">
        <v>45463</v>
      </c>
      <c r="C342" t="s">
        <v>1057</v>
      </c>
      <c r="D342" t="s">
        <v>22</v>
      </c>
      <c r="E342">
        <v>1233.68</v>
      </c>
      <c r="F342">
        <v>3</v>
      </c>
      <c r="G342">
        <v>370.11</v>
      </c>
      <c r="H342">
        <v>0.1</v>
      </c>
      <c r="I342" t="s">
        <v>1057</v>
      </c>
      <c r="J342" t="s">
        <v>902</v>
      </c>
      <c r="K342" t="s">
        <v>31</v>
      </c>
      <c r="L342" t="s">
        <v>719</v>
      </c>
      <c r="M342" t="s">
        <v>33</v>
      </c>
      <c r="N342" t="s">
        <v>3967</v>
      </c>
      <c r="P342">
        <f t="shared" si="5"/>
        <v>0.30000486349782762</v>
      </c>
    </row>
    <row r="343" spans="1:16" x14ac:dyDescent="0.25">
      <c r="A343" t="s">
        <v>1058</v>
      </c>
      <c r="B343" s="1">
        <v>44937</v>
      </c>
      <c r="C343" t="s">
        <v>1059</v>
      </c>
      <c r="D343" t="s">
        <v>91</v>
      </c>
      <c r="E343">
        <v>6258.36</v>
      </c>
      <c r="F343">
        <v>12</v>
      </c>
      <c r="G343">
        <v>1877.51</v>
      </c>
      <c r="H343">
        <v>0</v>
      </c>
      <c r="I343" t="s">
        <v>1059</v>
      </c>
      <c r="J343" t="s">
        <v>1060</v>
      </c>
      <c r="K343" t="s">
        <v>17</v>
      </c>
      <c r="L343" t="s">
        <v>1061</v>
      </c>
      <c r="M343" t="s">
        <v>645</v>
      </c>
      <c r="N343" t="s">
        <v>3967</v>
      </c>
      <c r="P343">
        <f t="shared" si="5"/>
        <v>0.30000031957253981</v>
      </c>
    </row>
    <row r="344" spans="1:16" x14ac:dyDescent="0.25">
      <c r="A344" t="s">
        <v>1062</v>
      </c>
      <c r="B344" s="1">
        <v>45111</v>
      </c>
      <c r="C344" t="s">
        <v>1063</v>
      </c>
      <c r="D344" t="s">
        <v>29</v>
      </c>
      <c r="E344">
        <v>7561.27</v>
      </c>
      <c r="F344">
        <v>17</v>
      </c>
      <c r="G344">
        <v>2268.38</v>
      </c>
      <c r="H344">
        <v>0.05</v>
      </c>
      <c r="I344" t="s">
        <v>1063</v>
      </c>
      <c r="J344" t="s">
        <v>1064</v>
      </c>
      <c r="K344" t="s">
        <v>31</v>
      </c>
      <c r="L344" t="s">
        <v>243</v>
      </c>
      <c r="M344" t="s">
        <v>244</v>
      </c>
      <c r="N344" t="s">
        <v>3967</v>
      </c>
      <c r="P344">
        <f t="shared" si="5"/>
        <v>0.29999986774708481</v>
      </c>
    </row>
    <row r="345" spans="1:16" x14ac:dyDescent="0.25">
      <c r="A345" t="s">
        <v>1065</v>
      </c>
      <c r="B345" s="1">
        <v>45724</v>
      </c>
      <c r="C345" t="s">
        <v>1066</v>
      </c>
      <c r="D345" t="s">
        <v>48</v>
      </c>
      <c r="E345">
        <v>67.400000000000006</v>
      </c>
      <c r="F345">
        <v>9</v>
      </c>
      <c r="G345">
        <v>20.22</v>
      </c>
      <c r="H345">
        <v>0.15</v>
      </c>
      <c r="I345" t="s">
        <v>1066</v>
      </c>
      <c r="J345" t="s">
        <v>236</v>
      </c>
      <c r="K345" t="s">
        <v>38</v>
      </c>
      <c r="L345" t="s">
        <v>1067</v>
      </c>
      <c r="M345" t="s">
        <v>26</v>
      </c>
      <c r="N345" t="s">
        <v>3967</v>
      </c>
      <c r="P345">
        <f t="shared" si="5"/>
        <v>0.29999999999999993</v>
      </c>
    </row>
    <row r="346" spans="1:16" x14ac:dyDescent="0.25">
      <c r="A346" t="s">
        <v>1068</v>
      </c>
      <c r="B346" s="1">
        <v>45698</v>
      </c>
      <c r="C346" t="s">
        <v>1069</v>
      </c>
      <c r="D346" t="s">
        <v>36</v>
      </c>
      <c r="E346">
        <v>2657.61</v>
      </c>
      <c r="F346">
        <v>6</v>
      </c>
      <c r="G346">
        <v>797.28</v>
      </c>
      <c r="H346">
        <v>0.15</v>
      </c>
      <c r="I346" t="s">
        <v>1069</v>
      </c>
      <c r="J346" t="s">
        <v>1070</v>
      </c>
      <c r="K346" t="s">
        <v>24</v>
      </c>
      <c r="L346" t="s">
        <v>216</v>
      </c>
      <c r="M346" t="s">
        <v>123</v>
      </c>
      <c r="N346" t="s">
        <v>3966</v>
      </c>
      <c r="P346">
        <f t="shared" si="5"/>
        <v>0.29999887116619817</v>
      </c>
    </row>
    <row r="347" spans="1:16" x14ac:dyDescent="0.25">
      <c r="A347" t="s">
        <v>1071</v>
      </c>
      <c r="B347" s="1">
        <v>45733</v>
      </c>
      <c r="C347" t="s">
        <v>1072</v>
      </c>
      <c r="D347" t="s">
        <v>48</v>
      </c>
      <c r="E347">
        <v>2609.19</v>
      </c>
      <c r="F347">
        <v>10</v>
      </c>
      <c r="G347">
        <v>782.76</v>
      </c>
      <c r="H347">
        <v>0.1</v>
      </c>
      <c r="I347" t="s">
        <v>1072</v>
      </c>
      <c r="J347" t="s">
        <v>1073</v>
      </c>
      <c r="K347" t="s">
        <v>71</v>
      </c>
      <c r="L347" t="s">
        <v>1074</v>
      </c>
      <c r="M347" t="s">
        <v>26</v>
      </c>
      <c r="N347" t="s">
        <v>3966</v>
      </c>
      <c r="P347">
        <f t="shared" si="5"/>
        <v>0.30000114978211628</v>
      </c>
    </row>
    <row r="348" spans="1:16" x14ac:dyDescent="0.25">
      <c r="A348" t="s">
        <v>1075</v>
      </c>
      <c r="B348" s="1">
        <v>45239</v>
      </c>
      <c r="C348" t="s">
        <v>1076</v>
      </c>
      <c r="D348" t="s">
        <v>41</v>
      </c>
      <c r="E348">
        <v>405.47</v>
      </c>
      <c r="F348">
        <v>3</v>
      </c>
      <c r="G348">
        <v>121.64</v>
      </c>
      <c r="H348">
        <v>0.05</v>
      </c>
      <c r="I348" t="s">
        <v>1076</v>
      </c>
      <c r="J348" t="s">
        <v>1077</v>
      </c>
      <c r="K348" t="s">
        <v>17</v>
      </c>
      <c r="L348" t="s">
        <v>1078</v>
      </c>
      <c r="M348" t="s">
        <v>129</v>
      </c>
      <c r="N348" t="s">
        <v>3966</v>
      </c>
      <c r="P348">
        <f t="shared" si="5"/>
        <v>0.2999975337262929</v>
      </c>
    </row>
    <row r="349" spans="1:16" x14ac:dyDescent="0.25">
      <c r="A349" t="s">
        <v>1079</v>
      </c>
      <c r="B349" s="1">
        <v>45260</v>
      </c>
      <c r="C349" t="s">
        <v>1080</v>
      </c>
      <c r="D349" t="s">
        <v>41</v>
      </c>
      <c r="E349">
        <v>5045.78</v>
      </c>
      <c r="F349">
        <v>15</v>
      </c>
      <c r="G349">
        <v>1513.73</v>
      </c>
      <c r="H349">
        <v>0.05</v>
      </c>
      <c r="I349" t="s">
        <v>1080</v>
      </c>
      <c r="J349" t="s">
        <v>325</v>
      </c>
      <c r="K349" t="s">
        <v>38</v>
      </c>
      <c r="L349" t="s">
        <v>1081</v>
      </c>
      <c r="M349" t="s">
        <v>412</v>
      </c>
      <c r="N349" t="s">
        <v>3966</v>
      </c>
      <c r="P349">
        <f t="shared" si="5"/>
        <v>0.29999920725834262</v>
      </c>
    </row>
    <row r="350" spans="1:16" x14ac:dyDescent="0.25">
      <c r="A350" t="s">
        <v>1082</v>
      </c>
      <c r="B350" s="1">
        <v>45519</v>
      </c>
      <c r="C350" t="s">
        <v>1083</v>
      </c>
      <c r="D350" t="s">
        <v>91</v>
      </c>
      <c r="E350">
        <v>7171.4</v>
      </c>
      <c r="F350">
        <v>20</v>
      </c>
      <c r="G350">
        <v>2151.42</v>
      </c>
      <c r="H350">
        <v>0</v>
      </c>
      <c r="I350" t="s">
        <v>1083</v>
      </c>
      <c r="J350" t="s">
        <v>1084</v>
      </c>
      <c r="K350" t="s">
        <v>24</v>
      </c>
      <c r="L350" t="s">
        <v>265</v>
      </c>
      <c r="M350" t="s">
        <v>139</v>
      </c>
      <c r="N350" t="s">
        <v>3966</v>
      </c>
      <c r="P350">
        <f t="shared" si="5"/>
        <v>0.30000000000000004</v>
      </c>
    </row>
    <row r="351" spans="1:16" x14ac:dyDescent="0.25">
      <c r="A351" t="s">
        <v>1085</v>
      </c>
      <c r="B351" s="1">
        <v>45006</v>
      </c>
      <c r="C351" t="s">
        <v>1086</v>
      </c>
      <c r="D351" t="s">
        <v>91</v>
      </c>
      <c r="E351">
        <v>504.34</v>
      </c>
      <c r="F351">
        <v>16</v>
      </c>
      <c r="G351">
        <v>151.30000000000001</v>
      </c>
      <c r="H351">
        <v>0.05</v>
      </c>
      <c r="I351" t="s">
        <v>1086</v>
      </c>
      <c r="J351" t="s">
        <v>532</v>
      </c>
      <c r="K351" t="s">
        <v>71</v>
      </c>
      <c r="L351" t="s">
        <v>1087</v>
      </c>
      <c r="M351" t="s">
        <v>160</v>
      </c>
      <c r="N351" t="s">
        <v>3968</v>
      </c>
      <c r="P351">
        <f t="shared" si="5"/>
        <v>0.2999960344212238</v>
      </c>
    </row>
    <row r="352" spans="1:16" x14ac:dyDescent="0.25">
      <c r="A352" t="s">
        <v>1088</v>
      </c>
      <c r="B352" s="1">
        <v>45225</v>
      </c>
      <c r="C352" t="s">
        <v>1089</v>
      </c>
      <c r="D352" t="s">
        <v>48</v>
      </c>
      <c r="E352">
        <v>248.8</v>
      </c>
      <c r="F352">
        <v>2</v>
      </c>
      <c r="G352">
        <v>74.64</v>
      </c>
      <c r="H352">
        <v>0</v>
      </c>
      <c r="I352" t="s">
        <v>1089</v>
      </c>
      <c r="J352" t="s">
        <v>1090</v>
      </c>
      <c r="K352" t="s">
        <v>71</v>
      </c>
      <c r="L352" t="s">
        <v>1091</v>
      </c>
      <c r="M352" t="s">
        <v>51</v>
      </c>
      <c r="N352" t="s">
        <v>3968</v>
      </c>
      <c r="P352">
        <f t="shared" si="5"/>
        <v>0.3</v>
      </c>
    </row>
    <row r="353" spans="1:16" x14ac:dyDescent="0.25">
      <c r="A353" t="s">
        <v>1092</v>
      </c>
      <c r="B353" s="1">
        <v>45233</v>
      </c>
      <c r="C353" t="s">
        <v>1093</v>
      </c>
      <c r="D353" t="s">
        <v>22</v>
      </c>
      <c r="E353">
        <v>191.81</v>
      </c>
      <c r="F353">
        <v>12</v>
      </c>
      <c r="G353">
        <v>57.54</v>
      </c>
      <c r="H353">
        <v>0.1</v>
      </c>
      <c r="I353" t="s">
        <v>1093</v>
      </c>
      <c r="J353" t="s">
        <v>1094</v>
      </c>
      <c r="K353" t="s">
        <v>71</v>
      </c>
      <c r="L353" t="s">
        <v>143</v>
      </c>
      <c r="M353" t="s">
        <v>144</v>
      </c>
      <c r="N353" t="s">
        <v>3968</v>
      </c>
      <c r="P353">
        <f t="shared" si="5"/>
        <v>0.29998435952244407</v>
      </c>
    </row>
    <row r="354" spans="1:16" x14ac:dyDescent="0.25">
      <c r="A354" t="s">
        <v>1095</v>
      </c>
      <c r="B354" s="1">
        <v>45405</v>
      </c>
      <c r="C354" t="s">
        <v>1096</v>
      </c>
      <c r="D354" t="s">
        <v>48</v>
      </c>
      <c r="E354">
        <v>5716.75</v>
      </c>
      <c r="F354">
        <v>13</v>
      </c>
      <c r="G354">
        <v>1715.03</v>
      </c>
      <c r="H354">
        <v>0</v>
      </c>
      <c r="I354" t="s">
        <v>1096</v>
      </c>
      <c r="J354" t="s">
        <v>670</v>
      </c>
      <c r="K354" t="s">
        <v>31</v>
      </c>
      <c r="L354" t="s">
        <v>143</v>
      </c>
      <c r="M354" t="s">
        <v>144</v>
      </c>
      <c r="N354" t="s">
        <v>3968</v>
      </c>
      <c r="P354">
        <f t="shared" si="5"/>
        <v>0.30000087462281888</v>
      </c>
    </row>
    <row r="355" spans="1:16" x14ac:dyDescent="0.25">
      <c r="A355" t="s">
        <v>1097</v>
      </c>
      <c r="B355" s="1">
        <v>45687</v>
      </c>
      <c r="C355" t="s">
        <v>1096</v>
      </c>
      <c r="D355" t="s">
        <v>36</v>
      </c>
      <c r="E355">
        <v>4699.21</v>
      </c>
      <c r="F355">
        <v>16</v>
      </c>
      <c r="G355">
        <v>1409.76</v>
      </c>
      <c r="H355">
        <v>0.15</v>
      </c>
      <c r="I355" t="s">
        <v>1096</v>
      </c>
      <c r="J355" t="s">
        <v>670</v>
      </c>
      <c r="K355" t="s">
        <v>31</v>
      </c>
      <c r="L355" t="s">
        <v>143</v>
      </c>
      <c r="M355" t="s">
        <v>144</v>
      </c>
      <c r="N355" t="s">
        <v>3968</v>
      </c>
      <c r="P355">
        <f t="shared" si="5"/>
        <v>0.29999936159482127</v>
      </c>
    </row>
    <row r="356" spans="1:16" x14ac:dyDescent="0.25">
      <c r="A356" t="s">
        <v>1098</v>
      </c>
      <c r="B356" s="1">
        <v>45316</v>
      </c>
      <c r="C356" t="s">
        <v>1099</v>
      </c>
      <c r="D356" t="s">
        <v>15</v>
      </c>
      <c r="E356">
        <v>5600.48</v>
      </c>
      <c r="F356">
        <v>13</v>
      </c>
      <c r="G356">
        <v>1680.14</v>
      </c>
      <c r="H356">
        <v>0.05</v>
      </c>
      <c r="I356" t="s">
        <v>1099</v>
      </c>
      <c r="J356" t="s">
        <v>1100</v>
      </c>
      <c r="K356" t="s">
        <v>71</v>
      </c>
      <c r="L356" t="s">
        <v>265</v>
      </c>
      <c r="M356" t="s">
        <v>266</v>
      </c>
      <c r="N356" t="s">
        <v>3966</v>
      </c>
      <c r="P356">
        <f t="shared" si="5"/>
        <v>0.299999285775505</v>
      </c>
    </row>
    <row r="357" spans="1:16" x14ac:dyDescent="0.25">
      <c r="A357" t="s">
        <v>1101</v>
      </c>
      <c r="B357" s="1">
        <v>45745</v>
      </c>
      <c r="C357" t="s">
        <v>1102</v>
      </c>
      <c r="D357" t="s">
        <v>15</v>
      </c>
      <c r="E357">
        <v>2360.79</v>
      </c>
      <c r="F357">
        <v>10</v>
      </c>
      <c r="G357">
        <v>708.24</v>
      </c>
      <c r="H357">
        <v>0.15</v>
      </c>
      <c r="I357" t="s">
        <v>1102</v>
      </c>
      <c r="J357" t="s">
        <v>1103</v>
      </c>
      <c r="K357" t="s">
        <v>24</v>
      </c>
      <c r="L357" t="s">
        <v>243</v>
      </c>
      <c r="M357" t="s">
        <v>111</v>
      </c>
      <c r="N357" t="s">
        <v>3966</v>
      </c>
      <c r="P357">
        <f t="shared" si="5"/>
        <v>0.30000127076105881</v>
      </c>
    </row>
    <row r="358" spans="1:16" x14ac:dyDescent="0.25">
      <c r="A358" t="s">
        <v>1104</v>
      </c>
      <c r="B358" s="1">
        <v>45598</v>
      </c>
      <c r="C358" t="s">
        <v>1105</v>
      </c>
      <c r="D358" t="s">
        <v>36</v>
      </c>
      <c r="E358">
        <v>1436.16</v>
      </c>
      <c r="F358">
        <v>16</v>
      </c>
      <c r="G358">
        <v>430.85</v>
      </c>
      <c r="H358">
        <v>0</v>
      </c>
      <c r="I358" t="s">
        <v>1105</v>
      </c>
      <c r="J358" t="s">
        <v>406</v>
      </c>
      <c r="K358" t="s">
        <v>38</v>
      </c>
      <c r="L358" t="s">
        <v>574</v>
      </c>
      <c r="M358" t="s">
        <v>56</v>
      </c>
      <c r="N358" t="s">
        <v>3966</v>
      </c>
      <c r="P358">
        <f t="shared" si="5"/>
        <v>0.30000139260249553</v>
      </c>
    </row>
    <row r="359" spans="1:16" x14ac:dyDescent="0.25">
      <c r="A359" t="s">
        <v>1106</v>
      </c>
      <c r="B359" s="1">
        <v>45473</v>
      </c>
      <c r="C359" t="s">
        <v>1107</v>
      </c>
      <c r="D359" t="s">
        <v>36</v>
      </c>
      <c r="E359">
        <v>5889.07</v>
      </c>
      <c r="F359">
        <v>11</v>
      </c>
      <c r="G359">
        <v>1766.72</v>
      </c>
      <c r="H359">
        <v>0</v>
      </c>
      <c r="I359" t="s">
        <v>1107</v>
      </c>
      <c r="J359" t="s">
        <v>1108</v>
      </c>
      <c r="K359" t="s">
        <v>38</v>
      </c>
      <c r="L359" t="s">
        <v>143</v>
      </c>
      <c r="M359" t="s">
        <v>144</v>
      </c>
      <c r="N359" t="s">
        <v>3966</v>
      </c>
      <c r="P359">
        <f t="shared" si="5"/>
        <v>0.29999983019390158</v>
      </c>
    </row>
    <row r="360" spans="1:16" x14ac:dyDescent="0.25">
      <c r="A360" t="s">
        <v>1109</v>
      </c>
      <c r="B360" s="1">
        <v>45715</v>
      </c>
      <c r="C360" t="s">
        <v>1110</v>
      </c>
      <c r="D360" t="s">
        <v>41</v>
      </c>
      <c r="E360">
        <v>4610.3999999999996</v>
      </c>
      <c r="F360">
        <v>12</v>
      </c>
      <c r="G360">
        <v>1383.12</v>
      </c>
      <c r="H360">
        <v>0</v>
      </c>
      <c r="I360" t="s">
        <v>1110</v>
      </c>
      <c r="J360" t="s">
        <v>507</v>
      </c>
      <c r="K360" t="s">
        <v>24</v>
      </c>
      <c r="L360" t="s">
        <v>746</v>
      </c>
      <c r="M360" t="s">
        <v>19</v>
      </c>
      <c r="N360" t="s">
        <v>3967</v>
      </c>
      <c r="P360">
        <f t="shared" si="5"/>
        <v>0.3</v>
      </c>
    </row>
    <row r="361" spans="1:16" x14ac:dyDescent="0.25">
      <c r="A361" t="s">
        <v>1111</v>
      </c>
      <c r="B361" s="1">
        <v>44937</v>
      </c>
      <c r="C361" t="s">
        <v>1110</v>
      </c>
      <c r="D361" t="s">
        <v>91</v>
      </c>
      <c r="E361">
        <v>126.2</v>
      </c>
      <c r="F361">
        <v>9</v>
      </c>
      <c r="G361">
        <v>37.86</v>
      </c>
      <c r="H361">
        <v>0.1</v>
      </c>
      <c r="I361" t="s">
        <v>1110</v>
      </c>
      <c r="J361" t="s">
        <v>507</v>
      </c>
      <c r="K361" t="s">
        <v>24</v>
      </c>
      <c r="L361" t="s">
        <v>746</v>
      </c>
      <c r="M361" t="s">
        <v>19</v>
      </c>
      <c r="N361" t="s">
        <v>3967</v>
      </c>
      <c r="P361">
        <f t="shared" si="5"/>
        <v>0.3</v>
      </c>
    </row>
    <row r="362" spans="1:16" x14ac:dyDescent="0.25">
      <c r="A362" t="s">
        <v>1112</v>
      </c>
      <c r="B362" s="1">
        <v>45813</v>
      </c>
      <c r="C362" t="s">
        <v>1113</v>
      </c>
      <c r="D362" t="s">
        <v>29</v>
      </c>
      <c r="E362">
        <v>6065.02</v>
      </c>
      <c r="F362">
        <v>13</v>
      </c>
      <c r="G362">
        <v>1819.51</v>
      </c>
      <c r="H362">
        <v>0</v>
      </c>
      <c r="I362" t="s">
        <v>1113</v>
      </c>
      <c r="J362" t="s">
        <v>1114</v>
      </c>
      <c r="K362" t="s">
        <v>31</v>
      </c>
      <c r="L362" t="s">
        <v>427</v>
      </c>
      <c r="M362" t="s">
        <v>56</v>
      </c>
      <c r="N362" t="s">
        <v>3967</v>
      </c>
      <c r="P362">
        <f t="shared" si="5"/>
        <v>0.30000065951967181</v>
      </c>
    </row>
    <row r="363" spans="1:16" x14ac:dyDescent="0.25">
      <c r="A363" t="s">
        <v>1115</v>
      </c>
      <c r="B363" s="1">
        <v>45372</v>
      </c>
      <c r="C363" t="s">
        <v>1116</v>
      </c>
      <c r="D363" t="s">
        <v>48</v>
      </c>
      <c r="E363">
        <v>8539.2000000000007</v>
      </c>
      <c r="F363">
        <v>16</v>
      </c>
      <c r="G363">
        <v>2561.7600000000002</v>
      </c>
      <c r="H363">
        <v>0.1</v>
      </c>
      <c r="I363" t="s">
        <v>1116</v>
      </c>
      <c r="J363" t="s">
        <v>1117</v>
      </c>
      <c r="K363" t="s">
        <v>31</v>
      </c>
      <c r="L363" t="s">
        <v>1118</v>
      </c>
      <c r="M363" t="s">
        <v>266</v>
      </c>
      <c r="N363" t="s">
        <v>3966</v>
      </c>
      <c r="P363">
        <f t="shared" si="5"/>
        <v>0.3</v>
      </c>
    </row>
    <row r="364" spans="1:16" x14ac:dyDescent="0.25">
      <c r="A364" t="s">
        <v>1119</v>
      </c>
      <c r="B364" s="1">
        <v>45169</v>
      </c>
      <c r="C364" t="s">
        <v>1120</v>
      </c>
      <c r="D364" t="s">
        <v>29</v>
      </c>
      <c r="E364">
        <v>3233.95</v>
      </c>
      <c r="F364">
        <v>6</v>
      </c>
      <c r="G364">
        <v>970.19</v>
      </c>
      <c r="H364">
        <v>0.05</v>
      </c>
      <c r="I364" t="s">
        <v>1120</v>
      </c>
      <c r="J364" t="s">
        <v>1045</v>
      </c>
      <c r="K364" t="s">
        <v>24</v>
      </c>
      <c r="L364" t="s">
        <v>155</v>
      </c>
      <c r="M364" t="s">
        <v>111</v>
      </c>
      <c r="N364" t="s">
        <v>3966</v>
      </c>
      <c r="P364">
        <f t="shared" si="5"/>
        <v>0.30000154609687846</v>
      </c>
    </row>
    <row r="365" spans="1:16" x14ac:dyDescent="0.25">
      <c r="A365" t="s">
        <v>1121</v>
      </c>
      <c r="B365" s="1">
        <v>45098</v>
      </c>
      <c r="C365" t="s">
        <v>1122</v>
      </c>
      <c r="D365" t="s">
        <v>41</v>
      </c>
      <c r="E365">
        <v>5395.89</v>
      </c>
      <c r="F365">
        <v>11</v>
      </c>
      <c r="G365">
        <v>1618.77</v>
      </c>
      <c r="H365">
        <v>0.15</v>
      </c>
      <c r="I365" t="s">
        <v>1122</v>
      </c>
      <c r="J365" t="s">
        <v>630</v>
      </c>
      <c r="K365" t="s">
        <v>24</v>
      </c>
      <c r="L365" t="s">
        <v>667</v>
      </c>
      <c r="M365" t="s">
        <v>111</v>
      </c>
      <c r="N365" t="s">
        <v>3966</v>
      </c>
      <c r="P365">
        <f t="shared" si="5"/>
        <v>0.30000055597871711</v>
      </c>
    </row>
    <row r="366" spans="1:16" x14ac:dyDescent="0.25">
      <c r="A366" t="s">
        <v>1123</v>
      </c>
      <c r="B366" s="1">
        <v>45572</v>
      </c>
      <c r="C366" t="s">
        <v>1122</v>
      </c>
      <c r="D366" t="s">
        <v>22</v>
      </c>
      <c r="E366">
        <v>8447.1</v>
      </c>
      <c r="F366">
        <v>17</v>
      </c>
      <c r="G366">
        <v>2534.13</v>
      </c>
      <c r="H366">
        <v>0.05</v>
      </c>
      <c r="I366" t="s">
        <v>1122</v>
      </c>
      <c r="J366" t="s">
        <v>630</v>
      </c>
      <c r="K366" t="s">
        <v>24</v>
      </c>
      <c r="L366" t="s">
        <v>667</v>
      </c>
      <c r="M366" t="s">
        <v>111</v>
      </c>
      <c r="N366" t="s">
        <v>3966</v>
      </c>
      <c r="P366">
        <f t="shared" si="5"/>
        <v>0.3</v>
      </c>
    </row>
    <row r="367" spans="1:16" x14ac:dyDescent="0.25">
      <c r="A367" t="s">
        <v>1124</v>
      </c>
      <c r="B367" s="1">
        <v>45028</v>
      </c>
      <c r="C367" t="s">
        <v>1125</v>
      </c>
      <c r="D367" t="s">
        <v>15</v>
      </c>
      <c r="E367">
        <v>6398.8</v>
      </c>
      <c r="F367">
        <v>17</v>
      </c>
      <c r="G367">
        <v>1919.64</v>
      </c>
      <c r="H367">
        <v>0</v>
      </c>
      <c r="I367" t="s">
        <v>1125</v>
      </c>
      <c r="J367" t="s">
        <v>1126</v>
      </c>
      <c r="K367" t="s">
        <v>31</v>
      </c>
      <c r="L367" t="s">
        <v>265</v>
      </c>
      <c r="M367" t="s">
        <v>139</v>
      </c>
      <c r="N367" t="s">
        <v>3966</v>
      </c>
      <c r="P367">
        <f t="shared" si="5"/>
        <v>0.3</v>
      </c>
    </row>
    <row r="368" spans="1:16" x14ac:dyDescent="0.25">
      <c r="A368" t="s">
        <v>1127</v>
      </c>
      <c r="B368" s="1">
        <v>45236</v>
      </c>
      <c r="C368" t="s">
        <v>1128</v>
      </c>
      <c r="D368" t="s">
        <v>41</v>
      </c>
      <c r="E368">
        <v>404.56</v>
      </c>
      <c r="F368">
        <v>5</v>
      </c>
      <c r="G368">
        <v>121.37</v>
      </c>
      <c r="H368">
        <v>0.15</v>
      </c>
      <c r="I368" t="s">
        <v>1128</v>
      </c>
      <c r="J368" t="s">
        <v>1129</v>
      </c>
      <c r="K368" t="s">
        <v>24</v>
      </c>
      <c r="L368" t="s">
        <v>1130</v>
      </c>
      <c r="M368" t="s">
        <v>56</v>
      </c>
      <c r="N368" t="s">
        <v>3967</v>
      </c>
      <c r="P368">
        <f t="shared" si="5"/>
        <v>0.30000494364247576</v>
      </c>
    </row>
    <row r="369" spans="1:16" x14ac:dyDescent="0.25">
      <c r="A369" t="s">
        <v>1131</v>
      </c>
      <c r="B369" s="1">
        <v>45044</v>
      </c>
      <c r="C369" t="s">
        <v>1132</v>
      </c>
      <c r="D369" t="s">
        <v>29</v>
      </c>
      <c r="E369">
        <v>358.21</v>
      </c>
      <c r="F369">
        <v>2</v>
      </c>
      <c r="G369">
        <v>107.46</v>
      </c>
      <c r="H369">
        <v>0.15</v>
      </c>
      <c r="I369" t="s">
        <v>1132</v>
      </c>
      <c r="J369" t="s">
        <v>1133</v>
      </c>
      <c r="K369" t="s">
        <v>71</v>
      </c>
      <c r="L369" t="s">
        <v>143</v>
      </c>
      <c r="M369" t="s">
        <v>144</v>
      </c>
      <c r="N369" t="s">
        <v>3967</v>
      </c>
      <c r="P369">
        <f t="shared" si="5"/>
        <v>0.299991625024427</v>
      </c>
    </row>
    <row r="370" spans="1:16" x14ac:dyDescent="0.25">
      <c r="A370" t="s">
        <v>1134</v>
      </c>
      <c r="B370" s="1">
        <v>45278</v>
      </c>
      <c r="C370" t="s">
        <v>1135</v>
      </c>
      <c r="D370" t="s">
        <v>41</v>
      </c>
      <c r="E370">
        <v>2478.36</v>
      </c>
      <c r="F370">
        <v>7</v>
      </c>
      <c r="G370">
        <v>743.51</v>
      </c>
      <c r="H370">
        <v>0.1</v>
      </c>
      <c r="I370" t="s">
        <v>1135</v>
      </c>
      <c r="J370" t="s">
        <v>1136</v>
      </c>
      <c r="K370" t="s">
        <v>71</v>
      </c>
      <c r="L370" t="s">
        <v>1137</v>
      </c>
      <c r="M370" t="s">
        <v>44</v>
      </c>
      <c r="N370" t="s">
        <v>3967</v>
      </c>
      <c r="P370">
        <f t="shared" si="5"/>
        <v>0.30000080698526443</v>
      </c>
    </row>
    <row r="371" spans="1:16" x14ac:dyDescent="0.25">
      <c r="A371" t="s">
        <v>1138</v>
      </c>
      <c r="B371" s="1">
        <v>45575</v>
      </c>
      <c r="C371" t="s">
        <v>1139</v>
      </c>
      <c r="D371" t="s">
        <v>22</v>
      </c>
      <c r="E371">
        <v>1482.39</v>
      </c>
      <c r="F371">
        <v>13</v>
      </c>
      <c r="G371">
        <v>444.72</v>
      </c>
      <c r="H371">
        <v>0</v>
      </c>
      <c r="I371" t="s">
        <v>1139</v>
      </c>
      <c r="J371" t="s">
        <v>1140</v>
      </c>
      <c r="K371" t="s">
        <v>24</v>
      </c>
      <c r="L371" t="s">
        <v>171</v>
      </c>
      <c r="M371" t="s">
        <v>754</v>
      </c>
      <c r="N371" t="s">
        <v>3967</v>
      </c>
      <c r="P371">
        <f t="shared" si="5"/>
        <v>0.30000202375892981</v>
      </c>
    </row>
    <row r="372" spans="1:16" x14ac:dyDescent="0.25">
      <c r="A372" t="s">
        <v>1141</v>
      </c>
      <c r="B372" s="1">
        <v>44962</v>
      </c>
      <c r="C372" t="s">
        <v>1142</v>
      </c>
      <c r="D372" t="s">
        <v>91</v>
      </c>
      <c r="E372">
        <v>6056.64</v>
      </c>
      <c r="F372">
        <v>18</v>
      </c>
      <c r="G372">
        <v>1816.99</v>
      </c>
      <c r="H372">
        <v>0</v>
      </c>
      <c r="I372" t="s">
        <v>1142</v>
      </c>
      <c r="J372" t="s">
        <v>1143</v>
      </c>
      <c r="K372" t="s">
        <v>31</v>
      </c>
      <c r="L372" t="s">
        <v>143</v>
      </c>
      <c r="M372" t="s">
        <v>144</v>
      </c>
      <c r="N372" t="s">
        <v>3966</v>
      </c>
      <c r="P372">
        <f t="shared" si="5"/>
        <v>0.29999966978390658</v>
      </c>
    </row>
    <row r="373" spans="1:16" x14ac:dyDescent="0.25">
      <c r="A373" t="s">
        <v>1144</v>
      </c>
      <c r="B373" s="1">
        <v>45508</v>
      </c>
      <c r="C373" t="s">
        <v>1145</v>
      </c>
      <c r="D373" t="s">
        <v>48</v>
      </c>
      <c r="E373">
        <v>186.97</v>
      </c>
      <c r="F373">
        <v>9</v>
      </c>
      <c r="G373">
        <v>56.09</v>
      </c>
      <c r="H373">
        <v>0.15</v>
      </c>
      <c r="I373" t="s">
        <v>1145</v>
      </c>
      <c r="J373" t="s">
        <v>1146</v>
      </c>
      <c r="K373" t="s">
        <v>38</v>
      </c>
      <c r="L373" t="s">
        <v>1147</v>
      </c>
      <c r="M373" t="s">
        <v>165</v>
      </c>
      <c r="N373" t="s">
        <v>3966</v>
      </c>
      <c r="P373">
        <f t="shared" si="5"/>
        <v>0.29999465154837679</v>
      </c>
    </row>
    <row r="374" spans="1:16" x14ac:dyDescent="0.25">
      <c r="A374" t="s">
        <v>1148</v>
      </c>
      <c r="B374" s="1">
        <v>45588</v>
      </c>
      <c r="C374" t="s">
        <v>1149</v>
      </c>
      <c r="D374" t="s">
        <v>91</v>
      </c>
      <c r="E374">
        <v>4015.08</v>
      </c>
      <c r="F374">
        <v>12</v>
      </c>
      <c r="G374">
        <v>1204.52</v>
      </c>
      <c r="H374">
        <v>0.05</v>
      </c>
      <c r="I374" t="s">
        <v>1149</v>
      </c>
      <c r="J374" t="s">
        <v>1150</v>
      </c>
      <c r="K374" t="s">
        <v>38</v>
      </c>
      <c r="L374" t="s">
        <v>25</v>
      </c>
      <c r="M374" t="s">
        <v>26</v>
      </c>
      <c r="N374" t="s">
        <v>3966</v>
      </c>
      <c r="P374">
        <f t="shared" si="5"/>
        <v>0.29999900375584049</v>
      </c>
    </row>
    <row r="375" spans="1:16" x14ac:dyDescent="0.25">
      <c r="A375" t="s">
        <v>1151</v>
      </c>
      <c r="B375" s="1">
        <v>45335</v>
      </c>
      <c r="C375" t="s">
        <v>1152</v>
      </c>
      <c r="D375" t="s">
        <v>48</v>
      </c>
      <c r="E375">
        <v>2354.0300000000002</v>
      </c>
      <c r="F375">
        <v>7</v>
      </c>
      <c r="G375">
        <v>706.21</v>
      </c>
      <c r="H375">
        <v>0.05</v>
      </c>
      <c r="I375" t="s">
        <v>1152</v>
      </c>
      <c r="J375" t="s">
        <v>1153</v>
      </c>
      <c r="K375" t="s">
        <v>71</v>
      </c>
      <c r="L375" t="s">
        <v>1154</v>
      </c>
      <c r="M375" t="s">
        <v>83</v>
      </c>
      <c r="N375" t="s">
        <v>3966</v>
      </c>
      <c r="P375">
        <f t="shared" si="5"/>
        <v>0.30000042480342221</v>
      </c>
    </row>
    <row r="376" spans="1:16" x14ac:dyDescent="0.25">
      <c r="A376" t="s">
        <v>1155</v>
      </c>
      <c r="B376" s="1">
        <v>45446</v>
      </c>
      <c r="C376" t="s">
        <v>1156</v>
      </c>
      <c r="D376" t="s">
        <v>91</v>
      </c>
      <c r="E376">
        <v>153.30000000000001</v>
      </c>
      <c r="F376">
        <v>15</v>
      </c>
      <c r="G376">
        <v>45.99</v>
      </c>
      <c r="H376">
        <v>0</v>
      </c>
      <c r="I376" t="s">
        <v>1156</v>
      </c>
      <c r="J376" t="s">
        <v>501</v>
      </c>
      <c r="K376" t="s">
        <v>24</v>
      </c>
      <c r="L376" t="s">
        <v>1118</v>
      </c>
      <c r="M376" t="s">
        <v>266</v>
      </c>
      <c r="N376" t="s">
        <v>3966</v>
      </c>
      <c r="P376">
        <f t="shared" si="5"/>
        <v>0.3</v>
      </c>
    </row>
    <row r="377" spans="1:16" x14ac:dyDescent="0.25">
      <c r="A377" t="s">
        <v>1157</v>
      </c>
      <c r="B377" s="1">
        <v>45030</v>
      </c>
      <c r="C377" t="s">
        <v>1158</v>
      </c>
      <c r="D377" t="s">
        <v>41</v>
      </c>
      <c r="E377">
        <v>6707.11</v>
      </c>
      <c r="F377">
        <v>17</v>
      </c>
      <c r="G377">
        <v>2012.13</v>
      </c>
      <c r="H377">
        <v>0.15</v>
      </c>
      <c r="I377" t="s">
        <v>1158</v>
      </c>
      <c r="J377" t="s">
        <v>676</v>
      </c>
      <c r="K377" t="s">
        <v>24</v>
      </c>
      <c r="L377" t="s">
        <v>50</v>
      </c>
      <c r="M377" t="s">
        <v>51</v>
      </c>
      <c r="N377" t="s">
        <v>3966</v>
      </c>
      <c r="P377">
        <f t="shared" si="5"/>
        <v>0.29999955271346379</v>
      </c>
    </row>
    <row r="378" spans="1:16" x14ac:dyDescent="0.25">
      <c r="A378" t="s">
        <v>1159</v>
      </c>
      <c r="B378" s="1">
        <v>45584</v>
      </c>
      <c r="C378" t="s">
        <v>1160</v>
      </c>
      <c r="D378" t="s">
        <v>15</v>
      </c>
      <c r="E378">
        <v>6631.91</v>
      </c>
      <c r="F378">
        <v>16</v>
      </c>
      <c r="G378">
        <v>1989.57</v>
      </c>
      <c r="H378">
        <v>0.05</v>
      </c>
      <c r="I378" t="s">
        <v>1160</v>
      </c>
      <c r="J378" t="s">
        <v>1161</v>
      </c>
      <c r="K378" t="s">
        <v>38</v>
      </c>
      <c r="L378" t="s">
        <v>597</v>
      </c>
      <c r="M378" t="s">
        <v>26</v>
      </c>
      <c r="N378" t="s">
        <v>3967</v>
      </c>
      <c r="P378">
        <f t="shared" si="5"/>
        <v>0.29999954764162962</v>
      </c>
    </row>
    <row r="379" spans="1:16" x14ac:dyDescent="0.25">
      <c r="A379" t="s">
        <v>1162</v>
      </c>
      <c r="B379" s="1">
        <v>45278</v>
      </c>
      <c r="C379" t="s">
        <v>1163</v>
      </c>
      <c r="D379" t="s">
        <v>15</v>
      </c>
      <c r="E379">
        <v>1880.4</v>
      </c>
      <c r="F379">
        <v>9</v>
      </c>
      <c r="G379">
        <v>564.12</v>
      </c>
      <c r="H379">
        <v>0.05</v>
      </c>
      <c r="I379" t="s">
        <v>1163</v>
      </c>
      <c r="J379" t="s">
        <v>1164</v>
      </c>
      <c r="K379" t="s">
        <v>24</v>
      </c>
      <c r="L379" t="s">
        <v>1165</v>
      </c>
      <c r="M379" t="s">
        <v>44</v>
      </c>
      <c r="N379" t="s">
        <v>3967</v>
      </c>
      <c r="P379">
        <f t="shared" si="5"/>
        <v>0.3</v>
      </c>
    </row>
    <row r="380" spans="1:16" x14ac:dyDescent="0.25">
      <c r="A380" t="s">
        <v>1166</v>
      </c>
      <c r="B380" s="1">
        <v>45624</v>
      </c>
      <c r="C380" t="s">
        <v>1167</v>
      </c>
      <c r="D380" t="s">
        <v>22</v>
      </c>
      <c r="E380">
        <v>1836.38</v>
      </c>
      <c r="F380">
        <v>13</v>
      </c>
      <c r="G380">
        <v>550.91</v>
      </c>
      <c r="H380">
        <v>0</v>
      </c>
      <c r="I380" t="s">
        <v>1167</v>
      </c>
      <c r="J380" t="s">
        <v>1168</v>
      </c>
      <c r="K380" t="s">
        <v>31</v>
      </c>
      <c r="L380" t="s">
        <v>143</v>
      </c>
      <c r="M380" t="s">
        <v>144</v>
      </c>
      <c r="N380" t="s">
        <v>3966</v>
      </c>
      <c r="P380">
        <f t="shared" si="5"/>
        <v>0.29999782180158785</v>
      </c>
    </row>
    <row r="381" spans="1:16" x14ac:dyDescent="0.25">
      <c r="A381" t="s">
        <v>1169</v>
      </c>
      <c r="B381" s="1">
        <v>45169</v>
      </c>
      <c r="C381" t="s">
        <v>1167</v>
      </c>
      <c r="D381" t="s">
        <v>15</v>
      </c>
      <c r="E381">
        <v>1322.69</v>
      </c>
      <c r="F381">
        <v>5</v>
      </c>
      <c r="G381">
        <v>396.81</v>
      </c>
      <c r="H381">
        <v>0.15</v>
      </c>
      <c r="I381" t="s">
        <v>1167</v>
      </c>
      <c r="J381" t="s">
        <v>1168</v>
      </c>
      <c r="K381" t="s">
        <v>31</v>
      </c>
      <c r="L381" t="s">
        <v>143</v>
      </c>
      <c r="M381" t="s">
        <v>144</v>
      </c>
      <c r="N381" t="s">
        <v>3966</v>
      </c>
      <c r="P381">
        <f t="shared" si="5"/>
        <v>0.30000226810514935</v>
      </c>
    </row>
    <row r="382" spans="1:16" x14ac:dyDescent="0.25">
      <c r="A382" t="s">
        <v>1170</v>
      </c>
      <c r="B382" s="1">
        <v>45188</v>
      </c>
      <c r="C382" t="s">
        <v>1171</v>
      </c>
      <c r="D382" t="s">
        <v>15</v>
      </c>
      <c r="E382">
        <v>1861.7</v>
      </c>
      <c r="F382">
        <v>4</v>
      </c>
      <c r="G382">
        <v>558.51</v>
      </c>
      <c r="H382">
        <v>0.15</v>
      </c>
      <c r="I382" t="s">
        <v>1171</v>
      </c>
      <c r="J382" t="s">
        <v>1172</v>
      </c>
      <c r="K382" t="s">
        <v>24</v>
      </c>
      <c r="L382" t="s">
        <v>143</v>
      </c>
      <c r="M382" t="s">
        <v>144</v>
      </c>
      <c r="N382" t="s">
        <v>3966</v>
      </c>
      <c r="P382">
        <f t="shared" si="5"/>
        <v>0.3</v>
      </c>
    </row>
    <row r="383" spans="1:16" x14ac:dyDescent="0.25">
      <c r="A383" t="s">
        <v>1173</v>
      </c>
      <c r="B383" s="1">
        <v>44984</v>
      </c>
      <c r="C383" t="s">
        <v>1174</v>
      </c>
      <c r="D383" t="s">
        <v>15</v>
      </c>
      <c r="E383">
        <v>403.08</v>
      </c>
      <c r="F383">
        <v>9</v>
      </c>
      <c r="G383">
        <v>120.92</v>
      </c>
      <c r="H383">
        <v>0.15</v>
      </c>
      <c r="I383" t="s">
        <v>1174</v>
      </c>
      <c r="J383" t="s">
        <v>1175</v>
      </c>
      <c r="K383" t="s">
        <v>38</v>
      </c>
      <c r="L383" t="s">
        <v>1176</v>
      </c>
      <c r="M383" t="s">
        <v>33</v>
      </c>
      <c r="N383" t="s">
        <v>3967</v>
      </c>
      <c r="P383">
        <f t="shared" si="5"/>
        <v>0.29999007641163045</v>
      </c>
    </row>
    <row r="384" spans="1:16" x14ac:dyDescent="0.25">
      <c r="A384" t="s">
        <v>1177</v>
      </c>
      <c r="B384" s="1">
        <v>45319</v>
      </c>
      <c r="C384" t="s">
        <v>1178</v>
      </c>
      <c r="D384" t="s">
        <v>91</v>
      </c>
      <c r="E384">
        <v>3521.39</v>
      </c>
      <c r="F384">
        <v>9</v>
      </c>
      <c r="G384">
        <v>1056.42</v>
      </c>
      <c r="H384">
        <v>0.1</v>
      </c>
      <c r="I384" t="s">
        <v>1178</v>
      </c>
      <c r="J384" t="s">
        <v>1179</v>
      </c>
      <c r="K384" t="s">
        <v>24</v>
      </c>
      <c r="L384" t="s">
        <v>1180</v>
      </c>
      <c r="M384" t="s">
        <v>144</v>
      </c>
      <c r="N384" t="s">
        <v>3967</v>
      </c>
      <c r="P384">
        <f t="shared" si="5"/>
        <v>0.30000085193630927</v>
      </c>
    </row>
    <row r="385" spans="1:16" x14ac:dyDescent="0.25">
      <c r="A385" t="s">
        <v>1181</v>
      </c>
      <c r="B385" s="1">
        <v>45783</v>
      </c>
      <c r="C385" t="s">
        <v>1182</v>
      </c>
      <c r="D385" t="s">
        <v>48</v>
      </c>
      <c r="E385">
        <v>1117.53</v>
      </c>
      <c r="F385">
        <v>9</v>
      </c>
      <c r="G385">
        <v>335.26</v>
      </c>
      <c r="H385">
        <v>0</v>
      </c>
      <c r="I385" t="s">
        <v>1182</v>
      </c>
      <c r="J385" t="s">
        <v>501</v>
      </c>
      <c r="K385" t="s">
        <v>24</v>
      </c>
      <c r="L385" t="s">
        <v>50</v>
      </c>
      <c r="M385" t="s">
        <v>51</v>
      </c>
      <c r="N385" t="s">
        <v>3967</v>
      </c>
      <c r="P385">
        <f t="shared" si="5"/>
        <v>0.30000089483056386</v>
      </c>
    </row>
    <row r="386" spans="1:16" x14ac:dyDescent="0.25">
      <c r="A386" t="s">
        <v>1183</v>
      </c>
      <c r="B386" s="1">
        <v>45548</v>
      </c>
      <c r="C386" t="s">
        <v>1184</v>
      </c>
      <c r="D386" t="s">
        <v>48</v>
      </c>
      <c r="E386">
        <v>713.41</v>
      </c>
      <c r="F386">
        <v>2</v>
      </c>
      <c r="G386">
        <v>214.02</v>
      </c>
      <c r="H386">
        <v>0.05</v>
      </c>
      <c r="I386" t="s">
        <v>1184</v>
      </c>
      <c r="J386" t="s">
        <v>1185</v>
      </c>
      <c r="K386" t="s">
        <v>17</v>
      </c>
      <c r="L386" t="s">
        <v>133</v>
      </c>
      <c r="M386" t="s">
        <v>134</v>
      </c>
      <c r="N386" t="s">
        <v>3966</v>
      </c>
      <c r="P386">
        <f t="shared" si="5"/>
        <v>0.29999579484447936</v>
      </c>
    </row>
    <row r="387" spans="1:16" x14ac:dyDescent="0.25">
      <c r="A387" t="s">
        <v>1186</v>
      </c>
      <c r="B387" s="1">
        <v>45071</v>
      </c>
      <c r="C387" t="s">
        <v>1187</v>
      </c>
      <c r="D387" t="s">
        <v>41</v>
      </c>
      <c r="E387">
        <v>2469.4</v>
      </c>
      <c r="F387">
        <v>13</v>
      </c>
      <c r="G387">
        <v>740.82</v>
      </c>
      <c r="H387">
        <v>0.1</v>
      </c>
      <c r="I387" t="s">
        <v>1187</v>
      </c>
      <c r="J387" t="s">
        <v>487</v>
      </c>
      <c r="K387" t="s">
        <v>17</v>
      </c>
      <c r="L387" t="s">
        <v>318</v>
      </c>
      <c r="M387" t="s">
        <v>266</v>
      </c>
      <c r="N387" t="s">
        <v>3966</v>
      </c>
      <c r="P387">
        <f t="shared" ref="P387:P450" si="6">G387/E387</f>
        <v>0.3</v>
      </c>
    </row>
    <row r="388" spans="1:16" x14ac:dyDescent="0.25">
      <c r="A388" t="s">
        <v>1188</v>
      </c>
      <c r="B388" s="1">
        <v>45561</v>
      </c>
      <c r="C388" t="s">
        <v>1189</v>
      </c>
      <c r="D388" t="s">
        <v>91</v>
      </c>
      <c r="E388">
        <v>622.09</v>
      </c>
      <c r="F388">
        <v>7</v>
      </c>
      <c r="G388">
        <v>186.63</v>
      </c>
      <c r="H388">
        <v>0</v>
      </c>
      <c r="I388" t="s">
        <v>1189</v>
      </c>
      <c r="J388" t="s">
        <v>1190</v>
      </c>
      <c r="K388" t="s">
        <v>24</v>
      </c>
      <c r="L388" t="s">
        <v>87</v>
      </c>
      <c r="M388" t="s">
        <v>67</v>
      </c>
      <c r="N388" t="s">
        <v>3967</v>
      </c>
      <c r="P388">
        <f t="shared" si="6"/>
        <v>0.30000482245334276</v>
      </c>
    </row>
    <row r="389" spans="1:16" x14ac:dyDescent="0.25">
      <c r="A389" t="s">
        <v>1191</v>
      </c>
      <c r="B389" s="1">
        <v>44970</v>
      </c>
      <c r="C389" t="s">
        <v>1192</v>
      </c>
      <c r="D389" t="s">
        <v>22</v>
      </c>
      <c r="E389">
        <v>1207.6400000000001</v>
      </c>
      <c r="F389">
        <v>5</v>
      </c>
      <c r="G389">
        <v>362.29</v>
      </c>
      <c r="H389">
        <v>0.05</v>
      </c>
      <c r="I389" t="s">
        <v>1192</v>
      </c>
      <c r="J389" t="s">
        <v>1193</v>
      </c>
      <c r="K389" t="s">
        <v>24</v>
      </c>
      <c r="L389" t="s">
        <v>25</v>
      </c>
      <c r="M389" t="s">
        <v>26</v>
      </c>
      <c r="N389" t="s">
        <v>3967</v>
      </c>
      <c r="P389">
        <f t="shared" si="6"/>
        <v>0.29999834387731444</v>
      </c>
    </row>
    <row r="390" spans="1:16" x14ac:dyDescent="0.25">
      <c r="A390" t="s">
        <v>1194</v>
      </c>
      <c r="B390" s="1">
        <v>45463</v>
      </c>
      <c r="C390" t="s">
        <v>1195</v>
      </c>
      <c r="D390" t="s">
        <v>36</v>
      </c>
      <c r="E390">
        <v>1945.58</v>
      </c>
      <c r="F390">
        <v>5</v>
      </c>
      <c r="G390">
        <v>583.66999999999996</v>
      </c>
      <c r="H390">
        <v>0.1</v>
      </c>
      <c r="I390" t="s">
        <v>1195</v>
      </c>
      <c r="J390" t="s">
        <v>749</v>
      </c>
      <c r="K390" t="s">
        <v>38</v>
      </c>
      <c r="L390" t="s">
        <v>459</v>
      </c>
      <c r="M390" t="s">
        <v>129</v>
      </c>
      <c r="N390" t="s">
        <v>3966</v>
      </c>
      <c r="P390">
        <f t="shared" si="6"/>
        <v>0.2999979440578131</v>
      </c>
    </row>
    <row r="391" spans="1:16" x14ac:dyDescent="0.25">
      <c r="A391" t="s">
        <v>1196</v>
      </c>
      <c r="B391" s="1">
        <v>45373</v>
      </c>
      <c r="C391" t="s">
        <v>1197</v>
      </c>
      <c r="D391" t="s">
        <v>15</v>
      </c>
      <c r="E391">
        <v>10649.5</v>
      </c>
      <c r="F391">
        <v>19</v>
      </c>
      <c r="G391">
        <v>3194.85</v>
      </c>
      <c r="H391">
        <v>0.05</v>
      </c>
      <c r="I391" t="s">
        <v>1197</v>
      </c>
      <c r="J391" t="s">
        <v>1198</v>
      </c>
      <c r="K391" t="s">
        <v>71</v>
      </c>
      <c r="L391" t="s">
        <v>82</v>
      </c>
      <c r="M391" t="s">
        <v>83</v>
      </c>
      <c r="N391" t="s">
        <v>3966</v>
      </c>
      <c r="P391">
        <f t="shared" si="6"/>
        <v>0.3</v>
      </c>
    </row>
    <row r="392" spans="1:16" x14ac:dyDescent="0.25">
      <c r="A392" t="s">
        <v>1199</v>
      </c>
      <c r="B392" s="1">
        <v>45180</v>
      </c>
      <c r="C392" t="s">
        <v>1200</v>
      </c>
      <c r="D392" t="s">
        <v>36</v>
      </c>
      <c r="E392">
        <v>1592.78</v>
      </c>
      <c r="F392">
        <v>14</v>
      </c>
      <c r="G392">
        <v>477.83</v>
      </c>
      <c r="H392">
        <v>0</v>
      </c>
      <c r="I392" t="s">
        <v>1200</v>
      </c>
      <c r="J392" t="s">
        <v>1201</v>
      </c>
      <c r="K392" t="s">
        <v>71</v>
      </c>
      <c r="L392" t="s">
        <v>1202</v>
      </c>
      <c r="M392" t="s">
        <v>33</v>
      </c>
      <c r="N392" t="s">
        <v>3966</v>
      </c>
      <c r="P392">
        <f t="shared" si="6"/>
        <v>0.29999748866761261</v>
      </c>
    </row>
    <row r="393" spans="1:16" x14ac:dyDescent="0.25">
      <c r="A393" t="s">
        <v>1203</v>
      </c>
      <c r="B393" s="1">
        <v>45330</v>
      </c>
      <c r="C393" t="s">
        <v>1200</v>
      </c>
      <c r="D393" t="s">
        <v>48</v>
      </c>
      <c r="E393">
        <v>1497.38</v>
      </c>
      <c r="F393">
        <v>11</v>
      </c>
      <c r="G393">
        <v>449.21</v>
      </c>
      <c r="H393">
        <v>0.1</v>
      </c>
      <c r="I393" t="s">
        <v>1200</v>
      </c>
      <c r="J393" t="s">
        <v>1201</v>
      </c>
      <c r="K393" t="s">
        <v>71</v>
      </c>
      <c r="L393" t="s">
        <v>1202</v>
      </c>
      <c r="M393" t="s">
        <v>33</v>
      </c>
      <c r="N393" t="s">
        <v>3966</v>
      </c>
      <c r="P393">
        <f t="shared" si="6"/>
        <v>0.29999732866740569</v>
      </c>
    </row>
    <row r="394" spans="1:16" x14ac:dyDescent="0.25">
      <c r="A394" t="s">
        <v>1204</v>
      </c>
      <c r="B394" s="1">
        <v>45444</v>
      </c>
      <c r="C394" t="s">
        <v>1205</v>
      </c>
      <c r="D394" t="s">
        <v>29</v>
      </c>
      <c r="E394">
        <v>552.92999999999995</v>
      </c>
      <c r="F394">
        <v>3</v>
      </c>
      <c r="G394">
        <v>165.88</v>
      </c>
      <c r="H394">
        <v>0.1</v>
      </c>
      <c r="I394" t="s">
        <v>1205</v>
      </c>
      <c r="J394" t="s">
        <v>1206</v>
      </c>
      <c r="K394" t="s">
        <v>17</v>
      </c>
      <c r="L394" t="s">
        <v>624</v>
      </c>
      <c r="M394" t="s">
        <v>56</v>
      </c>
      <c r="N394" t="s">
        <v>3966</v>
      </c>
      <c r="P394">
        <f t="shared" si="6"/>
        <v>0.30000180854719405</v>
      </c>
    </row>
    <row r="395" spans="1:16" x14ac:dyDescent="0.25">
      <c r="A395" t="s">
        <v>1207</v>
      </c>
      <c r="B395" s="1">
        <v>45438</v>
      </c>
      <c r="C395" t="s">
        <v>1208</v>
      </c>
      <c r="D395" t="s">
        <v>15</v>
      </c>
      <c r="E395">
        <v>9384.32</v>
      </c>
      <c r="F395">
        <v>16</v>
      </c>
      <c r="G395">
        <v>2815.3</v>
      </c>
      <c r="H395">
        <v>0</v>
      </c>
      <c r="I395" t="s">
        <v>1208</v>
      </c>
      <c r="J395" t="s">
        <v>1209</v>
      </c>
      <c r="K395" t="s">
        <v>31</v>
      </c>
      <c r="L395" t="s">
        <v>1210</v>
      </c>
      <c r="M395" t="s">
        <v>144</v>
      </c>
      <c r="N395" t="s">
        <v>3967</v>
      </c>
      <c r="P395">
        <f t="shared" si="6"/>
        <v>0.30000042624292439</v>
      </c>
    </row>
    <row r="396" spans="1:16" x14ac:dyDescent="0.25">
      <c r="A396" t="s">
        <v>971</v>
      </c>
      <c r="B396" s="1">
        <v>45390</v>
      </c>
      <c r="C396" t="s">
        <v>972</v>
      </c>
      <c r="D396" t="s">
        <v>41</v>
      </c>
      <c r="E396">
        <v>4430.17</v>
      </c>
      <c r="F396">
        <v>12</v>
      </c>
      <c r="G396">
        <v>1329.05</v>
      </c>
      <c r="H396">
        <v>0.15</v>
      </c>
      <c r="I396" t="s">
        <v>972</v>
      </c>
      <c r="J396" t="s">
        <v>1211</v>
      </c>
      <c r="K396" t="s">
        <v>17</v>
      </c>
      <c r="L396" t="s">
        <v>50</v>
      </c>
      <c r="M396" t="s">
        <v>51</v>
      </c>
      <c r="N396" t="s">
        <v>3968</v>
      </c>
      <c r="P396">
        <f t="shared" si="6"/>
        <v>0.29999977427502783</v>
      </c>
    </row>
    <row r="397" spans="1:16" x14ac:dyDescent="0.25">
      <c r="A397" t="s">
        <v>974</v>
      </c>
      <c r="B397" s="1">
        <v>45468</v>
      </c>
      <c r="C397" t="s">
        <v>972</v>
      </c>
      <c r="D397" t="s">
        <v>41</v>
      </c>
      <c r="E397">
        <v>1677.28</v>
      </c>
      <c r="F397">
        <v>16</v>
      </c>
      <c r="G397">
        <v>503.18</v>
      </c>
      <c r="H397">
        <v>0</v>
      </c>
      <c r="I397" t="s">
        <v>972</v>
      </c>
      <c r="J397" t="s">
        <v>1211</v>
      </c>
      <c r="K397" t="s">
        <v>17</v>
      </c>
      <c r="L397" t="s">
        <v>50</v>
      </c>
      <c r="M397" t="s">
        <v>51</v>
      </c>
      <c r="N397" t="s">
        <v>3967</v>
      </c>
      <c r="P397">
        <f t="shared" si="6"/>
        <v>0.29999761518649243</v>
      </c>
    </row>
    <row r="398" spans="1:16" x14ac:dyDescent="0.25">
      <c r="A398" t="s">
        <v>975</v>
      </c>
      <c r="B398" s="1">
        <v>45252</v>
      </c>
      <c r="C398" t="s">
        <v>972</v>
      </c>
      <c r="D398" t="s">
        <v>48</v>
      </c>
      <c r="E398">
        <v>1054.3499999999999</v>
      </c>
      <c r="F398">
        <v>8</v>
      </c>
      <c r="G398">
        <v>316.3</v>
      </c>
      <c r="H398">
        <v>0.05</v>
      </c>
      <c r="I398" t="s">
        <v>972</v>
      </c>
      <c r="J398" t="s">
        <v>1211</v>
      </c>
      <c r="K398" t="s">
        <v>17</v>
      </c>
      <c r="L398" t="s">
        <v>50</v>
      </c>
      <c r="M398" t="s">
        <v>51</v>
      </c>
      <c r="N398" t="s">
        <v>3967</v>
      </c>
      <c r="P398">
        <f t="shared" si="6"/>
        <v>0.29999525774173663</v>
      </c>
    </row>
    <row r="399" spans="1:16" x14ac:dyDescent="0.25">
      <c r="A399" t="s">
        <v>1212</v>
      </c>
      <c r="B399" s="1">
        <v>45320</v>
      </c>
      <c r="C399" t="s">
        <v>1213</v>
      </c>
      <c r="D399" t="s">
        <v>41</v>
      </c>
      <c r="E399">
        <v>8618.11</v>
      </c>
      <c r="F399">
        <v>16</v>
      </c>
      <c r="G399">
        <v>2585.4299999999998</v>
      </c>
      <c r="H399">
        <v>0.1</v>
      </c>
      <c r="I399" t="s">
        <v>1213</v>
      </c>
      <c r="J399" t="s">
        <v>239</v>
      </c>
      <c r="K399" t="s">
        <v>38</v>
      </c>
      <c r="L399" t="s">
        <v>72</v>
      </c>
      <c r="M399" t="s">
        <v>26</v>
      </c>
      <c r="N399" t="s">
        <v>3968</v>
      </c>
      <c r="P399">
        <f t="shared" si="6"/>
        <v>0.29999965189583327</v>
      </c>
    </row>
    <row r="400" spans="1:16" x14ac:dyDescent="0.25">
      <c r="A400" t="s">
        <v>1214</v>
      </c>
      <c r="B400" s="1">
        <v>45633</v>
      </c>
      <c r="C400" t="s">
        <v>1215</v>
      </c>
      <c r="D400" t="s">
        <v>36</v>
      </c>
      <c r="E400">
        <v>2795.96</v>
      </c>
      <c r="F400">
        <v>8</v>
      </c>
      <c r="G400">
        <v>838.79</v>
      </c>
      <c r="H400">
        <v>0.05</v>
      </c>
      <c r="I400" t="s">
        <v>1215</v>
      </c>
      <c r="J400" t="s">
        <v>1216</v>
      </c>
      <c r="K400" t="s">
        <v>24</v>
      </c>
      <c r="L400" t="s">
        <v>110</v>
      </c>
      <c r="M400" t="s">
        <v>111</v>
      </c>
      <c r="N400" t="s">
        <v>3966</v>
      </c>
      <c r="P400">
        <f t="shared" si="6"/>
        <v>0.30000071531781569</v>
      </c>
    </row>
    <row r="401" spans="1:16" x14ac:dyDescent="0.25">
      <c r="A401" t="s">
        <v>1217</v>
      </c>
      <c r="B401" s="1">
        <v>45251</v>
      </c>
      <c r="C401" t="s">
        <v>1218</v>
      </c>
      <c r="D401" t="s">
        <v>36</v>
      </c>
      <c r="E401">
        <v>2833.48</v>
      </c>
      <c r="F401">
        <v>10</v>
      </c>
      <c r="G401">
        <v>850.04</v>
      </c>
      <c r="H401">
        <v>0.15</v>
      </c>
      <c r="I401" t="s">
        <v>1218</v>
      </c>
      <c r="J401" t="s">
        <v>1219</v>
      </c>
      <c r="K401" t="s">
        <v>71</v>
      </c>
      <c r="L401" t="s">
        <v>427</v>
      </c>
      <c r="M401" t="s">
        <v>56</v>
      </c>
      <c r="N401" t="s">
        <v>3966</v>
      </c>
      <c r="P401">
        <f t="shared" si="6"/>
        <v>0.2999985883083699</v>
      </c>
    </row>
    <row r="402" spans="1:16" x14ac:dyDescent="0.25">
      <c r="A402" t="s">
        <v>1220</v>
      </c>
      <c r="B402" s="1">
        <v>45642</v>
      </c>
      <c r="C402" t="s">
        <v>1221</v>
      </c>
      <c r="D402" t="s">
        <v>36</v>
      </c>
      <c r="E402">
        <v>2727.94</v>
      </c>
      <c r="F402">
        <v>8</v>
      </c>
      <c r="G402">
        <v>818.38</v>
      </c>
      <c r="H402">
        <v>0.1</v>
      </c>
      <c r="I402" t="s">
        <v>1221</v>
      </c>
      <c r="J402" t="s">
        <v>819</v>
      </c>
      <c r="K402" t="s">
        <v>31</v>
      </c>
      <c r="L402" t="s">
        <v>488</v>
      </c>
      <c r="M402" t="s">
        <v>26</v>
      </c>
      <c r="N402" t="s">
        <v>3966</v>
      </c>
      <c r="P402">
        <f t="shared" si="6"/>
        <v>0.299999266846045</v>
      </c>
    </row>
    <row r="403" spans="1:16" x14ac:dyDescent="0.25">
      <c r="A403" t="s">
        <v>1222</v>
      </c>
      <c r="B403" s="1">
        <v>45143</v>
      </c>
      <c r="C403" t="s">
        <v>1223</v>
      </c>
      <c r="D403" t="s">
        <v>48</v>
      </c>
      <c r="E403">
        <v>1928.88</v>
      </c>
      <c r="F403">
        <v>12</v>
      </c>
      <c r="G403">
        <v>578.66</v>
      </c>
      <c r="H403">
        <v>0.05</v>
      </c>
      <c r="I403" t="s">
        <v>1223</v>
      </c>
      <c r="J403" t="s">
        <v>1224</v>
      </c>
      <c r="K403" t="s">
        <v>38</v>
      </c>
      <c r="L403" t="s">
        <v>1225</v>
      </c>
      <c r="M403" t="s">
        <v>111</v>
      </c>
      <c r="N403" t="s">
        <v>3966</v>
      </c>
      <c r="P403">
        <f t="shared" si="6"/>
        <v>0.29999792625772465</v>
      </c>
    </row>
    <row r="404" spans="1:16" x14ac:dyDescent="0.25">
      <c r="A404" t="s">
        <v>1226</v>
      </c>
      <c r="B404" s="1">
        <v>45168</v>
      </c>
      <c r="C404" t="s">
        <v>1227</v>
      </c>
      <c r="D404" t="s">
        <v>36</v>
      </c>
      <c r="E404">
        <v>649.09</v>
      </c>
      <c r="F404">
        <v>7</v>
      </c>
      <c r="G404">
        <v>194.73</v>
      </c>
      <c r="H404">
        <v>0.1</v>
      </c>
      <c r="I404" t="s">
        <v>1227</v>
      </c>
      <c r="J404" t="s">
        <v>1228</v>
      </c>
      <c r="K404" t="s">
        <v>38</v>
      </c>
      <c r="L404" t="s">
        <v>1229</v>
      </c>
      <c r="M404" t="s">
        <v>129</v>
      </c>
      <c r="N404" t="s">
        <v>3966</v>
      </c>
      <c r="P404">
        <f t="shared" si="6"/>
        <v>0.30000462185521265</v>
      </c>
    </row>
    <row r="405" spans="1:16" x14ac:dyDescent="0.25">
      <c r="A405" t="s">
        <v>1230</v>
      </c>
      <c r="B405" s="1">
        <v>45098</v>
      </c>
      <c r="C405" t="s">
        <v>1231</v>
      </c>
      <c r="D405" t="s">
        <v>91</v>
      </c>
      <c r="E405">
        <v>475.91</v>
      </c>
      <c r="F405">
        <v>1</v>
      </c>
      <c r="G405">
        <v>142.77000000000001</v>
      </c>
      <c r="H405">
        <v>0.05</v>
      </c>
      <c r="I405" t="s">
        <v>1231</v>
      </c>
      <c r="J405" t="s">
        <v>1232</v>
      </c>
      <c r="K405" t="s">
        <v>17</v>
      </c>
      <c r="L405" t="s">
        <v>72</v>
      </c>
      <c r="M405" t="s">
        <v>26</v>
      </c>
      <c r="N405" t="s">
        <v>3967</v>
      </c>
      <c r="P405">
        <f t="shared" si="6"/>
        <v>0.29999369628711314</v>
      </c>
    </row>
    <row r="406" spans="1:16" x14ac:dyDescent="0.25">
      <c r="A406" t="s">
        <v>1233</v>
      </c>
      <c r="B406" s="1">
        <v>45741</v>
      </c>
      <c r="C406" t="s">
        <v>1231</v>
      </c>
      <c r="D406" t="s">
        <v>41</v>
      </c>
      <c r="E406">
        <v>965.79</v>
      </c>
      <c r="F406">
        <v>3</v>
      </c>
      <c r="G406">
        <v>289.74</v>
      </c>
      <c r="H406">
        <v>0.15</v>
      </c>
      <c r="I406" t="s">
        <v>1231</v>
      </c>
      <c r="J406" t="s">
        <v>1232</v>
      </c>
      <c r="K406" t="s">
        <v>17</v>
      </c>
      <c r="L406" t="s">
        <v>72</v>
      </c>
      <c r="M406" t="s">
        <v>26</v>
      </c>
      <c r="N406" t="s">
        <v>3966</v>
      </c>
      <c r="P406">
        <f t="shared" si="6"/>
        <v>0.30000310626533722</v>
      </c>
    </row>
    <row r="407" spans="1:16" x14ac:dyDescent="0.25">
      <c r="A407" t="s">
        <v>1234</v>
      </c>
      <c r="B407" s="1">
        <v>45639</v>
      </c>
      <c r="C407" t="s">
        <v>1235</v>
      </c>
      <c r="D407" t="s">
        <v>22</v>
      </c>
      <c r="E407">
        <v>408.15</v>
      </c>
      <c r="F407">
        <v>15</v>
      </c>
      <c r="G407">
        <v>122.45</v>
      </c>
      <c r="H407">
        <v>0</v>
      </c>
      <c r="I407" t="s">
        <v>1235</v>
      </c>
      <c r="J407" t="s">
        <v>1006</v>
      </c>
      <c r="K407" t="s">
        <v>31</v>
      </c>
      <c r="L407" t="s">
        <v>25</v>
      </c>
      <c r="M407" t="s">
        <v>26</v>
      </c>
      <c r="N407" t="s">
        <v>3966</v>
      </c>
      <c r="P407">
        <f t="shared" si="6"/>
        <v>0.30001225039813795</v>
      </c>
    </row>
    <row r="408" spans="1:16" x14ac:dyDescent="0.25">
      <c r="A408" t="s">
        <v>1236</v>
      </c>
      <c r="B408" s="1">
        <v>45176</v>
      </c>
      <c r="C408" t="s">
        <v>1237</v>
      </c>
      <c r="D408" t="s">
        <v>22</v>
      </c>
      <c r="E408">
        <v>729.26</v>
      </c>
      <c r="F408">
        <v>14</v>
      </c>
      <c r="G408">
        <v>218.78</v>
      </c>
      <c r="H408">
        <v>0</v>
      </c>
      <c r="I408" t="s">
        <v>1237</v>
      </c>
      <c r="J408" t="s">
        <v>1024</v>
      </c>
      <c r="K408" t="s">
        <v>38</v>
      </c>
      <c r="L408" t="s">
        <v>774</v>
      </c>
      <c r="M408" t="s">
        <v>33</v>
      </c>
      <c r="N408" t="s">
        <v>3966</v>
      </c>
      <c r="P408">
        <f t="shared" si="6"/>
        <v>0.30000274250610209</v>
      </c>
    </row>
    <row r="409" spans="1:16" x14ac:dyDescent="0.25">
      <c r="A409" t="s">
        <v>1238</v>
      </c>
      <c r="B409" s="1">
        <v>45272</v>
      </c>
      <c r="C409" t="s">
        <v>1239</v>
      </c>
      <c r="D409" t="s">
        <v>48</v>
      </c>
      <c r="E409">
        <v>3990.07</v>
      </c>
      <c r="F409">
        <v>7</v>
      </c>
      <c r="G409">
        <v>1197.02</v>
      </c>
      <c r="H409">
        <v>0</v>
      </c>
      <c r="I409" t="s">
        <v>1239</v>
      </c>
      <c r="J409" t="s">
        <v>1240</v>
      </c>
      <c r="K409" t="s">
        <v>31</v>
      </c>
      <c r="L409" t="s">
        <v>1241</v>
      </c>
      <c r="M409" t="s">
        <v>123</v>
      </c>
      <c r="N409" t="s">
        <v>3966</v>
      </c>
      <c r="P409">
        <f t="shared" si="6"/>
        <v>0.29999974937783047</v>
      </c>
    </row>
    <row r="410" spans="1:16" x14ac:dyDescent="0.25">
      <c r="A410" t="s">
        <v>1242</v>
      </c>
      <c r="B410" s="1">
        <v>45407</v>
      </c>
      <c r="C410" t="s">
        <v>1243</v>
      </c>
      <c r="D410" t="s">
        <v>48</v>
      </c>
      <c r="E410">
        <v>9998.3700000000008</v>
      </c>
      <c r="F410">
        <v>19</v>
      </c>
      <c r="G410">
        <v>2999.51</v>
      </c>
      <c r="H410">
        <v>0</v>
      </c>
      <c r="I410" t="s">
        <v>1243</v>
      </c>
      <c r="J410" t="s">
        <v>1244</v>
      </c>
      <c r="K410" t="s">
        <v>17</v>
      </c>
      <c r="L410" t="s">
        <v>143</v>
      </c>
      <c r="M410" t="s">
        <v>144</v>
      </c>
      <c r="N410" t="s">
        <v>3966</v>
      </c>
      <c r="P410">
        <f t="shared" si="6"/>
        <v>0.29999989998369736</v>
      </c>
    </row>
    <row r="411" spans="1:16" x14ac:dyDescent="0.25">
      <c r="A411" t="s">
        <v>1245</v>
      </c>
      <c r="B411" s="1">
        <v>45781</v>
      </c>
      <c r="C411" t="s">
        <v>1246</v>
      </c>
      <c r="D411" t="s">
        <v>15</v>
      </c>
      <c r="E411">
        <v>2002.67</v>
      </c>
      <c r="F411">
        <v>8</v>
      </c>
      <c r="G411">
        <v>600.79999999999995</v>
      </c>
      <c r="H411">
        <v>0.15</v>
      </c>
      <c r="I411" t="s">
        <v>1246</v>
      </c>
      <c r="J411" t="s">
        <v>1247</v>
      </c>
      <c r="K411" t="s">
        <v>31</v>
      </c>
      <c r="L411" t="s">
        <v>931</v>
      </c>
      <c r="M411" t="s">
        <v>61</v>
      </c>
      <c r="N411" t="s">
        <v>3966</v>
      </c>
      <c r="P411">
        <f t="shared" si="6"/>
        <v>0.29999950066661002</v>
      </c>
    </row>
    <row r="412" spans="1:16" x14ac:dyDescent="0.25">
      <c r="A412" t="s">
        <v>1248</v>
      </c>
      <c r="B412" s="1">
        <v>45185</v>
      </c>
      <c r="C412" t="s">
        <v>1249</v>
      </c>
      <c r="D412" t="s">
        <v>48</v>
      </c>
      <c r="E412">
        <v>7665.42</v>
      </c>
      <c r="F412">
        <v>18</v>
      </c>
      <c r="G412">
        <v>2299.63</v>
      </c>
      <c r="H412">
        <v>0.05</v>
      </c>
      <c r="I412" t="s">
        <v>1249</v>
      </c>
      <c r="J412" t="s">
        <v>1023</v>
      </c>
      <c r="K412" t="s">
        <v>24</v>
      </c>
      <c r="L412" t="s">
        <v>25</v>
      </c>
      <c r="M412" t="s">
        <v>26</v>
      </c>
      <c r="N412" t="s">
        <v>3966</v>
      </c>
      <c r="P412">
        <f t="shared" si="6"/>
        <v>0.30000052182398357</v>
      </c>
    </row>
    <row r="413" spans="1:16" x14ac:dyDescent="0.25">
      <c r="A413" t="s">
        <v>1250</v>
      </c>
      <c r="B413" s="1">
        <v>45588</v>
      </c>
      <c r="C413" t="s">
        <v>1251</v>
      </c>
      <c r="D413" t="s">
        <v>29</v>
      </c>
      <c r="E413">
        <v>8933.36</v>
      </c>
      <c r="F413">
        <v>17</v>
      </c>
      <c r="G413">
        <v>2680.01</v>
      </c>
      <c r="H413">
        <v>0.1</v>
      </c>
      <c r="I413" t="s">
        <v>1251</v>
      </c>
      <c r="J413" t="s">
        <v>192</v>
      </c>
      <c r="K413" t="s">
        <v>71</v>
      </c>
      <c r="L413" t="s">
        <v>878</v>
      </c>
      <c r="M413" t="s">
        <v>645</v>
      </c>
      <c r="N413" t="s">
        <v>3966</v>
      </c>
      <c r="P413">
        <f t="shared" si="6"/>
        <v>0.3000002238799287</v>
      </c>
    </row>
    <row r="414" spans="1:16" x14ac:dyDescent="0.25">
      <c r="A414" t="s">
        <v>1252</v>
      </c>
      <c r="B414" s="1">
        <v>45049</v>
      </c>
      <c r="C414" t="s">
        <v>1253</v>
      </c>
      <c r="D414" t="s">
        <v>29</v>
      </c>
      <c r="E414">
        <v>175.5</v>
      </c>
      <c r="F414">
        <v>2</v>
      </c>
      <c r="G414">
        <v>52.65</v>
      </c>
      <c r="H414">
        <v>0.1</v>
      </c>
      <c r="I414" t="s">
        <v>1253</v>
      </c>
      <c r="J414" t="s">
        <v>1254</v>
      </c>
      <c r="K414" t="s">
        <v>31</v>
      </c>
      <c r="L414" t="s">
        <v>265</v>
      </c>
      <c r="M414" t="s">
        <v>266</v>
      </c>
      <c r="N414" t="s">
        <v>3966</v>
      </c>
      <c r="P414">
        <f t="shared" si="6"/>
        <v>0.3</v>
      </c>
    </row>
    <row r="415" spans="1:16" x14ac:dyDescent="0.25">
      <c r="A415" t="s">
        <v>222</v>
      </c>
      <c r="B415" s="1">
        <v>45734</v>
      </c>
      <c r="C415" t="s">
        <v>223</v>
      </c>
      <c r="D415" t="s">
        <v>41</v>
      </c>
      <c r="E415">
        <v>5722.74</v>
      </c>
      <c r="F415">
        <v>16</v>
      </c>
      <c r="G415">
        <v>1716.82</v>
      </c>
      <c r="H415">
        <v>0.15</v>
      </c>
      <c r="I415" t="s">
        <v>223</v>
      </c>
      <c r="J415" t="s">
        <v>1255</v>
      </c>
      <c r="K415" t="s">
        <v>31</v>
      </c>
      <c r="L415" t="s">
        <v>1256</v>
      </c>
      <c r="M415" t="s">
        <v>384</v>
      </c>
      <c r="N415" t="s">
        <v>3966</v>
      </c>
      <c r="P415">
        <f t="shared" si="6"/>
        <v>0.29999965051706001</v>
      </c>
    </row>
    <row r="416" spans="1:16" x14ac:dyDescent="0.25">
      <c r="A416" t="s">
        <v>225</v>
      </c>
      <c r="B416" s="1">
        <v>45691</v>
      </c>
      <c r="C416" t="s">
        <v>223</v>
      </c>
      <c r="D416" t="s">
        <v>36</v>
      </c>
      <c r="E416">
        <v>309.77</v>
      </c>
      <c r="F416">
        <v>11</v>
      </c>
      <c r="G416">
        <v>92.93</v>
      </c>
      <c r="H416">
        <v>0.15</v>
      </c>
      <c r="I416" t="s">
        <v>223</v>
      </c>
      <c r="J416" t="s">
        <v>1255</v>
      </c>
      <c r="K416" t="s">
        <v>31</v>
      </c>
      <c r="L416" t="s">
        <v>1256</v>
      </c>
      <c r="M416" t="s">
        <v>384</v>
      </c>
      <c r="N416" t="s">
        <v>3967</v>
      </c>
      <c r="P416">
        <f t="shared" si="6"/>
        <v>0.29999677179843115</v>
      </c>
    </row>
    <row r="417" spans="1:16" x14ac:dyDescent="0.25">
      <c r="A417" t="s">
        <v>1257</v>
      </c>
      <c r="B417" s="1">
        <v>45163</v>
      </c>
      <c r="C417" t="s">
        <v>1258</v>
      </c>
      <c r="D417" t="s">
        <v>36</v>
      </c>
      <c r="E417">
        <v>6671.34</v>
      </c>
      <c r="F417">
        <v>13</v>
      </c>
      <c r="G417">
        <v>2001.4</v>
      </c>
      <c r="H417">
        <v>0</v>
      </c>
      <c r="I417" t="s">
        <v>1258</v>
      </c>
      <c r="J417" t="s">
        <v>1259</v>
      </c>
      <c r="K417" t="s">
        <v>71</v>
      </c>
      <c r="L417" t="s">
        <v>586</v>
      </c>
      <c r="M417" t="s">
        <v>33</v>
      </c>
      <c r="N417" t="s">
        <v>3967</v>
      </c>
      <c r="P417">
        <f t="shared" si="6"/>
        <v>0.29999970021015271</v>
      </c>
    </row>
    <row r="418" spans="1:16" x14ac:dyDescent="0.25">
      <c r="A418" t="s">
        <v>1260</v>
      </c>
      <c r="B418" s="1">
        <v>45477</v>
      </c>
      <c r="C418" t="s">
        <v>1261</v>
      </c>
      <c r="D418" t="s">
        <v>15</v>
      </c>
      <c r="E418">
        <v>1347.95</v>
      </c>
      <c r="F418">
        <v>11</v>
      </c>
      <c r="G418">
        <v>404.38</v>
      </c>
      <c r="H418">
        <v>0.05</v>
      </c>
      <c r="I418" t="s">
        <v>1261</v>
      </c>
      <c r="J418" t="s">
        <v>434</v>
      </c>
      <c r="K418" t="s">
        <v>31</v>
      </c>
      <c r="L418" t="s">
        <v>574</v>
      </c>
      <c r="M418" t="s">
        <v>165</v>
      </c>
      <c r="N418" t="s">
        <v>3966</v>
      </c>
      <c r="P418">
        <f t="shared" si="6"/>
        <v>0.29999629066360028</v>
      </c>
    </row>
    <row r="419" spans="1:16" x14ac:dyDescent="0.25">
      <c r="A419" t="s">
        <v>1262</v>
      </c>
      <c r="B419" s="1">
        <v>45120</v>
      </c>
      <c r="C419" t="s">
        <v>1261</v>
      </c>
      <c r="D419" t="s">
        <v>48</v>
      </c>
      <c r="E419">
        <v>8133.44</v>
      </c>
      <c r="F419">
        <v>19</v>
      </c>
      <c r="G419">
        <v>2440.0300000000002</v>
      </c>
      <c r="H419">
        <v>0.1</v>
      </c>
      <c r="I419" t="s">
        <v>1261</v>
      </c>
      <c r="J419" t="s">
        <v>434</v>
      </c>
      <c r="K419" t="s">
        <v>31</v>
      </c>
      <c r="L419" t="s">
        <v>574</v>
      </c>
      <c r="M419" t="s">
        <v>165</v>
      </c>
      <c r="N419" t="s">
        <v>3966</v>
      </c>
      <c r="P419">
        <f t="shared" si="6"/>
        <v>0.29999975410158558</v>
      </c>
    </row>
    <row r="420" spans="1:16" x14ac:dyDescent="0.25">
      <c r="A420" t="s">
        <v>1263</v>
      </c>
      <c r="B420" s="1">
        <v>45276</v>
      </c>
      <c r="C420" t="s">
        <v>1264</v>
      </c>
      <c r="D420" t="s">
        <v>36</v>
      </c>
      <c r="E420">
        <v>521.37</v>
      </c>
      <c r="F420">
        <v>9</v>
      </c>
      <c r="G420">
        <v>156.41</v>
      </c>
      <c r="H420">
        <v>0</v>
      </c>
      <c r="I420" t="s">
        <v>1264</v>
      </c>
      <c r="J420" t="s">
        <v>1265</v>
      </c>
      <c r="K420" t="s">
        <v>31</v>
      </c>
      <c r="L420" t="s">
        <v>696</v>
      </c>
      <c r="M420" t="s">
        <v>261</v>
      </c>
      <c r="N420" t="s">
        <v>3967</v>
      </c>
      <c r="P420">
        <f t="shared" si="6"/>
        <v>0.2999980819763316</v>
      </c>
    </row>
    <row r="421" spans="1:16" x14ac:dyDescent="0.25">
      <c r="A421" t="s">
        <v>1266</v>
      </c>
      <c r="B421" s="1">
        <v>45713</v>
      </c>
      <c r="C421" t="s">
        <v>1264</v>
      </c>
      <c r="D421" t="s">
        <v>91</v>
      </c>
      <c r="E421">
        <v>2788.58</v>
      </c>
      <c r="F421">
        <v>13</v>
      </c>
      <c r="G421">
        <v>836.57</v>
      </c>
      <c r="H421">
        <v>0.1</v>
      </c>
      <c r="I421" t="s">
        <v>1264</v>
      </c>
      <c r="J421" t="s">
        <v>1265</v>
      </c>
      <c r="K421" t="s">
        <v>31</v>
      </c>
      <c r="L421" t="s">
        <v>696</v>
      </c>
      <c r="M421" t="s">
        <v>261</v>
      </c>
      <c r="N421" t="s">
        <v>3967</v>
      </c>
      <c r="P421">
        <f t="shared" si="6"/>
        <v>0.29999856557817961</v>
      </c>
    </row>
    <row r="422" spans="1:16" x14ac:dyDescent="0.25">
      <c r="A422" t="s">
        <v>1267</v>
      </c>
      <c r="B422" s="1">
        <v>45761</v>
      </c>
      <c r="C422" t="s">
        <v>1268</v>
      </c>
      <c r="D422" t="s">
        <v>15</v>
      </c>
      <c r="E422">
        <v>3591.38</v>
      </c>
      <c r="F422">
        <v>14</v>
      </c>
      <c r="G422">
        <v>1077.4100000000001</v>
      </c>
      <c r="H422">
        <v>0.1</v>
      </c>
      <c r="I422" t="s">
        <v>1268</v>
      </c>
      <c r="J422" t="s">
        <v>1269</v>
      </c>
      <c r="K422" t="s">
        <v>38</v>
      </c>
      <c r="L422" t="s">
        <v>524</v>
      </c>
      <c r="M422" t="s">
        <v>266</v>
      </c>
      <c r="N422" t="s">
        <v>3967</v>
      </c>
      <c r="P422">
        <f t="shared" si="6"/>
        <v>0.29999888622200938</v>
      </c>
    </row>
    <row r="423" spans="1:16" x14ac:dyDescent="0.25">
      <c r="A423" t="s">
        <v>1270</v>
      </c>
      <c r="B423" s="1">
        <v>44966</v>
      </c>
      <c r="C423" t="s">
        <v>1271</v>
      </c>
      <c r="D423" t="s">
        <v>48</v>
      </c>
      <c r="E423">
        <v>514.80999999999995</v>
      </c>
      <c r="F423">
        <v>1</v>
      </c>
      <c r="G423">
        <v>154.44</v>
      </c>
      <c r="H423">
        <v>0.05</v>
      </c>
      <c r="I423" t="s">
        <v>1271</v>
      </c>
      <c r="J423" t="s">
        <v>551</v>
      </c>
      <c r="K423" t="s">
        <v>38</v>
      </c>
      <c r="L423" t="s">
        <v>72</v>
      </c>
      <c r="M423" t="s">
        <v>26</v>
      </c>
      <c r="N423" t="s">
        <v>3966</v>
      </c>
      <c r="P423">
        <f t="shared" si="6"/>
        <v>0.29999417260736971</v>
      </c>
    </row>
    <row r="424" spans="1:16" x14ac:dyDescent="0.25">
      <c r="A424" t="s">
        <v>1272</v>
      </c>
      <c r="B424" s="1">
        <v>45823</v>
      </c>
      <c r="C424" t="s">
        <v>1271</v>
      </c>
      <c r="D424" t="s">
        <v>29</v>
      </c>
      <c r="E424">
        <v>26.22</v>
      </c>
      <c r="F424">
        <v>5</v>
      </c>
      <c r="G424">
        <v>7.87</v>
      </c>
      <c r="H424">
        <v>0.05</v>
      </c>
      <c r="I424" t="s">
        <v>1271</v>
      </c>
      <c r="J424" t="s">
        <v>551</v>
      </c>
      <c r="K424" t="s">
        <v>38</v>
      </c>
      <c r="L424" t="s">
        <v>72</v>
      </c>
      <c r="M424" t="s">
        <v>26</v>
      </c>
      <c r="N424" t="s">
        <v>3967</v>
      </c>
      <c r="P424">
        <f t="shared" si="6"/>
        <v>0.30015255530129675</v>
      </c>
    </row>
    <row r="425" spans="1:16" x14ac:dyDescent="0.25">
      <c r="A425" t="s">
        <v>1273</v>
      </c>
      <c r="B425" s="1">
        <v>45587</v>
      </c>
      <c r="C425" t="s">
        <v>1274</v>
      </c>
      <c r="D425" t="s">
        <v>48</v>
      </c>
      <c r="E425">
        <v>6419.25</v>
      </c>
      <c r="F425">
        <v>18</v>
      </c>
      <c r="G425">
        <v>1925.78</v>
      </c>
      <c r="H425">
        <v>0.1</v>
      </c>
      <c r="I425" t="s">
        <v>1274</v>
      </c>
      <c r="J425" t="s">
        <v>1275</v>
      </c>
      <c r="K425" t="s">
        <v>31</v>
      </c>
      <c r="L425" t="s">
        <v>265</v>
      </c>
      <c r="M425" t="s">
        <v>266</v>
      </c>
      <c r="N425" t="s">
        <v>3967</v>
      </c>
      <c r="P425">
        <f t="shared" si="6"/>
        <v>0.30000077890719318</v>
      </c>
    </row>
    <row r="426" spans="1:16" x14ac:dyDescent="0.25">
      <c r="A426" t="s">
        <v>1276</v>
      </c>
      <c r="B426" s="1">
        <v>45097</v>
      </c>
      <c r="C426" t="s">
        <v>1277</v>
      </c>
      <c r="D426" t="s">
        <v>15</v>
      </c>
      <c r="E426">
        <v>2417.94</v>
      </c>
      <c r="F426">
        <v>9</v>
      </c>
      <c r="G426">
        <v>725.38</v>
      </c>
      <c r="H426">
        <v>0.05</v>
      </c>
      <c r="I426" t="s">
        <v>1277</v>
      </c>
      <c r="J426" t="s">
        <v>466</v>
      </c>
      <c r="K426" t="s">
        <v>24</v>
      </c>
      <c r="L426" t="s">
        <v>200</v>
      </c>
      <c r="M426" t="s">
        <v>201</v>
      </c>
      <c r="N426" t="s">
        <v>3966</v>
      </c>
      <c r="P426">
        <f t="shared" si="6"/>
        <v>0.2999991728496158</v>
      </c>
    </row>
    <row r="427" spans="1:16" x14ac:dyDescent="0.25">
      <c r="A427" t="s">
        <v>1278</v>
      </c>
      <c r="B427" s="1">
        <v>45721</v>
      </c>
      <c r="C427" t="s">
        <v>1279</v>
      </c>
      <c r="D427" t="s">
        <v>22</v>
      </c>
      <c r="E427">
        <v>2994.95</v>
      </c>
      <c r="F427">
        <v>6</v>
      </c>
      <c r="G427">
        <v>898.49</v>
      </c>
      <c r="H427">
        <v>0.05</v>
      </c>
      <c r="I427" t="s">
        <v>1279</v>
      </c>
      <c r="J427" t="s">
        <v>259</v>
      </c>
      <c r="K427" t="s">
        <v>24</v>
      </c>
      <c r="L427" t="s">
        <v>1280</v>
      </c>
      <c r="M427" t="s">
        <v>26</v>
      </c>
      <c r="N427" t="s">
        <v>3967</v>
      </c>
      <c r="P427">
        <f t="shared" si="6"/>
        <v>0.30000166947695289</v>
      </c>
    </row>
    <row r="428" spans="1:16" x14ac:dyDescent="0.25">
      <c r="A428" t="s">
        <v>1281</v>
      </c>
      <c r="B428" s="1">
        <v>45227</v>
      </c>
      <c r="C428" t="s">
        <v>1282</v>
      </c>
      <c r="D428" t="s">
        <v>91</v>
      </c>
      <c r="E428">
        <v>1723.55</v>
      </c>
      <c r="F428">
        <v>15</v>
      </c>
      <c r="G428">
        <v>517.05999999999995</v>
      </c>
      <c r="H428">
        <v>0.1</v>
      </c>
      <c r="I428" t="s">
        <v>1282</v>
      </c>
      <c r="J428" t="s">
        <v>1283</v>
      </c>
      <c r="K428" t="s">
        <v>71</v>
      </c>
      <c r="L428" t="s">
        <v>1280</v>
      </c>
      <c r="M428" t="s">
        <v>26</v>
      </c>
      <c r="N428" t="s">
        <v>3967</v>
      </c>
      <c r="P428">
        <f t="shared" si="6"/>
        <v>0.29999709901076266</v>
      </c>
    </row>
    <row r="429" spans="1:16" x14ac:dyDescent="0.25">
      <c r="A429" t="s">
        <v>1284</v>
      </c>
      <c r="B429" s="1">
        <v>45735</v>
      </c>
      <c r="C429" t="s">
        <v>1285</v>
      </c>
      <c r="D429" t="s">
        <v>15</v>
      </c>
      <c r="E429">
        <v>8265.57</v>
      </c>
      <c r="F429">
        <v>17</v>
      </c>
      <c r="G429">
        <v>2479.67</v>
      </c>
      <c r="H429">
        <v>0.05</v>
      </c>
      <c r="I429" t="s">
        <v>1285</v>
      </c>
      <c r="J429" t="s">
        <v>844</v>
      </c>
      <c r="K429" t="s">
        <v>38</v>
      </c>
      <c r="L429" t="s">
        <v>741</v>
      </c>
      <c r="M429" t="s">
        <v>165</v>
      </c>
      <c r="N429" t="s">
        <v>3968</v>
      </c>
      <c r="P429">
        <f t="shared" si="6"/>
        <v>0.29999987901620823</v>
      </c>
    </row>
    <row r="430" spans="1:16" x14ac:dyDescent="0.25">
      <c r="A430" t="s">
        <v>1286</v>
      </c>
      <c r="B430" s="1">
        <v>45788</v>
      </c>
      <c r="C430" t="s">
        <v>1287</v>
      </c>
      <c r="D430" t="s">
        <v>36</v>
      </c>
      <c r="E430">
        <v>4395.0200000000004</v>
      </c>
      <c r="F430">
        <v>16</v>
      </c>
      <c r="G430">
        <v>1318.51</v>
      </c>
      <c r="H430">
        <v>0.1</v>
      </c>
      <c r="I430" t="s">
        <v>1287</v>
      </c>
      <c r="J430" t="s">
        <v>1288</v>
      </c>
      <c r="K430" t="s">
        <v>71</v>
      </c>
      <c r="L430" t="s">
        <v>1289</v>
      </c>
      <c r="M430" t="s">
        <v>44</v>
      </c>
      <c r="N430" t="s">
        <v>3967</v>
      </c>
      <c r="P430">
        <f t="shared" si="6"/>
        <v>0.30000091012100055</v>
      </c>
    </row>
    <row r="431" spans="1:16" x14ac:dyDescent="0.25">
      <c r="A431" t="s">
        <v>1290</v>
      </c>
      <c r="B431" s="1">
        <v>45144</v>
      </c>
      <c r="C431" t="s">
        <v>1287</v>
      </c>
      <c r="D431" t="s">
        <v>91</v>
      </c>
      <c r="E431">
        <v>2112.27</v>
      </c>
      <c r="F431">
        <v>4</v>
      </c>
      <c r="G431">
        <v>633.67999999999995</v>
      </c>
      <c r="H431">
        <v>0.05</v>
      </c>
      <c r="I431" t="s">
        <v>1287</v>
      </c>
      <c r="J431" t="s">
        <v>1288</v>
      </c>
      <c r="K431" t="s">
        <v>71</v>
      </c>
      <c r="L431" t="s">
        <v>1289</v>
      </c>
      <c r="M431" t="s">
        <v>44</v>
      </c>
      <c r="N431" t="s">
        <v>3968</v>
      </c>
      <c r="P431">
        <f t="shared" si="6"/>
        <v>0.29999952657567447</v>
      </c>
    </row>
    <row r="432" spans="1:16" x14ac:dyDescent="0.25">
      <c r="A432" t="s">
        <v>1291</v>
      </c>
      <c r="B432" s="1">
        <v>45546</v>
      </c>
      <c r="C432" t="s">
        <v>1292</v>
      </c>
      <c r="D432" t="s">
        <v>48</v>
      </c>
      <c r="E432">
        <v>2888.76</v>
      </c>
      <c r="F432">
        <v>15</v>
      </c>
      <c r="G432">
        <v>866.63</v>
      </c>
      <c r="H432">
        <v>0.05</v>
      </c>
      <c r="I432" t="s">
        <v>1292</v>
      </c>
      <c r="J432" t="s">
        <v>1293</v>
      </c>
      <c r="K432" t="s">
        <v>38</v>
      </c>
      <c r="L432" t="s">
        <v>72</v>
      </c>
      <c r="M432" t="s">
        <v>26</v>
      </c>
      <c r="N432" t="s">
        <v>3968</v>
      </c>
      <c r="P432">
        <f t="shared" si="6"/>
        <v>0.30000069233858123</v>
      </c>
    </row>
    <row r="433" spans="1:16" x14ac:dyDescent="0.25">
      <c r="A433" t="s">
        <v>1294</v>
      </c>
      <c r="B433" s="1">
        <v>45665</v>
      </c>
      <c r="C433" t="s">
        <v>1295</v>
      </c>
      <c r="D433" t="s">
        <v>36</v>
      </c>
      <c r="E433">
        <v>1414.8</v>
      </c>
      <c r="F433">
        <v>4</v>
      </c>
      <c r="G433">
        <v>424.44</v>
      </c>
      <c r="H433">
        <v>0</v>
      </c>
      <c r="I433" t="s">
        <v>1295</v>
      </c>
      <c r="J433" t="s">
        <v>1296</v>
      </c>
      <c r="K433" t="s">
        <v>38</v>
      </c>
      <c r="L433" t="s">
        <v>206</v>
      </c>
      <c r="M433" t="s">
        <v>123</v>
      </c>
      <c r="N433" t="s">
        <v>3968</v>
      </c>
      <c r="P433">
        <f t="shared" si="6"/>
        <v>0.3</v>
      </c>
    </row>
    <row r="434" spans="1:16" x14ac:dyDescent="0.25">
      <c r="A434" t="s">
        <v>1297</v>
      </c>
      <c r="B434" s="1">
        <v>45516</v>
      </c>
      <c r="C434" t="s">
        <v>1298</v>
      </c>
      <c r="D434" t="s">
        <v>36</v>
      </c>
      <c r="E434">
        <v>447.75</v>
      </c>
      <c r="F434">
        <v>3</v>
      </c>
      <c r="G434">
        <v>134.33000000000001</v>
      </c>
      <c r="H434">
        <v>0</v>
      </c>
      <c r="I434" t="s">
        <v>1298</v>
      </c>
      <c r="J434" t="s">
        <v>473</v>
      </c>
      <c r="K434" t="s">
        <v>38</v>
      </c>
      <c r="L434" t="s">
        <v>206</v>
      </c>
      <c r="M434" t="s">
        <v>144</v>
      </c>
      <c r="N434" t="s">
        <v>3968</v>
      </c>
      <c r="P434">
        <f t="shared" si="6"/>
        <v>0.30001116694584035</v>
      </c>
    </row>
    <row r="435" spans="1:16" x14ac:dyDescent="0.25">
      <c r="A435" t="s">
        <v>1299</v>
      </c>
      <c r="B435" s="1">
        <v>45015</v>
      </c>
      <c r="C435" t="s">
        <v>1300</v>
      </c>
      <c r="D435" t="s">
        <v>48</v>
      </c>
      <c r="E435">
        <v>2675.12</v>
      </c>
      <c r="F435">
        <v>19</v>
      </c>
      <c r="G435">
        <v>802.54</v>
      </c>
      <c r="H435">
        <v>0.1</v>
      </c>
      <c r="I435" t="s">
        <v>1300</v>
      </c>
      <c r="J435" t="s">
        <v>1301</v>
      </c>
      <c r="K435" t="s">
        <v>31</v>
      </c>
      <c r="L435" t="s">
        <v>1302</v>
      </c>
      <c r="M435" t="s">
        <v>26</v>
      </c>
      <c r="N435" t="s">
        <v>3966</v>
      </c>
      <c r="P435">
        <f t="shared" si="6"/>
        <v>0.30000149526002573</v>
      </c>
    </row>
    <row r="436" spans="1:16" x14ac:dyDescent="0.25">
      <c r="A436" t="s">
        <v>1303</v>
      </c>
      <c r="B436" s="1">
        <v>44958</v>
      </c>
      <c r="C436" t="s">
        <v>1304</v>
      </c>
      <c r="D436" t="s">
        <v>22</v>
      </c>
      <c r="E436">
        <v>1692.32</v>
      </c>
      <c r="F436">
        <v>7</v>
      </c>
      <c r="G436">
        <v>507.7</v>
      </c>
      <c r="H436">
        <v>0</v>
      </c>
      <c r="I436" t="s">
        <v>1304</v>
      </c>
      <c r="J436" t="s">
        <v>1305</v>
      </c>
      <c r="K436" t="s">
        <v>38</v>
      </c>
      <c r="L436" t="s">
        <v>488</v>
      </c>
      <c r="M436" t="s">
        <v>26</v>
      </c>
      <c r="N436" t="s">
        <v>3966</v>
      </c>
      <c r="P436">
        <f t="shared" si="6"/>
        <v>0.30000236361917371</v>
      </c>
    </row>
    <row r="437" spans="1:16" x14ac:dyDescent="0.25">
      <c r="A437" t="s">
        <v>428</v>
      </c>
      <c r="B437" s="1">
        <v>45765</v>
      </c>
      <c r="C437" t="s">
        <v>429</v>
      </c>
      <c r="D437" t="s">
        <v>15</v>
      </c>
      <c r="E437">
        <v>3409.8</v>
      </c>
      <c r="F437">
        <v>20</v>
      </c>
      <c r="G437">
        <v>1022.94</v>
      </c>
      <c r="H437">
        <v>0</v>
      </c>
      <c r="I437" t="s">
        <v>429</v>
      </c>
      <c r="J437" t="s">
        <v>1305</v>
      </c>
      <c r="K437" t="s">
        <v>31</v>
      </c>
      <c r="L437" t="s">
        <v>143</v>
      </c>
      <c r="M437" t="s">
        <v>144</v>
      </c>
      <c r="N437" t="s">
        <v>3966</v>
      </c>
      <c r="P437">
        <f t="shared" si="6"/>
        <v>0.3</v>
      </c>
    </row>
    <row r="438" spans="1:16" x14ac:dyDescent="0.25">
      <c r="A438" t="s">
        <v>431</v>
      </c>
      <c r="B438" s="1">
        <v>45372</v>
      </c>
      <c r="C438" t="s">
        <v>429</v>
      </c>
      <c r="D438" t="s">
        <v>15</v>
      </c>
      <c r="E438">
        <v>3756.46</v>
      </c>
      <c r="F438">
        <v>11</v>
      </c>
      <c r="G438">
        <v>1126.94</v>
      </c>
      <c r="H438">
        <v>0.15</v>
      </c>
      <c r="I438" t="s">
        <v>429</v>
      </c>
      <c r="J438" t="s">
        <v>1305</v>
      </c>
      <c r="K438" t="s">
        <v>31</v>
      </c>
      <c r="L438" t="s">
        <v>143</v>
      </c>
      <c r="M438" t="s">
        <v>144</v>
      </c>
      <c r="N438" t="s">
        <v>3968</v>
      </c>
      <c r="P438">
        <f t="shared" si="6"/>
        <v>0.30000053241615776</v>
      </c>
    </row>
    <row r="439" spans="1:16" x14ac:dyDescent="0.25">
      <c r="A439" t="s">
        <v>1306</v>
      </c>
      <c r="B439" s="1">
        <v>45745</v>
      </c>
      <c r="C439" t="s">
        <v>1307</v>
      </c>
      <c r="D439" t="s">
        <v>48</v>
      </c>
      <c r="E439">
        <v>1481.73</v>
      </c>
      <c r="F439">
        <v>11</v>
      </c>
      <c r="G439">
        <v>444.52</v>
      </c>
      <c r="H439">
        <v>0.1</v>
      </c>
      <c r="I439" t="s">
        <v>1307</v>
      </c>
      <c r="J439" t="s">
        <v>1308</v>
      </c>
      <c r="K439" t="s">
        <v>38</v>
      </c>
      <c r="L439" t="s">
        <v>383</v>
      </c>
      <c r="M439" t="s">
        <v>384</v>
      </c>
      <c r="N439" t="s">
        <v>3968</v>
      </c>
      <c r="P439">
        <f t="shared" si="6"/>
        <v>0.30000067488678772</v>
      </c>
    </row>
    <row r="440" spans="1:16" x14ac:dyDescent="0.25">
      <c r="A440" t="s">
        <v>1309</v>
      </c>
      <c r="B440" s="1">
        <v>45407</v>
      </c>
      <c r="C440" t="s">
        <v>1310</v>
      </c>
      <c r="D440" t="s">
        <v>91</v>
      </c>
      <c r="E440">
        <v>156.19999999999999</v>
      </c>
      <c r="F440">
        <v>1</v>
      </c>
      <c r="G440">
        <v>46.86</v>
      </c>
      <c r="H440">
        <v>0.1</v>
      </c>
      <c r="I440" t="s">
        <v>1310</v>
      </c>
      <c r="J440" t="s">
        <v>1311</v>
      </c>
      <c r="K440" t="s">
        <v>17</v>
      </c>
      <c r="L440" t="s">
        <v>72</v>
      </c>
      <c r="M440" t="s">
        <v>26</v>
      </c>
      <c r="N440" t="s">
        <v>3967</v>
      </c>
      <c r="P440">
        <f t="shared" si="6"/>
        <v>0.30000000000000004</v>
      </c>
    </row>
    <row r="441" spans="1:16" x14ac:dyDescent="0.25">
      <c r="A441" t="s">
        <v>1312</v>
      </c>
      <c r="B441" s="1">
        <v>45557</v>
      </c>
      <c r="C441" t="s">
        <v>1313</v>
      </c>
      <c r="D441" t="s">
        <v>48</v>
      </c>
      <c r="E441">
        <v>2324.5100000000002</v>
      </c>
      <c r="F441">
        <v>7</v>
      </c>
      <c r="G441">
        <v>697.35</v>
      </c>
      <c r="H441">
        <v>0.05</v>
      </c>
      <c r="I441" t="s">
        <v>1313</v>
      </c>
      <c r="J441" t="s">
        <v>673</v>
      </c>
      <c r="K441" t="s">
        <v>24</v>
      </c>
      <c r="L441" t="s">
        <v>423</v>
      </c>
      <c r="M441" t="s">
        <v>244</v>
      </c>
      <c r="N441" t="s">
        <v>3967</v>
      </c>
      <c r="P441">
        <f t="shared" si="6"/>
        <v>0.29999870940542306</v>
      </c>
    </row>
    <row r="442" spans="1:16" x14ac:dyDescent="0.25">
      <c r="A442" t="s">
        <v>1314</v>
      </c>
      <c r="B442" s="1">
        <v>45159</v>
      </c>
      <c r="C442" t="s">
        <v>1315</v>
      </c>
      <c r="D442" t="s">
        <v>15</v>
      </c>
      <c r="E442">
        <v>362.33</v>
      </c>
      <c r="F442">
        <v>3</v>
      </c>
      <c r="G442">
        <v>108.7</v>
      </c>
      <c r="H442">
        <v>0.15</v>
      </c>
      <c r="I442" t="s">
        <v>1315</v>
      </c>
      <c r="J442" t="s">
        <v>922</v>
      </c>
      <c r="K442" t="s">
        <v>38</v>
      </c>
      <c r="L442" t="s">
        <v>1316</v>
      </c>
      <c r="M442" t="s">
        <v>77</v>
      </c>
      <c r="N442" t="s">
        <v>3966</v>
      </c>
      <c r="P442">
        <f t="shared" si="6"/>
        <v>0.30000275991499464</v>
      </c>
    </row>
    <row r="443" spans="1:16" x14ac:dyDescent="0.25">
      <c r="A443" t="s">
        <v>1317</v>
      </c>
      <c r="B443" s="1">
        <v>45143</v>
      </c>
      <c r="C443" t="s">
        <v>1315</v>
      </c>
      <c r="D443" t="s">
        <v>91</v>
      </c>
      <c r="E443">
        <v>2206.2600000000002</v>
      </c>
      <c r="F443">
        <v>9</v>
      </c>
      <c r="G443">
        <v>661.88</v>
      </c>
      <c r="H443">
        <v>0</v>
      </c>
      <c r="I443" t="s">
        <v>1315</v>
      </c>
      <c r="J443" t="s">
        <v>922</v>
      </c>
      <c r="K443" t="s">
        <v>38</v>
      </c>
      <c r="L443" t="s">
        <v>1316</v>
      </c>
      <c r="M443" t="s">
        <v>77</v>
      </c>
      <c r="N443" t="s">
        <v>3966</v>
      </c>
      <c r="P443">
        <f t="shared" si="6"/>
        <v>0.30000090651147188</v>
      </c>
    </row>
    <row r="444" spans="1:16" x14ac:dyDescent="0.25">
      <c r="A444" t="s">
        <v>1318</v>
      </c>
      <c r="B444" s="1">
        <v>45450</v>
      </c>
      <c r="C444" t="s">
        <v>1319</v>
      </c>
      <c r="D444" t="s">
        <v>29</v>
      </c>
      <c r="E444">
        <v>401.93</v>
      </c>
      <c r="F444">
        <v>1</v>
      </c>
      <c r="G444">
        <v>120.58</v>
      </c>
      <c r="H444">
        <v>0.05</v>
      </c>
      <c r="I444" t="s">
        <v>1319</v>
      </c>
      <c r="J444" t="s">
        <v>1001</v>
      </c>
      <c r="K444" t="s">
        <v>24</v>
      </c>
      <c r="L444" t="s">
        <v>1320</v>
      </c>
      <c r="M444" t="s">
        <v>51</v>
      </c>
      <c r="N444" t="s">
        <v>3966</v>
      </c>
      <c r="P444">
        <f t="shared" si="6"/>
        <v>0.30000248799542206</v>
      </c>
    </row>
    <row r="445" spans="1:16" x14ac:dyDescent="0.25">
      <c r="A445" t="s">
        <v>1321</v>
      </c>
      <c r="B445" s="1">
        <v>45599</v>
      </c>
      <c r="C445" t="s">
        <v>1322</v>
      </c>
      <c r="D445" t="s">
        <v>41</v>
      </c>
      <c r="E445">
        <v>1695.92</v>
      </c>
      <c r="F445">
        <v>17</v>
      </c>
      <c r="G445">
        <v>508.78</v>
      </c>
      <c r="H445">
        <v>0</v>
      </c>
      <c r="I445" t="s">
        <v>1322</v>
      </c>
      <c r="J445" t="s">
        <v>1323</v>
      </c>
      <c r="K445" t="s">
        <v>17</v>
      </c>
      <c r="L445" t="s">
        <v>1324</v>
      </c>
      <c r="M445" t="s">
        <v>26</v>
      </c>
      <c r="N445" t="s">
        <v>3966</v>
      </c>
      <c r="P445">
        <f t="shared" si="6"/>
        <v>0.30000235860182078</v>
      </c>
    </row>
    <row r="446" spans="1:16" x14ac:dyDescent="0.25">
      <c r="A446" t="s">
        <v>1325</v>
      </c>
      <c r="B446" s="1">
        <v>45801</v>
      </c>
      <c r="C446" t="s">
        <v>1322</v>
      </c>
      <c r="D446" t="s">
        <v>22</v>
      </c>
      <c r="E446">
        <v>5455.79</v>
      </c>
      <c r="F446">
        <v>19</v>
      </c>
      <c r="G446">
        <v>1636.74</v>
      </c>
      <c r="H446">
        <v>0.15</v>
      </c>
      <c r="I446" t="s">
        <v>1322</v>
      </c>
      <c r="J446" t="s">
        <v>1323</v>
      </c>
      <c r="K446" t="s">
        <v>17</v>
      </c>
      <c r="L446" t="s">
        <v>1324</v>
      </c>
      <c r="M446" t="s">
        <v>26</v>
      </c>
      <c r="N446" t="s">
        <v>3966</v>
      </c>
      <c r="P446">
        <f t="shared" si="6"/>
        <v>0.30000054987453695</v>
      </c>
    </row>
    <row r="447" spans="1:16" x14ac:dyDescent="0.25">
      <c r="A447" t="s">
        <v>1326</v>
      </c>
      <c r="B447" s="1">
        <v>45491</v>
      </c>
      <c r="C447" t="s">
        <v>1327</v>
      </c>
      <c r="D447" t="s">
        <v>36</v>
      </c>
      <c r="E447">
        <v>2147.36</v>
      </c>
      <c r="F447">
        <v>10</v>
      </c>
      <c r="G447">
        <v>644.21</v>
      </c>
      <c r="H447">
        <v>0.15</v>
      </c>
      <c r="I447" t="s">
        <v>1327</v>
      </c>
      <c r="J447" t="s">
        <v>1328</v>
      </c>
      <c r="K447" t="s">
        <v>24</v>
      </c>
      <c r="L447" t="s">
        <v>1329</v>
      </c>
      <c r="M447" t="s">
        <v>61</v>
      </c>
      <c r="N447" t="s">
        <v>3966</v>
      </c>
      <c r="P447">
        <f t="shared" si="6"/>
        <v>0.30000093137620149</v>
      </c>
    </row>
    <row r="448" spans="1:16" x14ac:dyDescent="0.25">
      <c r="A448" t="s">
        <v>1330</v>
      </c>
      <c r="B448" s="1">
        <v>45487</v>
      </c>
      <c r="C448" t="s">
        <v>1331</v>
      </c>
      <c r="D448" t="s">
        <v>91</v>
      </c>
      <c r="E448">
        <v>234.95</v>
      </c>
      <c r="F448">
        <v>3</v>
      </c>
      <c r="G448">
        <v>70.489999999999995</v>
      </c>
      <c r="H448">
        <v>0.1</v>
      </c>
      <c r="I448" t="s">
        <v>1331</v>
      </c>
      <c r="J448" t="s">
        <v>894</v>
      </c>
      <c r="K448" t="s">
        <v>71</v>
      </c>
      <c r="L448" t="s">
        <v>82</v>
      </c>
      <c r="M448" t="s">
        <v>83</v>
      </c>
      <c r="N448" t="s">
        <v>3966</v>
      </c>
      <c r="P448">
        <f t="shared" si="6"/>
        <v>0.30002128112364335</v>
      </c>
    </row>
    <row r="449" spans="1:16" x14ac:dyDescent="0.25">
      <c r="A449" t="s">
        <v>1332</v>
      </c>
      <c r="B449" s="1">
        <v>45030</v>
      </c>
      <c r="C449" t="s">
        <v>1333</v>
      </c>
      <c r="D449" t="s">
        <v>91</v>
      </c>
      <c r="E449">
        <v>70.22</v>
      </c>
      <c r="F449">
        <v>11</v>
      </c>
      <c r="G449">
        <v>21.07</v>
      </c>
      <c r="H449">
        <v>0.05</v>
      </c>
      <c r="I449" t="s">
        <v>1333</v>
      </c>
      <c r="J449" t="s">
        <v>967</v>
      </c>
      <c r="K449" t="s">
        <v>38</v>
      </c>
      <c r="L449" t="s">
        <v>82</v>
      </c>
      <c r="M449" t="s">
        <v>83</v>
      </c>
      <c r="N449" t="s">
        <v>3966</v>
      </c>
      <c r="P449">
        <f t="shared" si="6"/>
        <v>0.30005696382796926</v>
      </c>
    </row>
    <row r="450" spans="1:16" x14ac:dyDescent="0.25">
      <c r="A450" t="s">
        <v>1334</v>
      </c>
      <c r="B450" s="1">
        <v>45078</v>
      </c>
      <c r="C450" t="s">
        <v>1335</v>
      </c>
      <c r="D450" t="s">
        <v>41</v>
      </c>
      <c r="E450">
        <v>502.88</v>
      </c>
      <c r="F450">
        <v>2</v>
      </c>
      <c r="G450">
        <v>150.87</v>
      </c>
      <c r="H450">
        <v>0.1</v>
      </c>
      <c r="I450" t="s">
        <v>1335</v>
      </c>
      <c r="J450" t="s">
        <v>1336</v>
      </c>
      <c r="K450" t="s">
        <v>24</v>
      </c>
      <c r="L450" t="s">
        <v>558</v>
      </c>
      <c r="M450" t="s">
        <v>412</v>
      </c>
      <c r="N450" t="s">
        <v>3966</v>
      </c>
      <c r="P450">
        <f t="shared" si="6"/>
        <v>0.30001193127585113</v>
      </c>
    </row>
    <row r="451" spans="1:16" x14ac:dyDescent="0.25">
      <c r="A451" t="s">
        <v>1337</v>
      </c>
      <c r="B451" s="1">
        <v>45764</v>
      </c>
      <c r="C451" t="s">
        <v>1338</v>
      </c>
      <c r="D451" t="s">
        <v>22</v>
      </c>
      <c r="E451">
        <v>1683.18</v>
      </c>
      <c r="F451">
        <v>9</v>
      </c>
      <c r="G451">
        <v>504.95</v>
      </c>
      <c r="H451">
        <v>0.1</v>
      </c>
      <c r="I451" t="s">
        <v>1338</v>
      </c>
      <c r="J451" t="s">
        <v>1339</v>
      </c>
      <c r="K451" t="s">
        <v>38</v>
      </c>
      <c r="L451" t="s">
        <v>72</v>
      </c>
      <c r="M451" t="s">
        <v>26</v>
      </c>
      <c r="N451" t="s">
        <v>3966</v>
      </c>
      <c r="P451">
        <f t="shared" ref="P451:P514" si="7">G451/E451</f>
        <v>0.29999762354590714</v>
      </c>
    </row>
    <row r="452" spans="1:16" x14ac:dyDescent="0.25">
      <c r="A452" t="s">
        <v>1340</v>
      </c>
      <c r="B452" s="1">
        <v>45747</v>
      </c>
      <c r="C452" t="s">
        <v>1341</v>
      </c>
      <c r="D452" t="s">
        <v>41</v>
      </c>
      <c r="E452">
        <v>7294.29</v>
      </c>
      <c r="F452">
        <v>15</v>
      </c>
      <c r="G452">
        <v>2188.29</v>
      </c>
      <c r="H452">
        <v>0.05</v>
      </c>
      <c r="I452" t="s">
        <v>1341</v>
      </c>
      <c r="J452" t="s">
        <v>952</v>
      </c>
      <c r="K452" t="s">
        <v>17</v>
      </c>
      <c r="L452" t="s">
        <v>481</v>
      </c>
      <c r="M452" t="s">
        <v>123</v>
      </c>
      <c r="N452" t="s">
        <v>3966</v>
      </c>
      <c r="P452">
        <f t="shared" si="7"/>
        <v>0.3000004112806044</v>
      </c>
    </row>
    <row r="453" spans="1:16" x14ac:dyDescent="0.25">
      <c r="A453" t="s">
        <v>1342</v>
      </c>
      <c r="B453" s="1">
        <v>45488</v>
      </c>
      <c r="C453" t="s">
        <v>1343</v>
      </c>
      <c r="D453" t="s">
        <v>41</v>
      </c>
      <c r="E453">
        <v>3259.7</v>
      </c>
      <c r="F453">
        <v>10</v>
      </c>
      <c r="G453">
        <v>977.91</v>
      </c>
      <c r="H453">
        <v>0</v>
      </c>
      <c r="I453" t="s">
        <v>1343</v>
      </c>
      <c r="J453" t="s">
        <v>174</v>
      </c>
      <c r="K453" t="s">
        <v>17</v>
      </c>
      <c r="L453" t="s">
        <v>1344</v>
      </c>
      <c r="M453" t="s">
        <v>19</v>
      </c>
      <c r="N453" t="s">
        <v>3966</v>
      </c>
      <c r="P453">
        <f t="shared" si="7"/>
        <v>0.3</v>
      </c>
    </row>
    <row r="454" spans="1:16" x14ac:dyDescent="0.25">
      <c r="A454" t="s">
        <v>1345</v>
      </c>
      <c r="B454" s="1">
        <v>45534</v>
      </c>
      <c r="C454" t="s">
        <v>1346</v>
      </c>
      <c r="D454" t="s">
        <v>15</v>
      </c>
      <c r="E454">
        <v>7978.44</v>
      </c>
      <c r="F454">
        <v>17</v>
      </c>
      <c r="G454">
        <v>2393.5300000000002</v>
      </c>
      <c r="H454">
        <v>0</v>
      </c>
      <c r="I454" t="s">
        <v>1346</v>
      </c>
      <c r="J454" t="s">
        <v>367</v>
      </c>
      <c r="K454" t="s">
        <v>24</v>
      </c>
      <c r="L454" t="s">
        <v>470</v>
      </c>
      <c r="M454" t="s">
        <v>33</v>
      </c>
      <c r="N454" t="s">
        <v>3966</v>
      </c>
      <c r="P454">
        <f t="shared" si="7"/>
        <v>0.29999974932442935</v>
      </c>
    </row>
    <row r="455" spans="1:16" x14ac:dyDescent="0.25">
      <c r="A455" t="s">
        <v>1347</v>
      </c>
      <c r="B455" s="1">
        <v>45664</v>
      </c>
      <c r="C455" t="s">
        <v>1348</v>
      </c>
      <c r="D455" t="s">
        <v>22</v>
      </c>
      <c r="E455">
        <v>2426.9699999999998</v>
      </c>
      <c r="F455">
        <v>13</v>
      </c>
      <c r="G455">
        <v>728.09</v>
      </c>
      <c r="H455">
        <v>0</v>
      </c>
      <c r="I455" t="s">
        <v>1348</v>
      </c>
      <c r="J455" t="s">
        <v>1254</v>
      </c>
      <c r="K455" t="s">
        <v>38</v>
      </c>
      <c r="L455" t="s">
        <v>1130</v>
      </c>
      <c r="M455" t="s">
        <v>56</v>
      </c>
      <c r="N455" t="s">
        <v>3967</v>
      </c>
      <c r="P455">
        <f t="shared" si="7"/>
        <v>0.2999995879635925</v>
      </c>
    </row>
    <row r="456" spans="1:16" x14ac:dyDescent="0.25">
      <c r="A456" t="s">
        <v>1349</v>
      </c>
      <c r="B456" s="1">
        <v>45797</v>
      </c>
      <c r="C456" t="s">
        <v>1350</v>
      </c>
      <c r="D456" t="s">
        <v>91</v>
      </c>
      <c r="E456">
        <v>3427.65</v>
      </c>
      <c r="F456">
        <v>9</v>
      </c>
      <c r="G456">
        <v>1028.3</v>
      </c>
      <c r="H456">
        <v>0</v>
      </c>
      <c r="I456" t="s">
        <v>1350</v>
      </c>
      <c r="J456" t="s">
        <v>1351</v>
      </c>
      <c r="K456" t="s">
        <v>24</v>
      </c>
      <c r="L456" t="s">
        <v>200</v>
      </c>
      <c r="M456" t="s">
        <v>176</v>
      </c>
      <c r="N456" t="s">
        <v>3967</v>
      </c>
      <c r="P456">
        <f t="shared" si="7"/>
        <v>0.30000145872536577</v>
      </c>
    </row>
    <row r="457" spans="1:16" x14ac:dyDescent="0.25">
      <c r="A457" t="s">
        <v>1352</v>
      </c>
      <c r="B457" s="1">
        <v>45693</v>
      </c>
      <c r="C457" t="s">
        <v>1350</v>
      </c>
      <c r="D457" t="s">
        <v>22</v>
      </c>
      <c r="E457">
        <v>526.83000000000004</v>
      </c>
      <c r="F457">
        <v>16</v>
      </c>
      <c r="G457">
        <v>158.05000000000001</v>
      </c>
      <c r="H457">
        <v>0.05</v>
      </c>
      <c r="I457" t="s">
        <v>1350</v>
      </c>
      <c r="J457" t="s">
        <v>1351</v>
      </c>
      <c r="K457" t="s">
        <v>24</v>
      </c>
      <c r="L457" t="s">
        <v>200</v>
      </c>
      <c r="M457" t="s">
        <v>176</v>
      </c>
      <c r="N457" t="s">
        <v>3967</v>
      </c>
      <c r="P457">
        <f t="shared" si="7"/>
        <v>0.30000189814551181</v>
      </c>
    </row>
    <row r="458" spans="1:16" x14ac:dyDescent="0.25">
      <c r="A458" t="s">
        <v>1353</v>
      </c>
      <c r="B458" s="1">
        <v>45661</v>
      </c>
      <c r="C458" t="s">
        <v>1354</v>
      </c>
      <c r="D458" t="s">
        <v>36</v>
      </c>
      <c r="E458">
        <v>389.94</v>
      </c>
      <c r="F458">
        <v>2</v>
      </c>
      <c r="G458">
        <v>116.98</v>
      </c>
      <c r="H458">
        <v>0</v>
      </c>
      <c r="I458" t="s">
        <v>1354</v>
      </c>
      <c r="J458" t="s">
        <v>795</v>
      </c>
      <c r="K458" t="s">
        <v>31</v>
      </c>
      <c r="L458" t="s">
        <v>55</v>
      </c>
      <c r="M458" t="s">
        <v>56</v>
      </c>
      <c r="N458" t="s">
        <v>3966</v>
      </c>
      <c r="P458">
        <f t="shared" si="7"/>
        <v>0.29999487100579575</v>
      </c>
    </row>
    <row r="459" spans="1:16" x14ac:dyDescent="0.25">
      <c r="A459" t="s">
        <v>1355</v>
      </c>
      <c r="B459" s="1">
        <v>45383</v>
      </c>
      <c r="C459" t="s">
        <v>1354</v>
      </c>
      <c r="D459" t="s">
        <v>41</v>
      </c>
      <c r="E459">
        <v>2372.11</v>
      </c>
      <c r="F459">
        <v>18</v>
      </c>
      <c r="G459">
        <v>711.63</v>
      </c>
      <c r="H459">
        <v>0.15</v>
      </c>
      <c r="I459" t="s">
        <v>1354</v>
      </c>
      <c r="J459" t="s">
        <v>795</v>
      </c>
      <c r="K459" t="s">
        <v>31</v>
      </c>
      <c r="L459" t="s">
        <v>55</v>
      </c>
      <c r="M459" t="s">
        <v>56</v>
      </c>
      <c r="N459" t="s">
        <v>3966</v>
      </c>
      <c r="P459">
        <f t="shared" si="7"/>
        <v>0.2999987353031689</v>
      </c>
    </row>
    <row r="460" spans="1:16" x14ac:dyDescent="0.25">
      <c r="A460" t="s">
        <v>1356</v>
      </c>
      <c r="B460" s="1">
        <v>45717</v>
      </c>
      <c r="C460" t="s">
        <v>1357</v>
      </c>
      <c r="D460" t="s">
        <v>48</v>
      </c>
      <c r="E460">
        <v>264.48</v>
      </c>
      <c r="F460">
        <v>4</v>
      </c>
      <c r="G460">
        <v>79.34</v>
      </c>
      <c r="H460">
        <v>0.05</v>
      </c>
      <c r="I460" t="s">
        <v>1357</v>
      </c>
      <c r="J460" t="s">
        <v>1358</v>
      </c>
      <c r="K460" t="s">
        <v>71</v>
      </c>
      <c r="L460" t="s">
        <v>143</v>
      </c>
      <c r="M460" t="s">
        <v>144</v>
      </c>
      <c r="N460" t="s">
        <v>3966</v>
      </c>
      <c r="P460">
        <f t="shared" si="7"/>
        <v>0.29998487598306112</v>
      </c>
    </row>
    <row r="461" spans="1:16" x14ac:dyDescent="0.25">
      <c r="A461" t="s">
        <v>1359</v>
      </c>
      <c r="B461" s="1">
        <v>45110</v>
      </c>
      <c r="C461" t="s">
        <v>1360</v>
      </c>
      <c r="D461" t="s">
        <v>48</v>
      </c>
      <c r="E461">
        <v>608.74</v>
      </c>
      <c r="F461">
        <v>13</v>
      </c>
      <c r="G461">
        <v>182.62</v>
      </c>
      <c r="H461">
        <v>0.15</v>
      </c>
      <c r="I461" t="s">
        <v>1360</v>
      </c>
      <c r="J461" t="s">
        <v>1361</v>
      </c>
      <c r="K461" t="s">
        <v>38</v>
      </c>
      <c r="L461" t="s">
        <v>25</v>
      </c>
      <c r="M461" t="s">
        <v>26</v>
      </c>
      <c r="N461" t="s">
        <v>3966</v>
      </c>
      <c r="P461">
        <f t="shared" si="7"/>
        <v>0.29999671452508458</v>
      </c>
    </row>
    <row r="462" spans="1:16" x14ac:dyDescent="0.25">
      <c r="A462" t="s">
        <v>1362</v>
      </c>
      <c r="B462" s="1">
        <v>45041</v>
      </c>
      <c r="C462" t="s">
        <v>1363</v>
      </c>
      <c r="D462" t="s">
        <v>15</v>
      </c>
      <c r="E462">
        <v>2277.52</v>
      </c>
      <c r="F462">
        <v>13</v>
      </c>
      <c r="G462">
        <v>683.25</v>
      </c>
      <c r="H462">
        <v>0.15</v>
      </c>
      <c r="I462" t="s">
        <v>1363</v>
      </c>
      <c r="J462" t="s">
        <v>1364</v>
      </c>
      <c r="K462" t="s">
        <v>38</v>
      </c>
      <c r="L462" t="s">
        <v>746</v>
      </c>
      <c r="M462" t="s">
        <v>19</v>
      </c>
      <c r="N462" t="s">
        <v>3966</v>
      </c>
      <c r="P462">
        <f t="shared" si="7"/>
        <v>0.29999736555551654</v>
      </c>
    </row>
    <row r="463" spans="1:16" x14ac:dyDescent="0.25">
      <c r="A463" t="s">
        <v>1365</v>
      </c>
      <c r="B463" s="1">
        <v>45756</v>
      </c>
      <c r="C463" t="s">
        <v>1366</v>
      </c>
      <c r="D463" t="s">
        <v>91</v>
      </c>
      <c r="E463">
        <v>6442.25</v>
      </c>
      <c r="F463">
        <v>14</v>
      </c>
      <c r="G463">
        <v>1932.68</v>
      </c>
      <c r="H463">
        <v>0.05</v>
      </c>
      <c r="I463" t="s">
        <v>1366</v>
      </c>
      <c r="J463" t="s">
        <v>1367</v>
      </c>
      <c r="K463" t="s">
        <v>71</v>
      </c>
      <c r="L463" t="s">
        <v>1368</v>
      </c>
      <c r="M463" t="s">
        <v>266</v>
      </c>
      <c r="N463" t="s">
        <v>3966</v>
      </c>
      <c r="P463">
        <f t="shared" si="7"/>
        <v>0.3000007761263534</v>
      </c>
    </row>
    <row r="464" spans="1:16" x14ac:dyDescent="0.25">
      <c r="A464" t="s">
        <v>1369</v>
      </c>
      <c r="B464" s="1">
        <v>45235</v>
      </c>
      <c r="C464" t="s">
        <v>1370</v>
      </c>
      <c r="D464" t="s">
        <v>48</v>
      </c>
      <c r="E464">
        <v>2697.42</v>
      </c>
      <c r="F464">
        <v>6</v>
      </c>
      <c r="G464">
        <v>809.23</v>
      </c>
      <c r="H464">
        <v>0</v>
      </c>
      <c r="I464" t="s">
        <v>1370</v>
      </c>
      <c r="J464" t="s">
        <v>1371</v>
      </c>
      <c r="K464" t="s">
        <v>31</v>
      </c>
      <c r="L464" t="s">
        <v>1372</v>
      </c>
      <c r="M464" t="s">
        <v>412</v>
      </c>
      <c r="N464" t="s">
        <v>3968</v>
      </c>
      <c r="P464">
        <f t="shared" si="7"/>
        <v>0.30000148289847334</v>
      </c>
    </row>
    <row r="465" spans="1:16" x14ac:dyDescent="0.25">
      <c r="A465" t="s">
        <v>1373</v>
      </c>
      <c r="B465" s="1">
        <v>44939</v>
      </c>
      <c r="C465" t="s">
        <v>1374</v>
      </c>
      <c r="D465" t="s">
        <v>15</v>
      </c>
      <c r="E465">
        <v>2007.09</v>
      </c>
      <c r="F465">
        <v>9</v>
      </c>
      <c r="G465">
        <v>602.13</v>
      </c>
      <c r="H465">
        <v>0</v>
      </c>
      <c r="I465" t="s">
        <v>1374</v>
      </c>
      <c r="J465" t="s">
        <v>1375</v>
      </c>
      <c r="K465" t="s">
        <v>17</v>
      </c>
      <c r="L465" t="s">
        <v>1376</v>
      </c>
      <c r="M465" t="s">
        <v>26</v>
      </c>
      <c r="N465" t="s">
        <v>3968</v>
      </c>
      <c r="P465">
        <f t="shared" si="7"/>
        <v>0.30000149470128396</v>
      </c>
    </row>
    <row r="466" spans="1:16" x14ac:dyDescent="0.25">
      <c r="A466" t="s">
        <v>1377</v>
      </c>
      <c r="B466" s="1">
        <v>45694</v>
      </c>
      <c r="C466" t="s">
        <v>1378</v>
      </c>
      <c r="D466" t="s">
        <v>36</v>
      </c>
      <c r="E466">
        <v>3473.73</v>
      </c>
      <c r="F466">
        <v>14</v>
      </c>
      <c r="G466">
        <v>1042.1199999999999</v>
      </c>
      <c r="H466">
        <v>0.15</v>
      </c>
      <c r="I466" t="s">
        <v>1378</v>
      </c>
      <c r="J466" t="s">
        <v>463</v>
      </c>
      <c r="K466" t="s">
        <v>71</v>
      </c>
      <c r="L466" t="s">
        <v>171</v>
      </c>
      <c r="M466" t="s">
        <v>754</v>
      </c>
      <c r="N466" t="s">
        <v>3968</v>
      </c>
      <c r="P466">
        <f t="shared" si="7"/>
        <v>0.30000028787499311</v>
      </c>
    </row>
    <row r="467" spans="1:16" x14ac:dyDescent="0.25">
      <c r="A467" t="s">
        <v>1379</v>
      </c>
      <c r="B467" s="1">
        <v>45066</v>
      </c>
      <c r="C467" t="s">
        <v>1380</v>
      </c>
      <c r="D467" t="s">
        <v>48</v>
      </c>
      <c r="E467">
        <v>1181.18</v>
      </c>
      <c r="F467">
        <v>13</v>
      </c>
      <c r="G467">
        <v>354.35</v>
      </c>
      <c r="H467">
        <v>0</v>
      </c>
      <c r="I467" t="s">
        <v>1380</v>
      </c>
      <c r="J467" t="s">
        <v>952</v>
      </c>
      <c r="K467" t="s">
        <v>24</v>
      </c>
      <c r="L467" t="s">
        <v>143</v>
      </c>
      <c r="M467" t="s">
        <v>144</v>
      </c>
      <c r="N467" t="s">
        <v>3968</v>
      </c>
      <c r="P467">
        <f t="shared" si="7"/>
        <v>0.2999966135559356</v>
      </c>
    </row>
    <row r="468" spans="1:16" x14ac:dyDescent="0.25">
      <c r="A468" t="s">
        <v>1381</v>
      </c>
      <c r="B468" s="1">
        <v>45826</v>
      </c>
      <c r="C468" t="s">
        <v>1382</v>
      </c>
      <c r="D468" t="s">
        <v>29</v>
      </c>
      <c r="E468">
        <v>436.2</v>
      </c>
      <c r="F468">
        <v>4</v>
      </c>
      <c r="G468">
        <v>130.86000000000001</v>
      </c>
      <c r="H468">
        <v>0</v>
      </c>
      <c r="I468" t="s">
        <v>1382</v>
      </c>
      <c r="J468" t="s">
        <v>1383</v>
      </c>
      <c r="K468" t="s">
        <v>17</v>
      </c>
      <c r="L468" t="s">
        <v>143</v>
      </c>
      <c r="M468" t="s">
        <v>144</v>
      </c>
      <c r="N468" t="s">
        <v>3968</v>
      </c>
      <c r="P468">
        <f t="shared" si="7"/>
        <v>0.30000000000000004</v>
      </c>
    </row>
    <row r="469" spans="1:16" x14ac:dyDescent="0.25">
      <c r="A469" t="s">
        <v>1384</v>
      </c>
      <c r="B469" s="1">
        <v>44980</v>
      </c>
      <c r="C469" t="s">
        <v>1385</v>
      </c>
      <c r="D469" t="s">
        <v>91</v>
      </c>
      <c r="E469">
        <v>2947.2</v>
      </c>
      <c r="F469">
        <v>12</v>
      </c>
      <c r="G469">
        <v>884.16</v>
      </c>
      <c r="H469">
        <v>0</v>
      </c>
      <c r="I469" t="s">
        <v>1385</v>
      </c>
      <c r="J469" t="s">
        <v>1386</v>
      </c>
      <c r="K469" t="s">
        <v>71</v>
      </c>
      <c r="L469" t="s">
        <v>1387</v>
      </c>
      <c r="M469" t="s">
        <v>412</v>
      </c>
      <c r="N469" t="s">
        <v>3968</v>
      </c>
      <c r="P469">
        <f t="shared" si="7"/>
        <v>0.3</v>
      </c>
    </row>
    <row r="470" spans="1:16" x14ac:dyDescent="0.25">
      <c r="A470" t="s">
        <v>1388</v>
      </c>
      <c r="B470" s="1">
        <v>45605</v>
      </c>
      <c r="C470" t="s">
        <v>1389</v>
      </c>
      <c r="D470" t="s">
        <v>41</v>
      </c>
      <c r="E470">
        <v>5700.45</v>
      </c>
      <c r="F470">
        <v>15</v>
      </c>
      <c r="G470">
        <v>1710.14</v>
      </c>
      <c r="H470">
        <v>0</v>
      </c>
      <c r="I470" t="s">
        <v>1389</v>
      </c>
      <c r="J470" t="s">
        <v>1390</v>
      </c>
      <c r="K470" t="s">
        <v>17</v>
      </c>
      <c r="L470" t="s">
        <v>72</v>
      </c>
      <c r="M470" t="s">
        <v>26</v>
      </c>
      <c r="N470" t="s">
        <v>3967</v>
      </c>
      <c r="P470">
        <f t="shared" si="7"/>
        <v>0.30000087712373585</v>
      </c>
    </row>
    <row r="471" spans="1:16" x14ac:dyDescent="0.25">
      <c r="A471" t="s">
        <v>1391</v>
      </c>
      <c r="B471" s="1">
        <v>45498</v>
      </c>
      <c r="C471" t="s">
        <v>1392</v>
      </c>
      <c r="D471" t="s">
        <v>91</v>
      </c>
      <c r="E471">
        <v>1190.0999999999999</v>
      </c>
      <c r="F471">
        <v>3</v>
      </c>
      <c r="G471">
        <v>357.03</v>
      </c>
      <c r="H471">
        <v>0.05</v>
      </c>
      <c r="I471" t="s">
        <v>1392</v>
      </c>
      <c r="J471" t="s">
        <v>1259</v>
      </c>
      <c r="K471" t="s">
        <v>24</v>
      </c>
      <c r="L471" t="s">
        <v>774</v>
      </c>
      <c r="M471" t="s">
        <v>33</v>
      </c>
      <c r="N471" t="s">
        <v>3966</v>
      </c>
      <c r="P471">
        <f t="shared" si="7"/>
        <v>0.3</v>
      </c>
    </row>
    <row r="472" spans="1:16" x14ac:dyDescent="0.25">
      <c r="A472" t="s">
        <v>1393</v>
      </c>
      <c r="B472" s="1">
        <v>45157</v>
      </c>
      <c r="C472" t="s">
        <v>1394</v>
      </c>
      <c r="D472" t="s">
        <v>15</v>
      </c>
      <c r="E472">
        <v>5510.17</v>
      </c>
      <c r="F472">
        <v>15</v>
      </c>
      <c r="G472">
        <v>1653.05</v>
      </c>
      <c r="H472">
        <v>0.15</v>
      </c>
      <c r="I472" t="s">
        <v>1394</v>
      </c>
      <c r="J472" t="s">
        <v>1395</v>
      </c>
      <c r="K472" t="s">
        <v>71</v>
      </c>
      <c r="L472" t="s">
        <v>164</v>
      </c>
      <c r="M472" t="s">
        <v>165</v>
      </c>
      <c r="N472" t="s">
        <v>3967</v>
      </c>
      <c r="P472">
        <f t="shared" si="7"/>
        <v>0.29999981851739599</v>
      </c>
    </row>
    <row r="473" spans="1:16" x14ac:dyDescent="0.25">
      <c r="A473" t="s">
        <v>1396</v>
      </c>
      <c r="B473" s="1">
        <v>45243</v>
      </c>
      <c r="C473" t="s">
        <v>1397</v>
      </c>
      <c r="D473" t="s">
        <v>48</v>
      </c>
      <c r="E473">
        <v>6221.71</v>
      </c>
      <c r="F473">
        <v>13</v>
      </c>
      <c r="G473">
        <v>1866.51</v>
      </c>
      <c r="H473">
        <v>0.1</v>
      </c>
      <c r="I473" t="s">
        <v>1397</v>
      </c>
      <c r="J473" t="s">
        <v>1398</v>
      </c>
      <c r="K473" t="s">
        <v>24</v>
      </c>
      <c r="L473" t="s">
        <v>82</v>
      </c>
      <c r="M473" t="s">
        <v>83</v>
      </c>
      <c r="N473" t="s">
        <v>3966</v>
      </c>
      <c r="P473">
        <f t="shared" si="7"/>
        <v>0.29999951781744888</v>
      </c>
    </row>
    <row r="474" spans="1:16" x14ac:dyDescent="0.25">
      <c r="A474" t="s">
        <v>1399</v>
      </c>
      <c r="B474" s="1">
        <v>45545</v>
      </c>
      <c r="C474" t="s">
        <v>1400</v>
      </c>
      <c r="D474" t="s">
        <v>91</v>
      </c>
      <c r="E474">
        <v>5470.93</v>
      </c>
      <c r="F474">
        <v>13</v>
      </c>
      <c r="G474">
        <v>1641.28</v>
      </c>
      <c r="H474">
        <v>0.05</v>
      </c>
      <c r="I474" t="s">
        <v>1400</v>
      </c>
      <c r="J474" t="s">
        <v>1401</v>
      </c>
      <c r="K474" t="s">
        <v>71</v>
      </c>
      <c r="L474" t="s">
        <v>1280</v>
      </c>
      <c r="M474" t="s">
        <v>83</v>
      </c>
      <c r="N474" t="s">
        <v>3966</v>
      </c>
      <c r="P474">
        <f t="shared" si="7"/>
        <v>0.30000018278427981</v>
      </c>
    </row>
    <row r="475" spans="1:16" x14ac:dyDescent="0.25">
      <c r="A475" t="s">
        <v>1402</v>
      </c>
      <c r="B475" s="1">
        <v>45534</v>
      </c>
      <c r="C475" t="s">
        <v>1403</v>
      </c>
      <c r="D475" t="s">
        <v>36</v>
      </c>
      <c r="E475">
        <v>7377.5</v>
      </c>
      <c r="F475">
        <v>13</v>
      </c>
      <c r="G475">
        <v>2213.25</v>
      </c>
      <c r="H475">
        <v>0</v>
      </c>
      <c r="I475" t="s">
        <v>1403</v>
      </c>
      <c r="J475" t="s">
        <v>1404</v>
      </c>
      <c r="K475" t="s">
        <v>38</v>
      </c>
      <c r="L475" t="s">
        <v>82</v>
      </c>
      <c r="M475" t="s">
        <v>83</v>
      </c>
      <c r="N475" t="s">
        <v>3966</v>
      </c>
      <c r="P475">
        <f t="shared" si="7"/>
        <v>0.3</v>
      </c>
    </row>
    <row r="476" spans="1:16" x14ac:dyDescent="0.25">
      <c r="A476" t="s">
        <v>1405</v>
      </c>
      <c r="B476" s="1">
        <v>45606</v>
      </c>
      <c r="C476" t="s">
        <v>1406</v>
      </c>
      <c r="D476" t="s">
        <v>91</v>
      </c>
      <c r="E476">
        <v>7042.8</v>
      </c>
      <c r="F476">
        <v>15</v>
      </c>
      <c r="G476">
        <v>2112.84</v>
      </c>
      <c r="H476">
        <v>0</v>
      </c>
      <c r="I476" t="s">
        <v>1406</v>
      </c>
      <c r="J476" t="s">
        <v>95</v>
      </c>
      <c r="K476" t="s">
        <v>17</v>
      </c>
      <c r="L476" t="s">
        <v>43</v>
      </c>
      <c r="M476" t="s">
        <v>1407</v>
      </c>
      <c r="N476" t="s">
        <v>3966</v>
      </c>
      <c r="P476">
        <f t="shared" si="7"/>
        <v>0.3</v>
      </c>
    </row>
    <row r="477" spans="1:16" x14ac:dyDescent="0.25">
      <c r="A477" t="s">
        <v>1408</v>
      </c>
      <c r="B477" s="1">
        <v>45029</v>
      </c>
      <c r="C477" t="s">
        <v>1409</v>
      </c>
      <c r="D477" t="s">
        <v>41</v>
      </c>
      <c r="E477">
        <v>336.68</v>
      </c>
      <c r="F477">
        <v>1</v>
      </c>
      <c r="G477">
        <v>101</v>
      </c>
      <c r="H477">
        <v>0.15</v>
      </c>
      <c r="I477" t="s">
        <v>1409</v>
      </c>
      <c r="J477" t="s">
        <v>1410</v>
      </c>
      <c r="K477" t="s">
        <v>17</v>
      </c>
      <c r="L477" t="s">
        <v>143</v>
      </c>
      <c r="M477" t="s">
        <v>144</v>
      </c>
      <c r="N477" t="s">
        <v>3966</v>
      </c>
      <c r="P477">
        <f t="shared" si="7"/>
        <v>0.29998811928240465</v>
      </c>
    </row>
    <row r="478" spans="1:16" x14ac:dyDescent="0.25">
      <c r="A478" t="s">
        <v>1411</v>
      </c>
      <c r="B478" s="1">
        <v>45250</v>
      </c>
      <c r="C478" t="s">
        <v>1412</v>
      </c>
      <c r="D478" t="s">
        <v>15</v>
      </c>
      <c r="E478">
        <v>2231.3200000000002</v>
      </c>
      <c r="F478">
        <v>12</v>
      </c>
      <c r="G478">
        <v>669.4</v>
      </c>
      <c r="H478">
        <v>0.05</v>
      </c>
      <c r="I478" t="s">
        <v>1412</v>
      </c>
      <c r="J478" t="s">
        <v>1367</v>
      </c>
      <c r="K478" t="s">
        <v>17</v>
      </c>
      <c r="L478" t="s">
        <v>248</v>
      </c>
      <c r="M478" t="s">
        <v>44</v>
      </c>
      <c r="N478" t="s">
        <v>3966</v>
      </c>
      <c r="P478">
        <f t="shared" si="7"/>
        <v>0.30000179266084648</v>
      </c>
    </row>
    <row r="479" spans="1:16" x14ac:dyDescent="0.25">
      <c r="A479" t="s">
        <v>788</v>
      </c>
      <c r="B479" s="1">
        <v>45761</v>
      </c>
      <c r="C479" t="s">
        <v>789</v>
      </c>
      <c r="D479" t="s">
        <v>41</v>
      </c>
      <c r="E479">
        <v>1752.02</v>
      </c>
      <c r="F479">
        <v>5</v>
      </c>
      <c r="G479">
        <v>525.61</v>
      </c>
      <c r="H479">
        <v>0.15</v>
      </c>
      <c r="I479" t="s">
        <v>789</v>
      </c>
      <c r="J479" t="s">
        <v>1084</v>
      </c>
      <c r="K479" t="s">
        <v>31</v>
      </c>
      <c r="L479" t="s">
        <v>43</v>
      </c>
      <c r="M479" t="s">
        <v>1407</v>
      </c>
      <c r="N479" t="s">
        <v>3967</v>
      </c>
      <c r="P479">
        <f t="shared" si="7"/>
        <v>0.30000228307896032</v>
      </c>
    </row>
    <row r="480" spans="1:16" x14ac:dyDescent="0.25">
      <c r="A480" t="s">
        <v>792</v>
      </c>
      <c r="B480" s="1">
        <v>45749</v>
      </c>
      <c r="C480" t="s">
        <v>789</v>
      </c>
      <c r="D480" t="s">
        <v>15</v>
      </c>
      <c r="E480">
        <v>1102.3599999999999</v>
      </c>
      <c r="F480">
        <v>2</v>
      </c>
      <c r="G480">
        <v>330.71</v>
      </c>
      <c r="H480">
        <v>0.05</v>
      </c>
      <c r="I480" t="s">
        <v>789</v>
      </c>
      <c r="J480" t="s">
        <v>1084</v>
      </c>
      <c r="K480" t="s">
        <v>31</v>
      </c>
      <c r="L480" t="s">
        <v>43</v>
      </c>
      <c r="M480" t="s">
        <v>1407</v>
      </c>
      <c r="N480" t="s">
        <v>3966</v>
      </c>
      <c r="P480">
        <f t="shared" si="7"/>
        <v>0.30000181428934286</v>
      </c>
    </row>
    <row r="481" spans="1:16" x14ac:dyDescent="0.25">
      <c r="A481" t="s">
        <v>598</v>
      </c>
      <c r="B481" s="1">
        <v>44989</v>
      </c>
      <c r="C481" t="s">
        <v>599</v>
      </c>
      <c r="D481" t="s">
        <v>48</v>
      </c>
      <c r="E481">
        <v>5221.9799999999996</v>
      </c>
      <c r="F481">
        <v>11</v>
      </c>
      <c r="G481">
        <v>1566.59</v>
      </c>
      <c r="H481">
        <v>0.15</v>
      </c>
      <c r="I481" t="s">
        <v>599</v>
      </c>
      <c r="J481" t="s">
        <v>1413</v>
      </c>
      <c r="K481" t="s">
        <v>38</v>
      </c>
      <c r="L481" t="s">
        <v>82</v>
      </c>
      <c r="M481" t="s">
        <v>83</v>
      </c>
      <c r="N481" t="s">
        <v>3967</v>
      </c>
      <c r="P481">
        <f t="shared" si="7"/>
        <v>0.29999923400702416</v>
      </c>
    </row>
    <row r="482" spans="1:16" x14ac:dyDescent="0.25">
      <c r="A482" t="s">
        <v>602</v>
      </c>
      <c r="B482" s="1">
        <v>45788</v>
      </c>
      <c r="C482" t="s">
        <v>599</v>
      </c>
      <c r="D482" t="s">
        <v>36</v>
      </c>
      <c r="E482">
        <v>3005.9</v>
      </c>
      <c r="F482">
        <v>15</v>
      </c>
      <c r="G482">
        <v>901.77</v>
      </c>
      <c r="H482">
        <v>0.05</v>
      </c>
      <c r="I482" t="s">
        <v>599</v>
      </c>
      <c r="J482" t="s">
        <v>1413</v>
      </c>
      <c r="K482" t="s">
        <v>38</v>
      </c>
      <c r="L482" t="s">
        <v>82</v>
      </c>
      <c r="M482" t="s">
        <v>83</v>
      </c>
      <c r="N482" t="s">
        <v>3967</v>
      </c>
      <c r="P482">
        <f t="shared" si="7"/>
        <v>0.3</v>
      </c>
    </row>
    <row r="483" spans="1:16" x14ac:dyDescent="0.25">
      <c r="A483" t="s">
        <v>1414</v>
      </c>
      <c r="B483" s="1">
        <v>45286</v>
      </c>
      <c r="C483" t="s">
        <v>1415</v>
      </c>
      <c r="D483" t="s">
        <v>48</v>
      </c>
      <c r="E483">
        <v>934.15</v>
      </c>
      <c r="F483">
        <v>7</v>
      </c>
      <c r="G483">
        <v>280.25</v>
      </c>
      <c r="H483">
        <v>0.15</v>
      </c>
      <c r="I483" t="s">
        <v>1415</v>
      </c>
      <c r="J483" t="s">
        <v>54</v>
      </c>
      <c r="K483" t="s">
        <v>31</v>
      </c>
      <c r="L483" t="s">
        <v>143</v>
      </c>
      <c r="M483" t="s">
        <v>144</v>
      </c>
      <c r="N483" t="s">
        <v>3966</v>
      </c>
      <c r="P483">
        <f t="shared" si="7"/>
        <v>0.30000535245945514</v>
      </c>
    </row>
    <row r="484" spans="1:16" x14ac:dyDescent="0.25">
      <c r="A484" t="s">
        <v>1416</v>
      </c>
      <c r="B484" s="1">
        <v>45612</v>
      </c>
      <c r="C484" t="s">
        <v>1415</v>
      </c>
      <c r="D484" t="s">
        <v>15</v>
      </c>
      <c r="E484">
        <v>596.16</v>
      </c>
      <c r="F484">
        <v>4</v>
      </c>
      <c r="G484">
        <v>178.85</v>
      </c>
      <c r="H484">
        <v>0.15</v>
      </c>
      <c r="I484" t="s">
        <v>1415</v>
      </c>
      <c r="J484" t="s">
        <v>54</v>
      </c>
      <c r="K484" t="s">
        <v>31</v>
      </c>
      <c r="L484" t="s">
        <v>143</v>
      </c>
      <c r="M484" t="s">
        <v>144</v>
      </c>
      <c r="N484" t="s">
        <v>3966</v>
      </c>
      <c r="P484">
        <f t="shared" si="7"/>
        <v>0.30000335480407947</v>
      </c>
    </row>
    <row r="485" spans="1:16" x14ac:dyDescent="0.25">
      <c r="A485" t="s">
        <v>1417</v>
      </c>
      <c r="B485" s="1">
        <v>45437</v>
      </c>
      <c r="C485" t="s">
        <v>1418</v>
      </c>
      <c r="D485" t="s">
        <v>15</v>
      </c>
      <c r="E485">
        <v>9095.8700000000008</v>
      </c>
      <c r="F485">
        <v>19</v>
      </c>
      <c r="G485">
        <v>2728.76</v>
      </c>
      <c r="H485">
        <v>0</v>
      </c>
      <c r="I485" t="s">
        <v>1418</v>
      </c>
      <c r="J485" t="s">
        <v>269</v>
      </c>
      <c r="K485" t="s">
        <v>24</v>
      </c>
      <c r="L485" t="s">
        <v>164</v>
      </c>
      <c r="M485" t="s">
        <v>165</v>
      </c>
      <c r="N485" t="s">
        <v>3966</v>
      </c>
      <c r="P485">
        <f t="shared" si="7"/>
        <v>0.29999989005999428</v>
      </c>
    </row>
    <row r="486" spans="1:16" x14ac:dyDescent="0.25">
      <c r="A486" t="s">
        <v>1419</v>
      </c>
      <c r="B486" s="1">
        <v>45028</v>
      </c>
      <c r="C486" t="s">
        <v>1420</v>
      </c>
      <c r="D486" t="s">
        <v>29</v>
      </c>
      <c r="E486">
        <v>1552.87</v>
      </c>
      <c r="F486">
        <v>5</v>
      </c>
      <c r="G486">
        <v>465.86</v>
      </c>
      <c r="H486">
        <v>0.15</v>
      </c>
      <c r="I486" t="s">
        <v>1420</v>
      </c>
      <c r="J486" t="s">
        <v>239</v>
      </c>
      <c r="K486" t="s">
        <v>17</v>
      </c>
      <c r="L486" t="s">
        <v>72</v>
      </c>
      <c r="M486" t="s">
        <v>26</v>
      </c>
      <c r="N486" t="s">
        <v>3968</v>
      </c>
      <c r="P486">
        <f t="shared" si="7"/>
        <v>0.29999935603109085</v>
      </c>
    </row>
    <row r="487" spans="1:16" x14ac:dyDescent="0.25">
      <c r="A487" t="s">
        <v>1421</v>
      </c>
      <c r="B487" s="1">
        <v>44992</v>
      </c>
      <c r="C487" t="s">
        <v>1422</v>
      </c>
      <c r="D487" t="s">
        <v>29</v>
      </c>
      <c r="E487">
        <v>3377.31</v>
      </c>
      <c r="F487">
        <v>10</v>
      </c>
      <c r="G487">
        <v>1013.19</v>
      </c>
      <c r="H487">
        <v>0.15</v>
      </c>
      <c r="I487" t="s">
        <v>1422</v>
      </c>
      <c r="J487" t="s">
        <v>1423</v>
      </c>
      <c r="K487" t="s">
        <v>24</v>
      </c>
      <c r="L487" t="s">
        <v>459</v>
      </c>
      <c r="M487" t="s">
        <v>129</v>
      </c>
      <c r="N487" t="s">
        <v>3968</v>
      </c>
      <c r="P487">
        <f t="shared" si="7"/>
        <v>0.29999911171909005</v>
      </c>
    </row>
    <row r="488" spans="1:16" x14ac:dyDescent="0.25">
      <c r="A488" t="s">
        <v>1424</v>
      </c>
      <c r="B488" s="1">
        <v>45296</v>
      </c>
      <c r="C488" t="s">
        <v>1425</v>
      </c>
      <c r="D488" t="s">
        <v>36</v>
      </c>
      <c r="E488">
        <v>3687.45</v>
      </c>
      <c r="F488">
        <v>17</v>
      </c>
      <c r="G488">
        <v>1106.24</v>
      </c>
      <c r="H488">
        <v>0.1</v>
      </c>
      <c r="I488" t="s">
        <v>1425</v>
      </c>
      <c r="J488" t="s">
        <v>1426</v>
      </c>
      <c r="K488" t="s">
        <v>38</v>
      </c>
      <c r="L488" t="s">
        <v>206</v>
      </c>
      <c r="M488" t="s">
        <v>144</v>
      </c>
      <c r="N488" t="s">
        <v>3968</v>
      </c>
      <c r="P488">
        <f t="shared" si="7"/>
        <v>0.30000135595058919</v>
      </c>
    </row>
    <row r="489" spans="1:16" x14ac:dyDescent="0.25">
      <c r="A489" t="s">
        <v>1427</v>
      </c>
      <c r="B489" s="1">
        <v>45596</v>
      </c>
      <c r="C489" t="s">
        <v>1428</v>
      </c>
      <c r="D489" t="s">
        <v>29</v>
      </c>
      <c r="E489">
        <v>1397.4</v>
      </c>
      <c r="F489">
        <v>17</v>
      </c>
      <c r="G489">
        <v>419.22</v>
      </c>
      <c r="H489">
        <v>0</v>
      </c>
      <c r="I489" t="s">
        <v>1428</v>
      </c>
      <c r="J489" t="s">
        <v>1429</v>
      </c>
      <c r="K489" t="s">
        <v>71</v>
      </c>
      <c r="L489" t="s">
        <v>25</v>
      </c>
      <c r="M489" t="s">
        <v>26</v>
      </c>
      <c r="N489" t="s">
        <v>3966</v>
      </c>
      <c r="P489">
        <f t="shared" si="7"/>
        <v>0.3</v>
      </c>
    </row>
    <row r="490" spans="1:16" x14ac:dyDescent="0.25">
      <c r="A490" t="s">
        <v>1430</v>
      </c>
      <c r="B490" s="1">
        <v>45420</v>
      </c>
      <c r="C490" t="s">
        <v>1431</v>
      </c>
      <c r="D490" t="s">
        <v>48</v>
      </c>
      <c r="E490">
        <v>2459.09</v>
      </c>
      <c r="F490">
        <v>16</v>
      </c>
      <c r="G490">
        <v>737.73</v>
      </c>
      <c r="H490">
        <v>0.1</v>
      </c>
      <c r="I490" t="s">
        <v>1431</v>
      </c>
      <c r="J490" t="s">
        <v>961</v>
      </c>
      <c r="K490" t="s">
        <v>71</v>
      </c>
      <c r="L490" t="s">
        <v>488</v>
      </c>
      <c r="M490" t="s">
        <v>26</v>
      </c>
      <c r="N490" t="s">
        <v>3968</v>
      </c>
      <c r="P490">
        <f t="shared" si="7"/>
        <v>0.30000121996348239</v>
      </c>
    </row>
    <row r="491" spans="1:16" x14ac:dyDescent="0.25">
      <c r="A491" t="s">
        <v>1432</v>
      </c>
      <c r="B491" s="1">
        <v>45561</v>
      </c>
      <c r="C491" t="s">
        <v>1433</v>
      </c>
      <c r="D491" t="s">
        <v>29</v>
      </c>
      <c r="E491">
        <v>1507.83</v>
      </c>
      <c r="F491">
        <v>11</v>
      </c>
      <c r="G491">
        <v>452.35</v>
      </c>
      <c r="H491">
        <v>0.05</v>
      </c>
      <c r="I491" t="s">
        <v>1433</v>
      </c>
      <c r="J491" t="s">
        <v>1434</v>
      </c>
      <c r="K491" t="s">
        <v>38</v>
      </c>
      <c r="L491" t="s">
        <v>200</v>
      </c>
      <c r="M491" t="s">
        <v>1435</v>
      </c>
      <c r="N491" t="s">
        <v>3968</v>
      </c>
      <c r="P491">
        <f t="shared" si="7"/>
        <v>0.30000066320473795</v>
      </c>
    </row>
    <row r="492" spans="1:16" x14ac:dyDescent="0.25">
      <c r="A492" t="s">
        <v>1436</v>
      </c>
      <c r="B492" s="1">
        <v>45356</v>
      </c>
      <c r="C492" t="s">
        <v>1433</v>
      </c>
      <c r="D492" t="s">
        <v>48</v>
      </c>
      <c r="E492">
        <v>6.97</v>
      </c>
      <c r="F492">
        <v>1</v>
      </c>
      <c r="G492">
        <v>2.09</v>
      </c>
      <c r="H492">
        <v>0.15</v>
      </c>
      <c r="I492" t="s">
        <v>1433</v>
      </c>
      <c r="J492" t="s">
        <v>1434</v>
      </c>
      <c r="K492" t="s">
        <v>38</v>
      </c>
      <c r="L492" t="s">
        <v>200</v>
      </c>
      <c r="M492" t="s">
        <v>1435</v>
      </c>
      <c r="N492" t="s">
        <v>3968</v>
      </c>
      <c r="P492">
        <f t="shared" si="7"/>
        <v>0.29985652797704448</v>
      </c>
    </row>
    <row r="493" spans="1:16" x14ac:dyDescent="0.25">
      <c r="A493" t="s">
        <v>1437</v>
      </c>
      <c r="B493" s="1">
        <v>44980</v>
      </c>
      <c r="C493" t="s">
        <v>1438</v>
      </c>
      <c r="D493" t="s">
        <v>41</v>
      </c>
      <c r="E493">
        <v>8145.28</v>
      </c>
      <c r="F493">
        <v>16</v>
      </c>
      <c r="G493">
        <v>2443.58</v>
      </c>
      <c r="H493">
        <v>0</v>
      </c>
      <c r="I493" t="s">
        <v>1438</v>
      </c>
      <c r="J493" t="s">
        <v>1371</v>
      </c>
      <c r="K493" t="s">
        <v>31</v>
      </c>
      <c r="L493" t="s">
        <v>72</v>
      </c>
      <c r="M493" t="s">
        <v>26</v>
      </c>
      <c r="N493" t="s">
        <v>3966</v>
      </c>
      <c r="P493">
        <f t="shared" si="7"/>
        <v>0.29999950891804822</v>
      </c>
    </row>
    <row r="494" spans="1:16" x14ac:dyDescent="0.25">
      <c r="A494" t="s">
        <v>1439</v>
      </c>
      <c r="B494" s="1">
        <v>45125</v>
      </c>
      <c r="C494" t="s">
        <v>1438</v>
      </c>
      <c r="D494" t="s">
        <v>15</v>
      </c>
      <c r="E494">
        <v>4598.42</v>
      </c>
      <c r="F494">
        <v>12</v>
      </c>
      <c r="G494">
        <v>1379.53</v>
      </c>
      <c r="H494">
        <v>0.1</v>
      </c>
      <c r="I494" t="s">
        <v>1438</v>
      </c>
      <c r="J494" t="s">
        <v>1371</v>
      </c>
      <c r="K494" t="s">
        <v>31</v>
      </c>
      <c r="L494" t="s">
        <v>72</v>
      </c>
      <c r="M494" t="s">
        <v>26</v>
      </c>
      <c r="N494" t="s">
        <v>3966</v>
      </c>
      <c r="P494">
        <f t="shared" si="7"/>
        <v>0.30000086986399677</v>
      </c>
    </row>
    <row r="495" spans="1:16" x14ac:dyDescent="0.25">
      <c r="A495" t="s">
        <v>1440</v>
      </c>
      <c r="B495" s="1">
        <v>45143</v>
      </c>
      <c r="C495" t="s">
        <v>1441</v>
      </c>
      <c r="D495" t="s">
        <v>41</v>
      </c>
      <c r="E495">
        <v>2180.52</v>
      </c>
      <c r="F495">
        <v>20</v>
      </c>
      <c r="G495">
        <v>654.16</v>
      </c>
      <c r="H495">
        <v>0.1</v>
      </c>
      <c r="I495" t="s">
        <v>1441</v>
      </c>
      <c r="J495" t="s">
        <v>828</v>
      </c>
      <c r="K495" t="s">
        <v>24</v>
      </c>
      <c r="L495" t="s">
        <v>761</v>
      </c>
      <c r="M495" t="s">
        <v>144</v>
      </c>
      <c r="N495" t="s">
        <v>3966</v>
      </c>
      <c r="P495">
        <f t="shared" si="7"/>
        <v>0.30000183442481609</v>
      </c>
    </row>
    <row r="496" spans="1:16" x14ac:dyDescent="0.25">
      <c r="A496" t="s">
        <v>1442</v>
      </c>
      <c r="B496" s="1">
        <v>45187</v>
      </c>
      <c r="C496" t="s">
        <v>1443</v>
      </c>
      <c r="D496" t="s">
        <v>91</v>
      </c>
      <c r="E496">
        <v>8514.4699999999993</v>
      </c>
      <c r="F496">
        <v>19</v>
      </c>
      <c r="G496">
        <v>2554.34</v>
      </c>
      <c r="H496">
        <v>0</v>
      </c>
      <c r="I496" t="s">
        <v>1443</v>
      </c>
      <c r="J496" t="s">
        <v>1172</v>
      </c>
      <c r="K496" t="s">
        <v>71</v>
      </c>
      <c r="L496" t="s">
        <v>459</v>
      </c>
      <c r="M496" t="s">
        <v>129</v>
      </c>
      <c r="N496" t="s">
        <v>3966</v>
      </c>
      <c r="P496">
        <f t="shared" si="7"/>
        <v>0.29999988255287768</v>
      </c>
    </row>
    <row r="497" spans="1:16" x14ac:dyDescent="0.25">
      <c r="A497" t="s">
        <v>1444</v>
      </c>
      <c r="B497" s="1">
        <v>45012</v>
      </c>
      <c r="C497" t="s">
        <v>1445</v>
      </c>
      <c r="D497" t="s">
        <v>15</v>
      </c>
      <c r="E497">
        <v>56.23</v>
      </c>
      <c r="F497">
        <v>8</v>
      </c>
      <c r="G497">
        <v>16.87</v>
      </c>
      <c r="H497">
        <v>0.1</v>
      </c>
      <c r="I497" t="s">
        <v>1445</v>
      </c>
      <c r="J497" t="s">
        <v>1446</v>
      </c>
      <c r="K497" t="s">
        <v>24</v>
      </c>
      <c r="L497" t="s">
        <v>72</v>
      </c>
      <c r="M497" t="s">
        <v>26</v>
      </c>
      <c r="N497" t="s">
        <v>3966</v>
      </c>
      <c r="P497">
        <f t="shared" si="7"/>
        <v>0.30001778410101371</v>
      </c>
    </row>
    <row r="498" spans="1:16" x14ac:dyDescent="0.25">
      <c r="A498" t="s">
        <v>1447</v>
      </c>
      <c r="B498" s="1">
        <v>45596</v>
      </c>
      <c r="C498" t="s">
        <v>1448</v>
      </c>
      <c r="D498" t="s">
        <v>91</v>
      </c>
      <c r="E498">
        <v>1836.62</v>
      </c>
      <c r="F498">
        <v>16</v>
      </c>
      <c r="G498">
        <v>550.98</v>
      </c>
      <c r="H498">
        <v>0.05</v>
      </c>
      <c r="I498" t="s">
        <v>1448</v>
      </c>
      <c r="J498" t="s">
        <v>1449</v>
      </c>
      <c r="K498" t="s">
        <v>17</v>
      </c>
      <c r="L498" t="s">
        <v>99</v>
      </c>
      <c r="M498" t="s">
        <v>56</v>
      </c>
      <c r="N498" t="s">
        <v>3966</v>
      </c>
      <c r="P498">
        <f t="shared" si="7"/>
        <v>0.29999673312933545</v>
      </c>
    </row>
    <row r="499" spans="1:16" x14ac:dyDescent="0.25">
      <c r="A499" t="s">
        <v>1450</v>
      </c>
      <c r="B499" s="1">
        <v>44993</v>
      </c>
      <c r="C499" t="s">
        <v>1448</v>
      </c>
      <c r="D499" t="s">
        <v>36</v>
      </c>
      <c r="E499">
        <v>3091.76</v>
      </c>
      <c r="F499">
        <v>19</v>
      </c>
      <c r="G499">
        <v>927.53</v>
      </c>
      <c r="H499">
        <v>0.15</v>
      </c>
      <c r="I499" t="s">
        <v>1448</v>
      </c>
      <c r="J499" t="s">
        <v>1449</v>
      </c>
      <c r="K499" t="s">
        <v>17</v>
      </c>
      <c r="L499" t="s">
        <v>99</v>
      </c>
      <c r="M499" t="s">
        <v>56</v>
      </c>
      <c r="N499" t="s">
        <v>3966</v>
      </c>
      <c r="P499">
        <f t="shared" si="7"/>
        <v>0.30000064688074102</v>
      </c>
    </row>
    <row r="500" spans="1:16" x14ac:dyDescent="0.25">
      <c r="A500" t="s">
        <v>1451</v>
      </c>
      <c r="B500" s="1">
        <v>45414</v>
      </c>
      <c r="C500" t="s">
        <v>1452</v>
      </c>
      <c r="D500" t="s">
        <v>29</v>
      </c>
      <c r="E500">
        <v>1042.0999999999999</v>
      </c>
      <c r="F500">
        <v>5</v>
      </c>
      <c r="G500">
        <v>312.63</v>
      </c>
      <c r="H500">
        <v>0.15</v>
      </c>
      <c r="I500" t="s">
        <v>1452</v>
      </c>
      <c r="J500" t="s">
        <v>1453</v>
      </c>
      <c r="K500" t="s">
        <v>71</v>
      </c>
      <c r="L500" t="s">
        <v>459</v>
      </c>
      <c r="M500" t="s">
        <v>129</v>
      </c>
      <c r="N500" t="s">
        <v>3966</v>
      </c>
      <c r="P500">
        <f t="shared" si="7"/>
        <v>0.30000000000000004</v>
      </c>
    </row>
    <row r="501" spans="1:16" x14ac:dyDescent="0.25">
      <c r="A501" t="s">
        <v>1454</v>
      </c>
      <c r="B501" s="1">
        <v>45185</v>
      </c>
      <c r="C501" t="s">
        <v>1455</v>
      </c>
      <c r="D501" t="s">
        <v>29</v>
      </c>
      <c r="E501">
        <v>2360.6999999999998</v>
      </c>
      <c r="F501">
        <v>17</v>
      </c>
      <c r="G501">
        <v>708.21</v>
      </c>
      <c r="H501">
        <v>0.15</v>
      </c>
      <c r="I501" t="s">
        <v>1455</v>
      </c>
      <c r="J501" t="s">
        <v>1456</v>
      </c>
      <c r="K501" t="s">
        <v>31</v>
      </c>
      <c r="L501" t="s">
        <v>791</v>
      </c>
      <c r="M501" t="s">
        <v>144</v>
      </c>
      <c r="N501" t="s">
        <v>3966</v>
      </c>
      <c r="P501">
        <f t="shared" si="7"/>
        <v>0.30000000000000004</v>
      </c>
    </row>
    <row r="502" spans="1:16" x14ac:dyDescent="0.25">
      <c r="A502" t="s">
        <v>1457</v>
      </c>
      <c r="B502" s="1">
        <v>45090</v>
      </c>
      <c r="C502" t="s">
        <v>1458</v>
      </c>
      <c r="D502" t="s">
        <v>91</v>
      </c>
      <c r="E502">
        <v>8175.44</v>
      </c>
      <c r="F502">
        <v>14</v>
      </c>
      <c r="G502">
        <v>2452.63</v>
      </c>
      <c r="H502">
        <v>0</v>
      </c>
      <c r="I502" t="s">
        <v>1458</v>
      </c>
      <c r="J502" t="s">
        <v>1459</v>
      </c>
      <c r="K502" t="s">
        <v>24</v>
      </c>
      <c r="L502" t="s">
        <v>164</v>
      </c>
      <c r="M502" t="s">
        <v>266</v>
      </c>
      <c r="N502" t="s">
        <v>3967</v>
      </c>
      <c r="P502">
        <f t="shared" si="7"/>
        <v>0.29999975536484891</v>
      </c>
    </row>
    <row r="503" spans="1:16" x14ac:dyDescent="0.25">
      <c r="A503" t="s">
        <v>1460</v>
      </c>
      <c r="B503" s="1">
        <v>45235</v>
      </c>
      <c r="C503" t="s">
        <v>1461</v>
      </c>
      <c r="D503" t="s">
        <v>29</v>
      </c>
      <c r="E503">
        <v>2607.5500000000002</v>
      </c>
      <c r="F503">
        <v>16</v>
      </c>
      <c r="G503">
        <v>782.27</v>
      </c>
      <c r="H503">
        <v>0.1</v>
      </c>
      <c r="I503" t="s">
        <v>1461</v>
      </c>
      <c r="J503" t="s">
        <v>630</v>
      </c>
      <c r="K503" t="s">
        <v>31</v>
      </c>
      <c r="L503" t="s">
        <v>1462</v>
      </c>
      <c r="M503" t="s">
        <v>56</v>
      </c>
      <c r="N503" t="s">
        <v>3967</v>
      </c>
      <c r="P503">
        <f t="shared" si="7"/>
        <v>0.30000191750877259</v>
      </c>
    </row>
    <row r="504" spans="1:16" x14ac:dyDescent="0.25">
      <c r="A504" t="s">
        <v>1463</v>
      </c>
      <c r="B504" s="1">
        <v>45619</v>
      </c>
      <c r="C504" t="s">
        <v>1464</v>
      </c>
      <c r="D504" t="s">
        <v>91</v>
      </c>
      <c r="E504">
        <v>3319.52</v>
      </c>
      <c r="F504">
        <v>8</v>
      </c>
      <c r="G504">
        <v>995.86</v>
      </c>
      <c r="H504">
        <v>0</v>
      </c>
      <c r="I504" t="s">
        <v>1464</v>
      </c>
      <c r="J504" t="s">
        <v>336</v>
      </c>
      <c r="K504" t="s">
        <v>24</v>
      </c>
      <c r="L504" t="s">
        <v>155</v>
      </c>
      <c r="M504" t="s">
        <v>111</v>
      </c>
      <c r="N504" t="s">
        <v>3967</v>
      </c>
      <c r="P504">
        <f t="shared" si="7"/>
        <v>0.30000120499349303</v>
      </c>
    </row>
    <row r="505" spans="1:16" x14ac:dyDescent="0.25">
      <c r="A505" t="s">
        <v>1465</v>
      </c>
      <c r="B505" s="1">
        <v>45331</v>
      </c>
      <c r="C505" t="s">
        <v>1466</v>
      </c>
      <c r="D505" t="s">
        <v>22</v>
      </c>
      <c r="E505">
        <v>7075.52</v>
      </c>
      <c r="F505">
        <v>16</v>
      </c>
      <c r="G505">
        <v>2122.66</v>
      </c>
      <c r="H505">
        <v>0</v>
      </c>
      <c r="I505" t="s">
        <v>1466</v>
      </c>
      <c r="J505" t="s">
        <v>426</v>
      </c>
      <c r="K505" t="s">
        <v>38</v>
      </c>
      <c r="L505" t="s">
        <v>25</v>
      </c>
      <c r="M505" t="s">
        <v>26</v>
      </c>
      <c r="N505" t="s">
        <v>3967</v>
      </c>
      <c r="P505">
        <f t="shared" si="7"/>
        <v>0.300000565329474</v>
      </c>
    </row>
    <row r="506" spans="1:16" x14ac:dyDescent="0.25">
      <c r="A506" t="s">
        <v>1467</v>
      </c>
      <c r="B506" s="1">
        <v>45246</v>
      </c>
      <c r="C506" t="s">
        <v>1468</v>
      </c>
      <c r="D506" t="s">
        <v>41</v>
      </c>
      <c r="E506">
        <v>7501.91</v>
      </c>
      <c r="F506">
        <v>14</v>
      </c>
      <c r="G506">
        <v>2250.5700000000002</v>
      </c>
      <c r="H506">
        <v>0.1</v>
      </c>
      <c r="I506" t="s">
        <v>1468</v>
      </c>
      <c r="J506" t="s">
        <v>127</v>
      </c>
      <c r="K506" t="s">
        <v>38</v>
      </c>
      <c r="L506" t="s">
        <v>143</v>
      </c>
      <c r="M506" t="s">
        <v>144</v>
      </c>
      <c r="N506" t="s">
        <v>3967</v>
      </c>
      <c r="P506">
        <f t="shared" si="7"/>
        <v>0.29999960010184074</v>
      </c>
    </row>
    <row r="507" spans="1:16" x14ac:dyDescent="0.25">
      <c r="A507" t="s">
        <v>1469</v>
      </c>
      <c r="B507" s="1">
        <v>45681</v>
      </c>
      <c r="C507" t="s">
        <v>1470</v>
      </c>
      <c r="D507" t="s">
        <v>48</v>
      </c>
      <c r="E507">
        <v>894.03</v>
      </c>
      <c r="F507">
        <v>6</v>
      </c>
      <c r="G507">
        <v>268.20999999999998</v>
      </c>
      <c r="H507">
        <v>0.15</v>
      </c>
      <c r="I507" t="s">
        <v>1470</v>
      </c>
      <c r="J507" t="s">
        <v>1471</v>
      </c>
      <c r="K507" t="s">
        <v>38</v>
      </c>
      <c r="L507" t="s">
        <v>171</v>
      </c>
      <c r="M507" t="s">
        <v>129</v>
      </c>
      <c r="N507" t="s">
        <v>3967</v>
      </c>
      <c r="P507">
        <f t="shared" si="7"/>
        <v>0.30000111853069805</v>
      </c>
    </row>
    <row r="508" spans="1:16" x14ac:dyDescent="0.25">
      <c r="A508" t="s">
        <v>1472</v>
      </c>
      <c r="B508" s="1">
        <v>45783</v>
      </c>
      <c r="C508" t="s">
        <v>1473</v>
      </c>
      <c r="D508" t="s">
        <v>91</v>
      </c>
      <c r="E508">
        <v>1901.56</v>
      </c>
      <c r="F508">
        <v>7</v>
      </c>
      <c r="G508">
        <v>570.47</v>
      </c>
      <c r="H508">
        <v>0.15</v>
      </c>
      <c r="I508" t="s">
        <v>1473</v>
      </c>
      <c r="J508" t="s">
        <v>1474</v>
      </c>
      <c r="K508" t="s">
        <v>38</v>
      </c>
      <c r="L508" t="s">
        <v>1475</v>
      </c>
      <c r="M508" t="s">
        <v>389</v>
      </c>
      <c r="N508" t="s">
        <v>3966</v>
      </c>
      <c r="P508">
        <f t="shared" si="7"/>
        <v>0.30000105176802205</v>
      </c>
    </row>
    <row r="509" spans="1:16" x14ac:dyDescent="0.25">
      <c r="A509" t="s">
        <v>1476</v>
      </c>
      <c r="B509" s="1">
        <v>45794</v>
      </c>
      <c r="C509" t="s">
        <v>1477</v>
      </c>
      <c r="D509" t="s">
        <v>41</v>
      </c>
      <c r="E509">
        <v>6461.83</v>
      </c>
      <c r="F509">
        <v>15</v>
      </c>
      <c r="G509">
        <v>1938.55</v>
      </c>
      <c r="H509">
        <v>0.15</v>
      </c>
      <c r="I509" t="s">
        <v>1477</v>
      </c>
      <c r="J509" t="s">
        <v>1358</v>
      </c>
      <c r="K509" t="s">
        <v>17</v>
      </c>
      <c r="L509" t="s">
        <v>1329</v>
      </c>
      <c r="M509" t="s">
        <v>61</v>
      </c>
      <c r="N509" t="s">
        <v>3966</v>
      </c>
      <c r="P509">
        <f t="shared" si="7"/>
        <v>0.30000015475492237</v>
      </c>
    </row>
    <row r="510" spans="1:16" x14ac:dyDescent="0.25">
      <c r="A510" t="s">
        <v>1478</v>
      </c>
      <c r="B510" s="1">
        <v>45259</v>
      </c>
      <c r="C510" t="s">
        <v>1479</v>
      </c>
      <c r="D510" t="s">
        <v>15</v>
      </c>
      <c r="E510">
        <v>8689.99</v>
      </c>
      <c r="F510">
        <v>17</v>
      </c>
      <c r="G510">
        <v>2607</v>
      </c>
      <c r="H510">
        <v>0.05</v>
      </c>
      <c r="I510" t="s">
        <v>1479</v>
      </c>
      <c r="J510" t="s">
        <v>554</v>
      </c>
      <c r="K510" t="s">
        <v>38</v>
      </c>
      <c r="L510" t="s">
        <v>361</v>
      </c>
      <c r="M510" t="s">
        <v>56</v>
      </c>
      <c r="N510" t="s">
        <v>3966</v>
      </c>
      <c r="P510">
        <f t="shared" si="7"/>
        <v>0.30000034522479313</v>
      </c>
    </row>
    <row r="511" spans="1:16" x14ac:dyDescent="0.25">
      <c r="A511" t="s">
        <v>1480</v>
      </c>
      <c r="B511" s="1">
        <v>44981</v>
      </c>
      <c r="C511" t="s">
        <v>1481</v>
      </c>
      <c r="D511" t="s">
        <v>36</v>
      </c>
      <c r="E511">
        <v>3005.44</v>
      </c>
      <c r="F511">
        <v>16</v>
      </c>
      <c r="G511">
        <v>901.63</v>
      </c>
      <c r="H511">
        <v>0</v>
      </c>
      <c r="I511" t="s">
        <v>1481</v>
      </c>
      <c r="J511" t="s">
        <v>1482</v>
      </c>
      <c r="K511" t="s">
        <v>24</v>
      </c>
      <c r="L511" t="s">
        <v>427</v>
      </c>
      <c r="M511" t="s">
        <v>56</v>
      </c>
      <c r="N511" t="s">
        <v>3966</v>
      </c>
      <c r="P511">
        <f t="shared" si="7"/>
        <v>0.29999933454003408</v>
      </c>
    </row>
    <row r="512" spans="1:16" x14ac:dyDescent="0.25">
      <c r="A512" t="s">
        <v>1483</v>
      </c>
      <c r="B512" s="1">
        <v>45234</v>
      </c>
      <c r="C512" t="s">
        <v>1484</v>
      </c>
      <c r="D512" t="s">
        <v>15</v>
      </c>
      <c r="E512">
        <v>6522.39</v>
      </c>
      <c r="F512">
        <v>18</v>
      </c>
      <c r="G512">
        <v>1956.72</v>
      </c>
      <c r="H512">
        <v>0.15</v>
      </c>
      <c r="I512" t="s">
        <v>1484</v>
      </c>
      <c r="J512" t="s">
        <v>507</v>
      </c>
      <c r="K512" t="s">
        <v>24</v>
      </c>
      <c r="L512" t="s">
        <v>1485</v>
      </c>
      <c r="M512" t="s">
        <v>165</v>
      </c>
      <c r="N512" t="s">
        <v>3966</v>
      </c>
      <c r="P512">
        <f t="shared" si="7"/>
        <v>0.30000045995409658</v>
      </c>
    </row>
    <row r="513" spans="1:16" x14ac:dyDescent="0.25">
      <c r="A513" t="s">
        <v>1486</v>
      </c>
      <c r="B513" s="1">
        <v>45458</v>
      </c>
      <c r="C513" t="s">
        <v>1487</v>
      </c>
      <c r="D513" t="s">
        <v>29</v>
      </c>
      <c r="E513">
        <v>448.52</v>
      </c>
      <c r="F513">
        <v>1</v>
      </c>
      <c r="G513">
        <v>134.55000000000001</v>
      </c>
      <c r="H513">
        <v>0.1</v>
      </c>
      <c r="I513" t="s">
        <v>1487</v>
      </c>
      <c r="J513" t="s">
        <v>1488</v>
      </c>
      <c r="K513" t="s">
        <v>17</v>
      </c>
      <c r="L513" t="s">
        <v>143</v>
      </c>
      <c r="M513" t="s">
        <v>144</v>
      </c>
      <c r="N513" t="s">
        <v>3966</v>
      </c>
      <c r="P513">
        <f t="shared" si="7"/>
        <v>0.29998662267011506</v>
      </c>
    </row>
    <row r="514" spans="1:16" x14ac:dyDescent="0.25">
      <c r="A514" t="s">
        <v>1489</v>
      </c>
      <c r="B514" s="1">
        <v>45567</v>
      </c>
      <c r="C514" t="s">
        <v>1490</v>
      </c>
      <c r="D514" t="s">
        <v>91</v>
      </c>
      <c r="E514">
        <v>6962.25</v>
      </c>
      <c r="F514">
        <v>19</v>
      </c>
      <c r="G514">
        <v>2088.67</v>
      </c>
      <c r="H514">
        <v>0.05</v>
      </c>
      <c r="I514" t="s">
        <v>1490</v>
      </c>
      <c r="J514" t="s">
        <v>1491</v>
      </c>
      <c r="K514" t="s">
        <v>31</v>
      </c>
      <c r="L514" t="s">
        <v>143</v>
      </c>
      <c r="M514" t="s">
        <v>144</v>
      </c>
      <c r="N514" t="s">
        <v>3966</v>
      </c>
      <c r="P514">
        <f t="shared" si="7"/>
        <v>0.29999928184135877</v>
      </c>
    </row>
    <row r="515" spans="1:16" x14ac:dyDescent="0.25">
      <c r="A515" t="s">
        <v>1492</v>
      </c>
      <c r="B515" s="1">
        <v>45080</v>
      </c>
      <c r="C515" t="s">
        <v>1493</v>
      </c>
      <c r="D515" t="s">
        <v>91</v>
      </c>
      <c r="E515">
        <v>146.80000000000001</v>
      </c>
      <c r="F515">
        <v>3</v>
      </c>
      <c r="G515">
        <v>44.04</v>
      </c>
      <c r="H515">
        <v>0.1</v>
      </c>
      <c r="I515" t="s">
        <v>1493</v>
      </c>
      <c r="J515" t="s">
        <v>1494</v>
      </c>
      <c r="K515" t="s">
        <v>71</v>
      </c>
      <c r="L515" t="s">
        <v>82</v>
      </c>
      <c r="M515" t="s">
        <v>83</v>
      </c>
      <c r="N515" t="s">
        <v>3966</v>
      </c>
      <c r="P515">
        <f t="shared" ref="P515:P578" si="8">G515/E515</f>
        <v>0.3</v>
      </c>
    </row>
    <row r="516" spans="1:16" x14ac:dyDescent="0.25">
      <c r="A516" t="s">
        <v>1495</v>
      </c>
      <c r="B516" s="1">
        <v>45179</v>
      </c>
      <c r="C516" t="s">
        <v>1496</v>
      </c>
      <c r="D516" t="s">
        <v>22</v>
      </c>
      <c r="E516">
        <v>2405.87</v>
      </c>
      <c r="F516">
        <v>6</v>
      </c>
      <c r="G516">
        <v>721.76</v>
      </c>
      <c r="H516">
        <v>0.15</v>
      </c>
      <c r="I516" t="s">
        <v>1496</v>
      </c>
      <c r="J516" t="s">
        <v>1497</v>
      </c>
      <c r="K516" t="s">
        <v>17</v>
      </c>
      <c r="L516" t="s">
        <v>164</v>
      </c>
      <c r="M516" t="s">
        <v>165</v>
      </c>
      <c r="N516" t="s">
        <v>3966</v>
      </c>
      <c r="P516">
        <f t="shared" si="8"/>
        <v>0.29999958434994412</v>
      </c>
    </row>
    <row r="517" spans="1:16" x14ac:dyDescent="0.25">
      <c r="A517" t="s">
        <v>1498</v>
      </c>
      <c r="B517" s="1">
        <v>45797</v>
      </c>
      <c r="C517" t="s">
        <v>1499</v>
      </c>
      <c r="D517" t="s">
        <v>41</v>
      </c>
      <c r="E517">
        <v>5205.3100000000004</v>
      </c>
      <c r="F517">
        <v>19</v>
      </c>
      <c r="G517">
        <v>1561.59</v>
      </c>
      <c r="H517">
        <v>0.15</v>
      </c>
      <c r="I517" t="s">
        <v>1499</v>
      </c>
      <c r="J517" t="s">
        <v>1150</v>
      </c>
      <c r="K517" t="s">
        <v>38</v>
      </c>
      <c r="L517" t="s">
        <v>1500</v>
      </c>
      <c r="M517" t="s">
        <v>266</v>
      </c>
      <c r="N517" t="s">
        <v>3968</v>
      </c>
      <c r="P517">
        <f t="shared" si="8"/>
        <v>0.29999942366544929</v>
      </c>
    </row>
    <row r="518" spans="1:16" x14ac:dyDescent="0.25">
      <c r="A518" t="s">
        <v>1501</v>
      </c>
      <c r="B518" s="1">
        <v>45193</v>
      </c>
      <c r="C518" t="s">
        <v>1502</v>
      </c>
      <c r="D518" t="s">
        <v>91</v>
      </c>
      <c r="E518">
        <v>1355.56</v>
      </c>
      <c r="F518">
        <v>13</v>
      </c>
      <c r="G518">
        <v>406.67</v>
      </c>
      <c r="H518">
        <v>0.1</v>
      </c>
      <c r="I518" t="s">
        <v>1502</v>
      </c>
      <c r="J518" t="s">
        <v>1503</v>
      </c>
      <c r="K518" t="s">
        <v>31</v>
      </c>
      <c r="L518" t="s">
        <v>82</v>
      </c>
      <c r="M518" t="s">
        <v>83</v>
      </c>
      <c r="N518" t="s">
        <v>3968</v>
      </c>
      <c r="P518">
        <f t="shared" si="8"/>
        <v>0.30000147540499872</v>
      </c>
    </row>
    <row r="519" spans="1:16" x14ac:dyDescent="0.25">
      <c r="A519" t="s">
        <v>1504</v>
      </c>
      <c r="B519" s="1">
        <v>45464</v>
      </c>
      <c r="C519" t="s">
        <v>1505</v>
      </c>
      <c r="D519" t="s">
        <v>91</v>
      </c>
      <c r="E519">
        <v>7216.58</v>
      </c>
      <c r="F519">
        <v>14</v>
      </c>
      <c r="G519">
        <v>2164.9699999999998</v>
      </c>
      <c r="H519">
        <v>0.05</v>
      </c>
      <c r="I519" t="s">
        <v>1505</v>
      </c>
      <c r="J519" t="s">
        <v>1506</v>
      </c>
      <c r="K519" t="s">
        <v>17</v>
      </c>
      <c r="L519" t="s">
        <v>82</v>
      </c>
      <c r="M519" t="s">
        <v>83</v>
      </c>
      <c r="N519" t="s">
        <v>3968</v>
      </c>
      <c r="P519">
        <f t="shared" si="8"/>
        <v>0.29999944572082621</v>
      </c>
    </row>
    <row r="520" spans="1:16" x14ac:dyDescent="0.25">
      <c r="A520" t="s">
        <v>1507</v>
      </c>
      <c r="B520" s="1">
        <v>45745</v>
      </c>
      <c r="C520" t="s">
        <v>1505</v>
      </c>
      <c r="D520" t="s">
        <v>91</v>
      </c>
      <c r="E520">
        <v>6451.81</v>
      </c>
      <c r="F520">
        <v>18</v>
      </c>
      <c r="G520">
        <v>1935.54</v>
      </c>
      <c r="H520">
        <v>0.1</v>
      </c>
      <c r="I520" t="s">
        <v>1505</v>
      </c>
      <c r="J520" t="s">
        <v>1506</v>
      </c>
      <c r="K520" t="s">
        <v>17</v>
      </c>
      <c r="L520" t="s">
        <v>82</v>
      </c>
      <c r="M520" t="s">
        <v>83</v>
      </c>
      <c r="N520" t="s">
        <v>3968</v>
      </c>
      <c r="P520">
        <f t="shared" si="8"/>
        <v>0.29999953501420529</v>
      </c>
    </row>
    <row r="521" spans="1:16" x14ac:dyDescent="0.25">
      <c r="A521" t="s">
        <v>1508</v>
      </c>
      <c r="B521" s="1">
        <v>45094</v>
      </c>
      <c r="C521" t="s">
        <v>1509</v>
      </c>
      <c r="D521" t="s">
        <v>36</v>
      </c>
      <c r="E521">
        <v>2105.2800000000002</v>
      </c>
      <c r="F521">
        <v>4</v>
      </c>
      <c r="G521">
        <v>631.58000000000004</v>
      </c>
      <c r="H521">
        <v>0.1</v>
      </c>
      <c r="I521" t="s">
        <v>1509</v>
      </c>
      <c r="J521" t="s">
        <v>114</v>
      </c>
      <c r="K521" t="s">
        <v>17</v>
      </c>
      <c r="L521" t="s">
        <v>1510</v>
      </c>
      <c r="M521" t="s">
        <v>354</v>
      </c>
      <c r="N521" t="s">
        <v>3966</v>
      </c>
      <c r="P521">
        <f t="shared" si="8"/>
        <v>0.29999810001519989</v>
      </c>
    </row>
    <row r="522" spans="1:16" x14ac:dyDescent="0.25">
      <c r="A522" t="s">
        <v>1511</v>
      </c>
      <c r="B522" s="1">
        <v>45319</v>
      </c>
      <c r="C522" t="s">
        <v>1512</v>
      </c>
      <c r="D522" t="s">
        <v>41</v>
      </c>
      <c r="E522">
        <v>7219.9</v>
      </c>
      <c r="F522">
        <v>20</v>
      </c>
      <c r="G522">
        <v>2165.9699999999998</v>
      </c>
      <c r="H522">
        <v>0.15</v>
      </c>
      <c r="I522" t="s">
        <v>1512</v>
      </c>
      <c r="J522" t="s">
        <v>1513</v>
      </c>
      <c r="K522" t="s">
        <v>71</v>
      </c>
      <c r="L522" t="s">
        <v>1514</v>
      </c>
      <c r="M522" t="s">
        <v>26</v>
      </c>
      <c r="N522" t="s">
        <v>3966</v>
      </c>
      <c r="P522">
        <f t="shared" si="8"/>
        <v>0.3</v>
      </c>
    </row>
    <row r="523" spans="1:16" x14ac:dyDescent="0.25">
      <c r="A523" t="s">
        <v>1515</v>
      </c>
      <c r="B523" s="1">
        <v>44999</v>
      </c>
      <c r="C523" t="s">
        <v>1516</v>
      </c>
      <c r="D523" t="s">
        <v>36</v>
      </c>
      <c r="E523">
        <v>2580.77</v>
      </c>
      <c r="F523">
        <v>16</v>
      </c>
      <c r="G523">
        <v>774.23</v>
      </c>
      <c r="H523">
        <v>0.1</v>
      </c>
      <c r="I523" t="s">
        <v>1516</v>
      </c>
      <c r="J523" t="s">
        <v>1517</v>
      </c>
      <c r="K523" t="s">
        <v>38</v>
      </c>
      <c r="L523" t="s">
        <v>72</v>
      </c>
      <c r="M523" t="s">
        <v>26</v>
      </c>
      <c r="N523" t="s">
        <v>3966</v>
      </c>
      <c r="P523">
        <f t="shared" si="8"/>
        <v>0.29999961251874441</v>
      </c>
    </row>
    <row r="524" spans="1:16" x14ac:dyDescent="0.25">
      <c r="A524" t="s">
        <v>1518</v>
      </c>
      <c r="B524" s="1">
        <v>45666</v>
      </c>
      <c r="C524" t="s">
        <v>1519</v>
      </c>
      <c r="D524" t="s">
        <v>15</v>
      </c>
      <c r="E524">
        <v>1783.92</v>
      </c>
      <c r="F524">
        <v>12</v>
      </c>
      <c r="G524">
        <v>535.17999999999995</v>
      </c>
      <c r="H524">
        <v>0</v>
      </c>
      <c r="I524" t="s">
        <v>1519</v>
      </c>
      <c r="J524" t="s">
        <v>1482</v>
      </c>
      <c r="K524" t="s">
        <v>17</v>
      </c>
      <c r="L524" t="s">
        <v>1520</v>
      </c>
      <c r="M524" t="s">
        <v>26</v>
      </c>
      <c r="N524" t="s">
        <v>3967</v>
      </c>
      <c r="P524">
        <f t="shared" si="8"/>
        <v>0.30000224225301581</v>
      </c>
    </row>
    <row r="525" spans="1:16" x14ac:dyDescent="0.25">
      <c r="A525" t="s">
        <v>1521</v>
      </c>
      <c r="B525" s="1">
        <v>44948</v>
      </c>
      <c r="C525" t="s">
        <v>1522</v>
      </c>
      <c r="D525" t="s">
        <v>48</v>
      </c>
      <c r="E525">
        <v>744.05</v>
      </c>
      <c r="F525">
        <v>2</v>
      </c>
      <c r="G525">
        <v>223.21</v>
      </c>
      <c r="H525">
        <v>0.1</v>
      </c>
      <c r="I525" t="s">
        <v>1522</v>
      </c>
      <c r="J525" t="s">
        <v>612</v>
      </c>
      <c r="K525" t="s">
        <v>38</v>
      </c>
      <c r="L525" t="s">
        <v>50</v>
      </c>
      <c r="M525" t="s">
        <v>51</v>
      </c>
      <c r="N525" t="s">
        <v>3966</v>
      </c>
      <c r="P525">
        <f t="shared" si="8"/>
        <v>0.29999328002150394</v>
      </c>
    </row>
    <row r="526" spans="1:16" x14ac:dyDescent="0.25">
      <c r="A526" t="s">
        <v>1523</v>
      </c>
      <c r="B526" s="1">
        <v>45746</v>
      </c>
      <c r="C526" t="s">
        <v>1522</v>
      </c>
      <c r="D526" t="s">
        <v>22</v>
      </c>
      <c r="E526">
        <v>6261.85</v>
      </c>
      <c r="F526">
        <v>16</v>
      </c>
      <c r="G526">
        <v>1878.55</v>
      </c>
      <c r="H526">
        <v>0.15</v>
      </c>
      <c r="I526" t="s">
        <v>1522</v>
      </c>
      <c r="J526" t="s">
        <v>612</v>
      </c>
      <c r="K526" t="s">
        <v>38</v>
      </c>
      <c r="L526" t="s">
        <v>50</v>
      </c>
      <c r="M526" t="s">
        <v>51</v>
      </c>
      <c r="N526" t="s">
        <v>3966</v>
      </c>
      <c r="P526">
        <f t="shared" si="8"/>
        <v>0.29999920151392956</v>
      </c>
    </row>
    <row r="527" spans="1:16" x14ac:dyDescent="0.25">
      <c r="A527" t="s">
        <v>857</v>
      </c>
      <c r="B527" s="1">
        <v>45222</v>
      </c>
      <c r="C527" t="s">
        <v>858</v>
      </c>
      <c r="D527" t="s">
        <v>91</v>
      </c>
      <c r="E527">
        <v>1588.26</v>
      </c>
      <c r="F527">
        <v>5</v>
      </c>
      <c r="G527">
        <v>476.48</v>
      </c>
      <c r="H527">
        <v>0.05</v>
      </c>
      <c r="I527" t="s">
        <v>858</v>
      </c>
      <c r="J527" t="s">
        <v>967</v>
      </c>
      <c r="K527" t="s">
        <v>17</v>
      </c>
      <c r="L527" t="s">
        <v>923</v>
      </c>
      <c r="M527" t="s">
        <v>160</v>
      </c>
      <c r="N527" t="s">
        <v>3966</v>
      </c>
      <c r="P527">
        <f t="shared" si="8"/>
        <v>0.30000125923967108</v>
      </c>
    </row>
    <row r="528" spans="1:16" x14ac:dyDescent="0.25">
      <c r="A528" t="s">
        <v>860</v>
      </c>
      <c r="B528" s="1">
        <v>45618</v>
      </c>
      <c r="C528" t="s">
        <v>858</v>
      </c>
      <c r="D528" t="s">
        <v>41</v>
      </c>
      <c r="E528">
        <v>5883.77</v>
      </c>
      <c r="F528">
        <v>19</v>
      </c>
      <c r="G528">
        <v>1765.13</v>
      </c>
      <c r="H528">
        <v>0.15</v>
      </c>
      <c r="I528" t="s">
        <v>858</v>
      </c>
      <c r="J528" t="s">
        <v>967</v>
      </c>
      <c r="K528" t="s">
        <v>17</v>
      </c>
      <c r="L528" t="s">
        <v>923</v>
      </c>
      <c r="M528" t="s">
        <v>160</v>
      </c>
      <c r="N528" t="s">
        <v>3968</v>
      </c>
      <c r="P528">
        <f t="shared" si="8"/>
        <v>0.29999983004094316</v>
      </c>
    </row>
    <row r="529" spans="1:16" x14ac:dyDescent="0.25">
      <c r="A529" t="s">
        <v>1524</v>
      </c>
      <c r="B529" s="1">
        <v>45816</v>
      </c>
      <c r="C529" t="s">
        <v>1525</v>
      </c>
      <c r="D529" t="s">
        <v>48</v>
      </c>
      <c r="E529">
        <v>1529.29</v>
      </c>
      <c r="F529">
        <v>3</v>
      </c>
      <c r="G529">
        <v>458.79</v>
      </c>
      <c r="H529">
        <v>0.15</v>
      </c>
      <c r="I529" t="s">
        <v>1525</v>
      </c>
      <c r="J529" t="s">
        <v>767</v>
      </c>
      <c r="K529" t="s">
        <v>71</v>
      </c>
      <c r="L529" t="s">
        <v>82</v>
      </c>
      <c r="M529" t="s">
        <v>83</v>
      </c>
      <c r="N529" t="s">
        <v>3968</v>
      </c>
      <c r="P529">
        <f t="shared" si="8"/>
        <v>0.3000019616946426</v>
      </c>
    </row>
    <row r="530" spans="1:16" x14ac:dyDescent="0.25">
      <c r="A530" t="s">
        <v>1526</v>
      </c>
      <c r="B530" s="1">
        <v>45348</v>
      </c>
      <c r="C530" t="s">
        <v>1527</v>
      </c>
      <c r="D530" t="s">
        <v>48</v>
      </c>
      <c r="E530">
        <v>4288.24</v>
      </c>
      <c r="F530">
        <v>11</v>
      </c>
      <c r="G530">
        <v>1286.47</v>
      </c>
      <c r="H530">
        <v>0</v>
      </c>
      <c r="I530" t="s">
        <v>1527</v>
      </c>
      <c r="J530" t="s">
        <v>1528</v>
      </c>
      <c r="K530" t="s">
        <v>71</v>
      </c>
      <c r="L530" t="s">
        <v>82</v>
      </c>
      <c r="M530" t="s">
        <v>83</v>
      </c>
      <c r="N530" t="s">
        <v>3966</v>
      </c>
      <c r="P530">
        <f t="shared" si="8"/>
        <v>0.29999953360819359</v>
      </c>
    </row>
    <row r="531" spans="1:16" x14ac:dyDescent="0.25">
      <c r="A531" t="s">
        <v>1529</v>
      </c>
      <c r="B531" s="1">
        <v>45595</v>
      </c>
      <c r="C531" t="s">
        <v>1530</v>
      </c>
      <c r="D531" t="s">
        <v>36</v>
      </c>
      <c r="E531">
        <v>4412.93</v>
      </c>
      <c r="F531">
        <v>11</v>
      </c>
      <c r="G531">
        <v>1323.88</v>
      </c>
      <c r="H531">
        <v>0.1</v>
      </c>
      <c r="I531" t="s">
        <v>1530</v>
      </c>
      <c r="J531" t="s">
        <v>1531</v>
      </c>
      <c r="K531" t="s">
        <v>17</v>
      </c>
      <c r="L531" t="s">
        <v>1532</v>
      </c>
      <c r="M531" t="s">
        <v>56</v>
      </c>
      <c r="N531" t="s">
        <v>3966</v>
      </c>
      <c r="P531">
        <f t="shared" si="8"/>
        <v>0.30000022660681225</v>
      </c>
    </row>
    <row r="532" spans="1:16" x14ac:dyDescent="0.25">
      <c r="A532" t="s">
        <v>1533</v>
      </c>
      <c r="B532" s="1">
        <v>45523</v>
      </c>
      <c r="C532" t="s">
        <v>1534</v>
      </c>
      <c r="D532" t="s">
        <v>15</v>
      </c>
      <c r="E532">
        <v>1481.65</v>
      </c>
      <c r="F532">
        <v>18</v>
      </c>
      <c r="G532">
        <v>444.5</v>
      </c>
      <c r="H532">
        <v>0.15</v>
      </c>
      <c r="I532" t="s">
        <v>1534</v>
      </c>
      <c r="J532" t="s">
        <v>1535</v>
      </c>
      <c r="K532" t="s">
        <v>24</v>
      </c>
      <c r="L532" t="s">
        <v>171</v>
      </c>
      <c r="M532" t="s">
        <v>754</v>
      </c>
      <c r="N532" t="s">
        <v>3966</v>
      </c>
      <c r="P532">
        <f t="shared" si="8"/>
        <v>0.30000337461613741</v>
      </c>
    </row>
    <row r="533" spans="1:16" x14ac:dyDescent="0.25">
      <c r="A533" t="s">
        <v>119</v>
      </c>
      <c r="B533" s="1">
        <v>45137</v>
      </c>
      <c r="C533" t="s">
        <v>120</v>
      </c>
      <c r="D533" t="s">
        <v>36</v>
      </c>
      <c r="E533">
        <v>475.48</v>
      </c>
      <c r="F533">
        <v>1</v>
      </c>
      <c r="G533">
        <v>142.63999999999999</v>
      </c>
      <c r="H533">
        <v>0.1</v>
      </c>
      <c r="I533" t="s">
        <v>120</v>
      </c>
      <c r="J533" t="s">
        <v>1536</v>
      </c>
      <c r="K533" t="s">
        <v>38</v>
      </c>
      <c r="L533" t="s">
        <v>289</v>
      </c>
      <c r="M533" t="s">
        <v>160</v>
      </c>
      <c r="N533" t="s">
        <v>3967</v>
      </c>
      <c r="P533">
        <f t="shared" si="8"/>
        <v>0.2999915874484731</v>
      </c>
    </row>
    <row r="534" spans="1:16" x14ac:dyDescent="0.25">
      <c r="A534" t="s">
        <v>124</v>
      </c>
      <c r="B534" s="1">
        <v>44988</v>
      </c>
      <c r="C534" t="s">
        <v>120</v>
      </c>
      <c r="D534" t="s">
        <v>36</v>
      </c>
      <c r="E534">
        <v>4160.1099999999997</v>
      </c>
      <c r="F534">
        <v>14</v>
      </c>
      <c r="G534">
        <v>1248.03</v>
      </c>
      <c r="H534">
        <v>0.05</v>
      </c>
      <c r="I534" t="s">
        <v>120</v>
      </c>
      <c r="J534" t="s">
        <v>1536</v>
      </c>
      <c r="K534" t="s">
        <v>38</v>
      </c>
      <c r="L534" t="s">
        <v>289</v>
      </c>
      <c r="M534" t="s">
        <v>160</v>
      </c>
      <c r="N534" t="s">
        <v>3966</v>
      </c>
      <c r="P534">
        <f t="shared" si="8"/>
        <v>0.29999927886522232</v>
      </c>
    </row>
    <row r="535" spans="1:16" x14ac:dyDescent="0.25">
      <c r="A535" t="s">
        <v>1537</v>
      </c>
      <c r="B535" s="1">
        <v>45517</v>
      </c>
      <c r="C535" t="s">
        <v>1538</v>
      </c>
      <c r="D535" t="s">
        <v>48</v>
      </c>
      <c r="E535">
        <v>1024.48</v>
      </c>
      <c r="F535">
        <v>16</v>
      </c>
      <c r="G535">
        <v>307.33999999999997</v>
      </c>
      <c r="H535">
        <v>0</v>
      </c>
      <c r="I535" t="s">
        <v>1538</v>
      </c>
      <c r="J535" t="s">
        <v>1539</v>
      </c>
      <c r="K535" t="s">
        <v>31</v>
      </c>
      <c r="L535" t="s">
        <v>1210</v>
      </c>
      <c r="M535" t="s">
        <v>26</v>
      </c>
      <c r="N535" t="s">
        <v>3966</v>
      </c>
      <c r="P535">
        <f t="shared" si="8"/>
        <v>0.29999609558019674</v>
      </c>
    </row>
    <row r="536" spans="1:16" x14ac:dyDescent="0.25">
      <c r="A536" t="s">
        <v>1540</v>
      </c>
      <c r="B536" s="1">
        <v>45234</v>
      </c>
      <c r="C536" t="s">
        <v>1541</v>
      </c>
      <c r="D536" t="s">
        <v>41</v>
      </c>
      <c r="E536">
        <v>2215.2199999999998</v>
      </c>
      <c r="F536">
        <v>13</v>
      </c>
      <c r="G536">
        <v>664.57</v>
      </c>
      <c r="H536">
        <v>0.05</v>
      </c>
      <c r="I536" t="s">
        <v>1541</v>
      </c>
      <c r="J536" t="s">
        <v>1542</v>
      </c>
      <c r="K536" t="s">
        <v>31</v>
      </c>
      <c r="L536" t="s">
        <v>72</v>
      </c>
      <c r="M536" t="s">
        <v>26</v>
      </c>
      <c r="N536" t="s">
        <v>3966</v>
      </c>
      <c r="P536">
        <f t="shared" si="8"/>
        <v>0.3000018056897284</v>
      </c>
    </row>
    <row r="537" spans="1:16" x14ac:dyDescent="0.25">
      <c r="A537" t="s">
        <v>1543</v>
      </c>
      <c r="B537" s="1">
        <v>45813</v>
      </c>
      <c r="C537" t="s">
        <v>1544</v>
      </c>
      <c r="D537" t="s">
        <v>41</v>
      </c>
      <c r="E537">
        <v>9331.85</v>
      </c>
      <c r="F537">
        <v>19</v>
      </c>
      <c r="G537">
        <v>2799.56</v>
      </c>
      <c r="H537">
        <v>0</v>
      </c>
      <c r="I537" t="s">
        <v>1544</v>
      </c>
      <c r="J537" t="s">
        <v>1545</v>
      </c>
      <c r="K537" t="s">
        <v>17</v>
      </c>
      <c r="L537" t="s">
        <v>864</v>
      </c>
      <c r="M537" t="s">
        <v>865</v>
      </c>
      <c r="N537" t="s">
        <v>3966</v>
      </c>
      <c r="P537">
        <f t="shared" si="8"/>
        <v>0.30000053579943953</v>
      </c>
    </row>
    <row r="538" spans="1:16" x14ac:dyDescent="0.25">
      <c r="A538" t="s">
        <v>1546</v>
      </c>
      <c r="B538" s="1">
        <v>45462</v>
      </c>
      <c r="C538" t="s">
        <v>1547</v>
      </c>
      <c r="D538" t="s">
        <v>36</v>
      </c>
      <c r="E538">
        <v>1409.04</v>
      </c>
      <c r="F538">
        <v>6</v>
      </c>
      <c r="G538">
        <v>422.71</v>
      </c>
      <c r="H538">
        <v>0.05</v>
      </c>
      <c r="I538" t="s">
        <v>1547</v>
      </c>
      <c r="J538" t="s">
        <v>256</v>
      </c>
      <c r="K538" t="s">
        <v>31</v>
      </c>
      <c r="L538" t="s">
        <v>72</v>
      </c>
      <c r="M538" t="s">
        <v>26</v>
      </c>
      <c r="N538" t="s">
        <v>3966</v>
      </c>
      <c r="P538">
        <f t="shared" si="8"/>
        <v>0.29999858059387952</v>
      </c>
    </row>
    <row r="539" spans="1:16" x14ac:dyDescent="0.25">
      <c r="A539" t="s">
        <v>1548</v>
      </c>
      <c r="B539" s="1">
        <v>45100</v>
      </c>
      <c r="C539" t="s">
        <v>1547</v>
      </c>
      <c r="D539" t="s">
        <v>41</v>
      </c>
      <c r="E539">
        <v>1801.7</v>
      </c>
      <c r="F539">
        <v>5</v>
      </c>
      <c r="G539">
        <v>540.51</v>
      </c>
      <c r="H539">
        <v>0</v>
      </c>
      <c r="I539" t="s">
        <v>1547</v>
      </c>
      <c r="J539" t="s">
        <v>256</v>
      </c>
      <c r="K539" t="s">
        <v>31</v>
      </c>
      <c r="L539" t="s">
        <v>72</v>
      </c>
      <c r="M539" t="s">
        <v>26</v>
      </c>
      <c r="N539" t="s">
        <v>3968</v>
      </c>
      <c r="P539">
        <f t="shared" si="8"/>
        <v>0.3</v>
      </c>
    </row>
    <row r="540" spans="1:16" x14ac:dyDescent="0.25">
      <c r="A540" t="s">
        <v>1549</v>
      </c>
      <c r="B540" s="1">
        <v>45556</v>
      </c>
      <c r="C540" t="s">
        <v>1550</v>
      </c>
      <c r="D540" t="s">
        <v>15</v>
      </c>
      <c r="E540">
        <v>5342.4</v>
      </c>
      <c r="F540">
        <v>20</v>
      </c>
      <c r="G540">
        <v>1602.72</v>
      </c>
      <c r="H540">
        <v>0.1</v>
      </c>
      <c r="I540" t="s">
        <v>1550</v>
      </c>
      <c r="J540" t="s">
        <v>1453</v>
      </c>
      <c r="K540" t="s">
        <v>24</v>
      </c>
      <c r="L540" t="s">
        <v>1551</v>
      </c>
      <c r="M540" t="s">
        <v>33</v>
      </c>
      <c r="N540" t="s">
        <v>3966</v>
      </c>
      <c r="P540">
        <f t="shared" si="8"/>
        <v>0.30000000000000004</v>
      </c>
    </row>
    <row r="541" spans="1:16" x14ac:dyDescent="0.25">
      <c r="A541" t="s">
        <v>1552</v>
      </c>
      <c r="B541" s="1">
        <v>45292</v>
      </c>
      <c r="C541" t="s">
        <v>1553</v>
      </c>
      <c r="D541" t="s">
        <v>29</v>
      </c>
      <c r="E541">
        <v>1618.43</v>
      </c>
      <c r="F541">
        <v>3</v>
      </c>
      <c r="G541">
        <v>485.53</v>
      </c>
      <c r="H541">
        <v>0.1</v>
      </c>
      <c r="I541" t="s">
        <v>1553</v>
      </c>
      <c r="J541" t="s">
        <v>1554</v>
      </c>
      <c r="K541" t="s">
        <v>24</v>
      </c>
      <c r="L541" t="s">
        <v>143</v>
      </c>
      <c r="M541" t="s">
        <v>144</v>
      </c>
      <c r="N541" t="s">
        <v>3966</v>
      </c>
      <c r="P541">
        <f t="shared" si="8"/>
        <v>0.30000061788276289</v>
      </c>
    </row>
    <row r="542" spans="1:16" x14ac:dyDescent="0.25">
      <c r="A542" t="s">
        <v>1555</v>
      </c>
      <c r="B542" s="1">
        <v>45659</v>
      </c>
      <c r="C542" t="s">
        <v>1556</v>
      </c>
      <c r="D542" t="s">
        <v>15</v>
      </c>
      <c r="E542">
        <v>374.33</v>
      </c>
      <c r="F542">
        <v>1</v>
      </c>
      <c r="G542">
        <v>112.3</v>
      </c>
      <c r="H542">
        <v>0</v>
      </c>
      <c r="I542" t="s">
        <v>1556</v>
      </c>
      <c r="J542" t="s">
        <v>491</v>
      </c>
      <c r="K542" t="s">
        <v>71</v>
      </c>
      <c r="L542" t="s">
        <v>82</v>
      </c>
      <c r="M542" t="s">
        <v>83</v>
      </c>
      <c r="N542" t="s">
        <v>3966</v>
      </c>
      <c r="P542">
        <f t="shared" si="8"/>
        <v>0.30000267143963882</v>
      </c>
    </row>
    <row r="543" spans="1:16" x14ac:dyDescent="0.25">
      <c r="A543" t="s">
        <v>1557</v>
      </c>
      <c r="B543" s="1">
        <v>45365</v>
      </c>
      <c r="C543" t="s">
        <v>1558</v>
      </c>
      <c r="D543" t="s">
        <v>29</v>
      </c>
      <c r="E543">
        <v>6506.24</v>
      </c>
      <c r="F543">
        <v>13</v>
      </c>
      <c r="G543">
        <v>1951.87</v>
      </c>
      <c r="H543">
        <v>0.15</v>
      </c>
      <c r="I543" t="s">
        <v>1558</v>
      </c>
      <c r="J543" t="s">
        <v>1216</v>
      </c>
      <c r="K543" t="s">
        <v>31</v>
      </c>
      <c r="L543" t="s">
        <v>143</v>
      </c>
      <c r="M543" t="s">
        <v>144</v>
      </c>
      <c r="N543" t="s">
        <v>3967</v>
      </c>
      <c r="P543">
        <f t="shared" si="8"/>
        <v>0.29999969260279363</v>
      </c>
    </row>
    <row r="544" spans="1:16" x14ac:dyDescent="0.25">
      <c r="A544" t="s">
        <v>1559</v>
      </c>
      <c r="B544" s="1">
        <v>45416</v>
      </c>
      <c r="C544" t="s">
        <v>1560</v>
      </c>
      <c r="D544" t="s">
        <v>48</v>
      </c>
      <c r="E544">
        <v>2579.7199999999998</v>
      </c>
      <c r="F544">
        <v>13</v>
      </c>
      <c r="G544">
        <v>773.92</v>
      </c>
      <c r="H544">
        <v>0</v>
      </c>
      <c r="I544" t="s">
        <v>1560</v>
      </c>
      <c r="J544" t="s">
        <v>630</v>
      </c>
      <c r="K544" t="s">
        <v>71</v>
      </c>
      <c r="L544" t="s">
        <v>220</v>
      </c>
      <c r="M544" t="s">
        <v>221</v>
      </c>
      <c r="N544" t="s">
        <v>3966</v>
      </c>
      <c r="P544">
        <f t="shared" si="8"/>
        <v>0.3000015505558743</v>
      </c>
    </row>
    <row r="545" spans="1:16" x14ac:dyDescent="0.25">
      <c r="A545" t="s">
        <v>1109</v>
      </c>
      <c r="B545" s="1">
        <v>45715</v>
      </c>
      <c r="C545" t="s">
        <v>1110</v>
      </c>
      <c r="D545" t="s">
        <v>41</v>
      </c>
      <c r="E545">
        <v>4610.3999999999996</v>
      </c>
      <c r="F545">
        <v>12</v>
      </c>
      <c r="G545">
        <v>1383.12</v>
      </c>
      <c r="H545">
        <v>0</v>
      </c>
      <c r="I545" t="s">
        <v>1110</v>
      </c>
      <c r="J545" t="s">
        <v>1328</v>
      </c>
      <c r="K545" t="s">
        <v>24</v>
      </c>
      <c r="L545" t="s">
        <v>459</v>
      </c>
      <c r="M545" t="s">
        <v>129</v>
      </c>
      <c r="N545" t="s">
        <v>3966</v>
      </c>
      <c r="P545">
        <f t="shared" si="8"/>
        <v>0.3</v>
      </c>
    </row>
    <row r="546" spans="1:16" x14ac:dyDescent="0.25">
      <c r="A546" t="s">
        <v>1111</v>
      </c>
      <c r="B546" s="1">
        <v>44937</v>
      </c>
      <c r="C546" t="s">
        <v>1110</v>
      </c>
      <c r="D546" t="s">
        <v>91</v>
      </c>
      <c r="E546">
        <v>126.2</v>
      </c>
      <c r="F546">
        <v>9</v>
      </c>
      <c r="G546">
        <v>37.86</v>
      </c>
      <c r="H546">
        <v>0.1</v>
      </c>
      <c r="I546" t="s">
        <v>1110</v>
      </c>
      <c r="J546" t="s">
        <v>1328</v>
      </c>
      <c r="K546" t="s">
        <v>24</v>
      </c>
      <c r="L546" t="s">
        <v>459</v>
      </c>
      <c r="M546" t="s">
        <v>129</v>
      </c>
      <c r="N546" t="s">
        <v>3966</v>
      </c>
      <c r="P546">
        <f t="shared" si="8"/>
        <v>0.3</v>
      </c>
    </row>
    <row r="547" spans="1:16" x14ac:dyDescent="0.25">
      <c r="A547" t="s">
        <v>1561</v>
      </c>
      <c r="B547" s="1">
        <v>45609</v>
      </c>
      <c r="C547" t="s">
        <v>1562</v>
      </c>
      <c r="D547" t="s">
        <v>22</v>
      </c>
      <c r="E547">
        <v>1616.67</v>
      </c>
      <c r="F547">
        <v>4</v>
      </c>
      <c r="G547">
        <v>485</v>
      </c>
      <c r="H547">
        <v>0.15</v>
      </c>
      <c r="I547" t="s">
        <v>1562</v>
      </c>
      <c r="J547" t="s">
        <v>1563</v>
      </c>
      <c r="K547" t="s">
        <v>38</v>
      </c>
      <c r="L547" t="s">
        <v>278</v>
      </c>
      <c r="M547" t="s">
        <v>44</v>
      </c>
      <c r="N547" t="s">
        <v>3966</v>
      </c>
      <c r="P547">
        <f t="shared" si="8"/>
        <v>0.29999938144457433</v>
      </c>
    </row>
    <row r="548" spans="1:16" x14ac:dyDescent="0.25">
      <c r="A548" t="s">
        <v>1564</v>
      </c>
      <c r="B548" s="1">
        <v>45533</v>
      </c>
      <c r="C548" t="s">
        <v>1565</v>
      </c>
      <c r="D548" t="s">
        <v>41</v>
      </c>
      <c r="E548">
        <v>7664.39</v>
      </c>
      <c r="F548">
        <v>19</v>
      </c>
      <c r="G548">
        <v>2299.3200000000002</v>
      </c>
      <c r="H548">
        <v>0.1</v>
      </c>
      <c r="I548" t="s">
        <v>1565</v>
      </c>
      <c r="J548" t="s">
        <v>179</v>
      </c>
      <c r="K548" t="s">
        <v>71</v>
      </c>
      <c r="L548" t="s">
        <v>265</v>
      </c>
      <c r="M548" t="s">
        <v>139</v>
      </c>
      <c r="N548" t="s">
        <v>3968</v>
      </c>
      <c r="P548">
        <f t="shared" si="8"/>
        <v>0.30000039142058271</v>
      </c>
    </row>
    <row r="549" spans="1:16" x14ac:dyDescent="0.25">
      <c r="A549" t="s">
        <v>1566</v>
      </c>
      <c r="B549" s="1">
        <v>45230</v>
      </c>
      <c r="C549" t="s">
        <v>1565</v>
      </c>
      <c r="D549" t="s">
        <v>41</v>
      </c>
      <c r="E549">
        <v>1096.04</v>
      </c>
      <c r="F549">
        <v>6</v>
      </c>
      <c r="G549">
        <v>328.81</v>
      </c>
      <c r="H549">
        <v>0.1</v>
      </c>
      <c r="I549" t="s">
        <v>1565</v>
      </c>
      <c r="J549" t="s">
        <v>179</v>
      </c>
      <c r="K549" t="s">
        <v>71</v>
      </c>
      <c r="L549" t="s">
        <v>265</v>
      </c>
      <c r="M549" t="s">
        <v>139</v>
      </c>
      <c r="N549" t="s">
        <v>3968</v>
      </c>
      <c r="P549">
        <f t="shared" si="8"/>
        <v>0.29999817524907851</v>
      </c>
    </row>
    <row r="550" spans="1:16" x14ac:dyDescent="0.25">
      <c r="A550" t="s">
        <v>1567</v>
      </c>
      <c r="B550" s="1">
        <v>45279</v>
      </c>
      <c r="C550" t="s">
        <v>1568</v>
      </c>
      <c r="D550" t="s">
        <v>91</v>
      </c>
      <c r="E550">
        <v>2434.14</v>
      </c>
      <c r="F550">
        <v>18</v>
      </c>
      <c r="G550">
        <v>730.24</v>
      </c>
      <c r="H550">
        <v>0</v>
      </c>
      <c r="I550" t="s">
        <v>1568</v>
      </c>
      <c r="J550" t="s">
        <v>86</v>
      </c>
      <c r="K550" t="s">
        <v>38</v>
      </c>
      <c r="L550" t="s">
        <v>143</v>
      </c>
      <c r="M550" t="s">
        <v>144</v>
      </c>
      <c r="N550" t="s">
        <v>3967</v>
      </c>
      <c r="P550">
        <f t="shared" si="8"/>
        <v>0.2999991783545729</v>
      </c>
    </row>
    <row r="551" spans="1:16" x14ac:dyDescent="0.25">
      <c r="A551" t="s">
        <v>1569</v>
      </c>
      <c r="B551" s="1">
        <v>45257</v>
      </c>
      <c r="C551" t="s">
        <v>1570</v>
      </c>
      <c r="D551" t="s">
        <v>91</v>
      </c>
      <c r="E551">
        <v>6771.6</v>
      </c>
      <c r="F551">
        <v>20</v>
      </c>
      <c r="G551">
        <v>2031.48</v>
      </c>
      <c r="H551">
        <v>0.05</v>
      </c>
      <c r="I551" t="s">
        <v>1570</v>
      </c>
      <c r="J551" t="s">
        <v>1571</v>
      </c>
      <c r="K551" t="s">
        <v>24</v>
      </c>
      <c r="L551" t="s">
        <v>746</v>
      </c>
      <c r="M551" t="s">
        <v>244</v>
      </c>
      <c r="N551" t="s">
        <v>3967</v>
      </c>
      <c r="P551">
        <f t="shared" si="8"/>
        <v>0.3</v>
      </c>
    </row>
    <row r="552" spans="1:16" x14ac:dyDescent="0.25">
      <c r="A552" t="s">
        <v>1572</v>
      </c>
      <c r="B552" s="1">
        <v>45153</v>
      </c>
      <c r="C552" t="s">
        <v>1573</v>
      </c>
      <c r="D552" t="s">
        <v>15</v>
      </c>
      <c r="E552">
        <v>839.95</v>
      </c>
      <c r="F552">
        <v>3</v>
      </c>
      <c r="G552">
        <v>251.99</v>
      </c>
      <c r="H552">
        <v>0.05</v>
      </c>
      <c r="I552" t="s">
        <v>1573</v>
      </c>
      <c r="J552" t="s">
        <v>1574</v>
      </c>
      <c r="K552" t="s">
        <v>17</v>
      </c>
      <c r="L552" t="s">
        <v>314</v>
      </c>
      <c r="M552" t="s">
        <v>56</v>
      </c>
      <c r="N552" t="s">
        <v>3967</v>
      </c>
      <c r="P552">
        <f t="shared" si="8"/>
        <v>0.30000595273528186</v>
      </c>
    </row>
    <row r="553" spans="1:16" x14ac:dyDescent="0.25">
      <c r="A553" t="s">
        <v>1575</v>
      </c>
      <c r="B553" s="1">
        <v>44942</v>
      </c>
      <c r="C553" t="s">
        <v>1576</v>
      </c>
      <c r="D553" t="s">
        <v>22</v>
      </c>
      <c r="E553">
        <v>11077</v>
      </c>
      <c r="F553">
        <v>20</v>
      </c>
      <c r="G553">
        <v>3323.1</v>
      </c>
      <c r="H553">
        <v>0</v>
      </c>
      <c r="I553" t="s">
        <v>1576</v>
      </c>
      <c r="J553" t="s">
        <v>1577</v>
      </c>
      <c r="K553" t="s">
        <v>71</v>
      </c>
      <c r="L553" t="s">
        <v>99</v>
      </c>
      <c r="M553" t="s">
        <v>56</v>
      </c>
      <c r="N553" t="s">
        <v>3966</v>
      </c>
      <c r="P553">
        <f t="shared" si="8"/>
        <v>0.3</v>
      </c>
    </row>
    <row r="554" spans="1:16" x14ac:dyDescent="0.25">
      <c r="A554" t="s">
        <v>1578</v>
      </c>
      <c r="B554" s="1">
        <v>45022</v>
      </c>
      <c r="C554" t="s">
        <v>1579</v>
      </c>
      <c r="D554" t="s">
        <v>36</v>
      </c>
      <c r="E554">
        <v>2939.38</v>
      </c>
      <c r="F554">
        <v>6</v>
      </c>
      <c r="G554">
        <v>881.81</v>
      </c>
      <c r="H554">
        <v>0.1</v>
      </c>
      <c r="I554" t="s">
        <v>1579</v>
      </c>
      <c r="J554" t="s">
        <v>831</v>
      </c>
      <c r="K554" t="s">
        <v>38</v>
      </c>
      <c r="L554" t="s">
        <v>791</v>
      </c>
      <c r="M554" t="s">
        <v>144</v>
      </c>
      <c r="N554" t="s">
        <v>3966</v>
      </c>
      <c r="P554">
        <f t="shared" si="8"/>
        <v>0.29999863916880426</v>
      </c>
    </row>
    <row r="555" spans="1:16" x14ac:dyDescent="0.25">
      <c r="A555" t="s">
        <v>1580</v>
      </c>
      <c r="B555" s="1">
        <v>45716</v>
      </c>
      <c r="C555" t="s">
        <v>1579</v>
      </c>
      <c r="D555" t="s">
        <v>91</v>
      </c>
      <c r="E555">
        <v>949.69</v>
      </c>
      <c r="F555">
        <v>13</v>
      </c>
      <c r="G555">
        <v>284.91000000000003</v>
      </c>
      <c r="H555">
        <v>0.1</v>
      </c>
      <c r="I555" t="s">
        <v>1579</v>
      </c>
      <c r="J555" t="s">
        <v>831</v>
      </c>
      <c r="K555" t="s">
        <v>38</v>
      </c>
      <c r="L555" t="s">
        <v>791</v>
      </c>
      <c r="M555" t="s">
        <v>144</v>
      </c>
      <c r="N555" t="s">
        <v>3966</v>
      </c>
      <c r="P555">
        <f t="shared" si="8"/>
        <v>0.30000315892554413</v>
      </c>
    </row>
    <row r="556" spans="1:16" x14ac:dyDescent="0.25">
      <c r="A556" t="s">
        <v>1581</v>
      </c>
      <c r="B556" s="1">
        <v>45258</v>
      </c>
      <c r="C556" t="s">
        <v>1582</v>
      </c>
      <c r="D556" t="s">
        <v>22</v>
      </c>
      <c r="E556">
        <v>1065.02</v>
      </c>
      <c r="F556">
        <v>2</v>
      </c>
      <c r="G556">
        <v>319.51</v>
      </c>
      <c r="H556">
        <v>0</v>
      </c>
      <c r="I556" t="s">
        <v>1582</v>
      </c>
      <c r="J556" t="s">
        <v>1583</v>
      </c>
      <c r="K556" t="s">
        <v>71</v>
      </c>
      <c r="L556" t="s">
        <v>774</v>
      </c>
      <c r="M556" t="s">
        <v>33</v>
      </c>
      <c r="N556" t="s">
        <v>3967</v>
      </c>
      <c r="P556">
        <f t="shared" si="8"/>
        <v>0.30000375579801319</v>
      </c>
    </row>
    <row r="557" spans="1:16" x14ac:dyDescent="0.25">
      <c r="A557" t="s">
        <v>1584</v>
      </c>
      <c r="B557" s="1">
        <v>45264</v>
      </c>
      <c r="C557" t="s">
        <v>1585</v>
      </c>
      <c r="D557" t="s">
        <v>41</v>
      </c>
      <c r="E557">
        <v>241.37</v>
      </c>
      <c r="F557">
        <v>1</v>
      </c>
      <c r="G557">
        <v>72.41</v>
      </c>
      <c r="H557">
        <v>0.1</v>
      </c>
      <c r="I557" t="s">
        <v>1585</v>
      </c>
      <c r="J557" t="s">
        <v>288</v>
      </c>
      <c r="K557" t="s">
        <v>71</v>
      </c>
      <c r="L557" t="s">
        <v>143</v>
      </c>
      <c r="M557" t="s">
        <v>144</v>
      </c>
      <c r="N557" t="s">
        <v>3966</v>
      </c>
      <c r="P557">
        <f t="shared" si="8"/>
        <v>0.29999585698305503</v>
      </c>
    </row>
    <row r="558" spans="1:16" x14ac:dyDescent="0.25">
      <c r="A558" t="s">
        <v>1586</v>
      </c>
      <c r="B558" s="1">
        <v>45464</v>
      </c>
      <c r="C558" t="s">
        <v>1587</v>
      </c>
      <c r="D558" t="s">
        <v>41</v>
      </c>
      <c r="E558">
        <v>6251.79</v>
      </c>
      <c r="F558">
        <v>17</v>
      </c>
      <c r="G558">
        <v>1875.54</v>
      </c>
      <c r="H558">
        <v>0.15</v>
      </c>
      <c r="I558" t="s">
        <v>1587</v>
      </c>
      <c r="J558" t="s">
        <v>1228</v>
      </c>
      <c r="K558" t="s">
        <v>24</v>
      </c>
      <c r="L558" t="s">
        <v>330</v>
      </c>
      <c r="M558" t="s">
        <v>26</v>
      </c>
      <c r="N558" t="s">
        <v>3966</v>
      </c>
      <c r="P558">
        <f t="shared" si="8"/>
        <v>0.30000047986256734</v>
      </c>
    </row>
    <row r="559" spans="1:16" x14ac:dyDescent="0.25">
      <c r="A559" t="s">
        <v>1588</v>
      </c>
      <c r="B559" s="1">
        <v>45733</v>
      </c>
      <c r="C559" t="s">
        <v>1589</v>
      </c>
      <c r="D559" t="s">
        <v>29</v>
      </c>
      <c r="E559">
        <v>1550.3</v>
      </c>
      <c r="F559">
        <v>14</v>
      </c>
      <c r="G559">
        <v>465.09</v>
      </c>
      <c r="H559">
        <v>0.1</v>
      </c>
      <c r="I559" t="s">
        <v>1589</v>
      </c>
      <c r="J559" t="s">
        <v>1590</v>
      </c>
      <c r="K559" t="s">
        <v>17</v>
      </c>
      <c r="L559" t="s">
        <v>1591</v>
      </c>
      <c r="M559" t="s">
        <v>165</v>
      </c>
      <c r="N559" t="s">
        <v>3966</v>
      </c>
      <c r="P559">
        <f t="shared" si="8"/>
        <v>0.3</v>
      </c>
    </row>
    <row r="560" spans="1:16" x14ac:dyDescent="0.25">
      <c r="A560" t="s">
        <v>1592</v>
      </c>
      <c r="B560" s="1">
        <v>45155</v>
      </c>
      <c r="C560" t="s">
        <v>1593</v>
      </c>
      <c r="D560" t="s">
        <v>29</v>
      </c>
      <c r="E560">
        <v>6545.38</v>
      </c>
      <c r="F560">
        <v>16</v>
      </c>
      <c r="G560">
        <v>1963.61</v>
      </c>
      <c r="H560">
        <v>0.1</v>
      </c>
      <c r="I560" t="s">
        <v>1593</v>
      </c>
      <c r="J560" t="s">
        <v>1594</v>
      </c>
      <c r="K560" t="s">
        <v>38</v>
      </c>
      <c r="L560" t="s">
        <v>18</v>
      </c>
      <c r="M560" t="s">
        <v>19</v>
      </c>
      <c r="N560" t="s">
        <v>3966</v>
      </c>
      <c r="P560">
        <f t="shared" si="8"/>
        <v>0.2999993888819289</v>
      </c>
    </row>
    <row r="561" spans="1:16" x14ac:dyDescent="0.25">
      <c r="A561" t="s">
        <v>610</v>
      </c>
      <c r="B561" s="1">
        <v>45168</v>
      </c>
      <c r="C561" t="s">
        <v>611</v>
      </c>
      <c r="D561" t="s">
        <v>48</v>
      </c>
      <c r="E561">
        <v>4332.3599999999997</v>
      </c>
      <c r="F561">
        <v>11</v>
      </c>
      <c r="G561">
        <v>1299.71</v>
      </c>
      <c r="H561">
        <v>0.05</v>
      </c>
      <c r="I561" t="s">
        <v>611</v>
      </c>
      <c r="J561" t="s">
        <v>392</v>
      </c>
      <c r="K561" t="s">
        <v>38</v>
      </c>
      <c r="L561" t="s">
        <v>1091</v>
      </c>
      <c r="M561" t="s">
        <v>51</v>
      </c>
      <c r="N561" t="s">
        <v>3966</v>
      </c>
      <c r="P561">
        <f t="shared" si="8"/>
        <v>0.30000046164215349</v>
      </c>
    </row>
    <row r="562" spans="1:16" x14ac:dyDescent="0.25">
      <c r="A562" t="s">
        <v>613</v>
      </c>
      <c r="B562" s="1">
        <v>45738</v>
      </c>
      <c r="C562" t="s">
        <v>611</v>
      </c>
      <c r="D562" t="s">
        <v>91</v>
      </c>
      <c r="E562">
        <v>1129.95</v>
      </c>
      <c r="F562">
        <v>5</v>
      </c>
      <c r="G562">
        <v>338.99</v>
      </c>
      <c r="H562">
        <v>0</v>
      </c>
      <c r="I562" t="s">
        <v>611</v>
      </c>
      <c r="J562" t="s">
        <v>392</v>
      </c>
      <c r="K562" t="s">
        <v>38</v>
      </c>
      <c r="L562" t="s">
        <v>1091</v>
      </c>
      <c r="M562" t="s">
        <v>51</v>
      </c>
      <c r="N562" t="s">
        <v>3966</v>
      </c>
      <c r="P562">
        <f t="shared" si="8"/>
        <v>0.30000442497455637</v>
      </c>
    </row>
    <row r="563" spans="1:16" x14ac:dyDescent="0.25">
      <c r="A563" t="s">
        <v>1595</v>
      </c>
      <c r="B563" s="1">
        <v>45824</v>
      </c>
      <c r="C563" t="s">
        <v>1596</v>
      </c>
      <c r="D563" t="s">
        <v>22</v>
      </c>
      <c r="E563">
        <v>2858.57</v>
      </c>
      <c r="F563">
        <v>9</v>
      </c>
      <c r="G563">
        <v>857.57</v>
      </c>
      <c r="H563">
        <v>0.1</v>
      </c>
      <c r="I563" t="s">
        <v>1596</v>
      </c>
      <c r="J563" t="s">
        <v>1296</v>
      </c>
      <c r="K563" t="s">
        <v>17</v>
      </c>
      <c r="L563" t="s">
        <v>143</v>
      </c>
      <c r="M563" t="s">
        <v>144</v>
      </c>
      <c r="N563" t="s">
        <v>3966</v>
      </c>
      <c r="P563">
        <f t="shared" si="8"/>
        <v>0.29999965017473773</v>
      </c>
    </row>
    <row r="564" spans="1:16" x14ac:dyDescent="0.25">
      <c r="A564" t="s">
        <v>1597</v>
      </c>
      <c r="B564" s="1">
        <v>45106</v>
      </c>
      <c r="C564" t="s">
        <v>1598</v>
      </c>
      <c r="D564" t="s">
        <v>36</v>
      </c>
      <c r="E564">
        <v>1138.1400000000001</v>
      </c>
      <c r="F564">
        <v>10</v>
      </c>
      <c r="G564">
        <v>341.44</v>
      </c>
      <c r="H564">
        <v>0.1</v>
      </c>
      <c r="I564" t="s">
        <v>1598</v>
      </c>
      <c r="J564" t="s">
        <v>1599</v>
      </c>
      <c r="K564" t="s">
        <v>31</v>
      </c>
      <c r="L564" t="s">
        <v>1600</v>
      </c>
      <c r="M564" t="s">
        <v>26</v>
      </c>
      <c r="N564" t="s">
        <v>3966</v>
      </c>
      <c r="P564">
        <f t="shared" si="8"/>
        <v>0.29999824274693798</v>
      </c>
    </row>
    <row r="565" spans="1:16" x14ac:dyDescent="0.25">
      <c r="A565" t="s">
        <v>1601</v>
      </c>
      <c r="B565" s="1">
        <v>45151</v>
      </c>
      <c r="C565" t="s">
        <v>1602</v>
      </c>
      <c r="D565" t="s">
        <v>48</v>
      </c>
      <c r="E565">
        <v>875.14</v>
      </c>
      <c r="F565">
        <v>7</v>
      </c>
      <c r="G565">
        <v>262.54000000000002</v>
      </c>
      <c r="H565">
        <v>0</v>
      </c>
      <c r="I565" t="s">
        <v>1602</v>
      </c>
      <c r="J565" t="s">
        <v>1288</v>
      </c>
      <c r="K565" t="s">
        <v>31</v>
      </c>
      <c r="L565" t="s">
        <v>774</v>
      </c>
      <c r="M565" t="s">
        <v>44</v>
      </c>
      <c r="N565" t="s">
        <v>3966</v>
      </c>
      <c r="P565">
        <f t="shared" si="8"/>
        <v>0.2999977146513701</v>
      </c>
    </row>
    <row r="566" spans="1:16" x14ac:dyDescent="0.25">
      <c r="A566" t="s">
        <v>1603</v>
      </c>
      <c r="B566" s="1">
        <v>45411</v>
      </c>
      <c r="C566" t="s">
        <v>1604</v>
      </c>
      <c r="D566" t="s">
        <v>91</v>
      </c>
      <c r="E566">
        <v>6977.56</v>
      </c>
      <c r="F566">
        <v>20</v>
      </c>
      <c r="G566">
        <v>2093.27</v>
      </c>
      <c r="H566">
        <v>0.05</v>
      </c>
      <c r="I566" t="s">
        <v>1604</v>
      </c>
      <c r="J566" t="s">
        <v>1605</v>
      </c>
      <c r="K566" t="s">
        <v>71</v>
      </c>
      <c r="L566" t="s">
        <v>326</v>
      </c>
      <c r="M566" t="s">
        <v>160</v>
      </c>
      <c r="N566" t="s">
        <v>3966</v>
      </c>
      <c r="P566">
        <f t="shared" si="8"/>
        <v>0.3000002866331497</v>
      </c>
    </row>
    <row r="567" spans="1:16" x14ac:dyDescent="0.25">
      <c r="A567" t="s">
        <v>1606</v>
      </c>
      <c r="B567" s="1">
        <v>45756</v>
      </c>
      <c r="C567" t="s">
        <v>1607</v>
      </c>
      <c r="D567" t="s">
        <v>48</v>
      </c>
      <c r="E567">
        <v>3752.64</v>
      </c>
      <c r="F567">
        <v>12</v>
      </c>
      <c r="G567">
        <v>1125.79</v>
      </c>
      <c r="H567">
        <v>0</v>
      </c>
      <c r="I567" t="s">
        <v>1607</v>
      </c>
      <c r="J567" t="s">
        <v>609</v>
      </c>
      <c r="K567" t="s">
        <v>71</v>
      </c>
      <c r="L567" t="s">
        <v>1137</v>
      </c>
      <c r="M567" t="s">
        <v>261</v>
      </c>
      <c r="N567" t="s">
        <v>3966</v>
      </c>
      <c r="P567">
        <f t="shared" si="8"/>
        <v>0.29999946704186919</v>
      </c>
    </row>
    <row r="568" spans="1:16" x14ac:dyDescent="0.25">
      <c r="A568" t="s">
        <v>1608</v>
      </c>
      <c r="B568" s="1">
        <v>45122</v>
      </c>
      <c r="C568" t="s">
        <v>1607</v>
      </c>
      <c r="D568" t="s">
        <v>48</v>
      </c>
      <c r="E568">
        <v>3456.96</v>
      </c>
      <c r="F568">
        <v>8</v>
      </c>
      <c r="G568">
        <v>1037.0899999999999</v>
      </c>
      <c r="H568">
        <v>0</v>
      </c>
      <c r="I568" t="s">
        <v>1607</v>
      </c>
      <c r="J568" t="s">
        <v>609</v>
      </c>
      <c r="K568" t="s">
        <v>71</v>
      </c>
      <c r="L568" t="s">
        <v>1137</v>
      </c>
      <c r="M568" t="s">
        <v>261</v>
      </c>
      <c r="N568" t="s">
        <v>3967</v>
      </c>
      <c r="P568">
        <f t="shared" si="8"/>
        <v>0.30000057854299728</v>
      </c>
    </row>
    <row r="569" spans="1:16" x14ac:dyDescent="0.25">
      <c r="A569" t="s">
        <v>1609</v>
      </c>
      <c r="B569" s="1">
        <v>45674</v>
      </c>
      <c r="C569" t="s">
        <v>1610</v>
      </c>
      <c r="D569" t="s">
        <v>91</v>
      </c>
      <c r="E569">
        <v>35.99</v>
      </c>
      <c r="F569">
        <v>3</v>
      </c>
      <c r="G569">
        <v>10.8</v>
      </c>
      <c r="H569">
        <v>0.1</v>
      </c>
      <c r="I569" t="s">
        <v>1610</v>
      </c>
      <c r="J569" t="s">
        <v>1049</v>
      </c>
      <c r="K569" t="s">
        <v>31</v>
      </c>
      <c r="L569" t="s">
        <v>155</v>
      </c>
      <c r="M569" t="s">
        <v>111</v>
      </c>
      <c r="N569" t="s">
        <v>3967</v>
      </c>
      <c r="P569">
        <f t="shared" si="8"/>
        <v>0.30008335648791329</v>
      </c>
    </row>
    <row r="570" spans="1:16" x14ac:dyDescent="0.25">
      <c r="A570" t="s">
        <v>1611</v>
      </c>
      <c r="B570" s="1">
        <v>45709</v>
      </c>
      <c r="C570" t="s">
        <v>1612</v>
      </c>
      <c r="D570" t="s">
        <v>41</v>
      </c>
      <c r="E570">
        <v>1377.09</v>
      </c>
      <c r="F570">
        <v>13</v>
      </c>
      <c r="G570">
        <v>413.13</v>
      </c>
      <c r="H570">
        <v>0</v>
      </c>
      <c r="I570" t="s">
        <v>1612</v>
      </c>
      <c r="J570" t="s">
        <v>1613</v>
      </c>
      <c r="K570" t="s">
        <v>17</v>
      </c>
      <c r="L570" t="s">
        <v>488</v>
      </c>
      <c r="M570" t="s">
        <v>26</v>
      </c>
      <c r="N570" t="s">
        <v>3967</v>
      </c>
      <c r="P570">
        <f t="shared" si="8"/>
        <v>0.3000021785068514</v>
      </c>
    </row>
    <row r="571" spans="1:16" x14ac:dyDescent="0.25">
      <c r="A571" t="s">
        <v>1614</v>
      </c>
      <c r="B571" s="1">
        <v>45126</v>
      </c>
      <c r="C571" t="s">
        <v>1615</v>
      </c>
      <c r="D571" t="s">
        <v>48</v>
      </c>
      <c r="E571">
        <v>10531</v>
      </c>
      <c r="F571">
        <v>20</v>
      </c>
      <c r="G571">
        <v>3159.3</v>
      </c>
      <c r="H571">
        <v>0</v>
      </c>
      <c r="I571" t="s">
        <v>1615</v>
      </c>
      <c r="J571" t="s">
        <v>284</v>
      </c>
      <c r="K571" t="s">
        <v>71</v>
      </c>
      <c r="L571" t="s">
        <v>1616</v>
      </c>
      <c r="M571" t="s">
        <v>51</v>
      </c>
      <c r="N571" t="s">
        <v>3967</v>
      </c>
      <c r="P571">
        <f t="shared" si="8"/>
        <v>0.30000000000000004</v>
      </c>
    </row>
    <row r="572" spans="1:16" x14ac:dyDescent="0.25">
      <c r="A572" t="s">
        <v>1617</v>
      </c>
      <c r="B572" s="1">
        <v>45564</v>
      </c>
      <c r="C572" t="s">
        <v>1618</v>
      </c>
      <c r="D572" t="s">
        <v>22</v>
      </c>
      <c r="E572">
        <v>3550.7</v>
      </c>
      <c r="F572">
        <v>11</v>
      </c>
      <c r="G572">
        <v>1065.21</v>
      </c>
      <c r="H572">
        <v>0.05</v>
      </c>
      <c r="I572" t="s">
        <v>1618</v>
      </c>
      <c r="J572" t="s">
        <v>1619</v>
      </c>
      <c r="K572" t="s">
        <v>71</v>
      </c>
      <c r="L572" t="s">
        <v>50</v>
      </c>
      <c r="M572" t="s">
        <v>51</v>
      </c>
      <c r="N572" t="s">
        <v>3966</v>
      </c>
      <c r="P572">
        <f t="shared" si="8"/>
        <v>0.30000000000000004</v>
      </c>
    </row>
    <row r="573" spans="1:16" x14ac:dyDescent="0.25">
      <c r="A573" t="s">
        <v>1620</v>
      </c>
      <c r="B573" s="1">
        <v>45582</v>
      </c>
      <c r="C573" t="s">
        <v>1621</v>
      </c>
      <c r="D573" t="s">
        <v>15</v>
      </c>
      <c r="E573">
        <v>779.88</v>
      </c>
      <c r="F573">
        <v>10</v>
      </c>
      <c r="G573">
        <v>233.96</v>
      </c>
      <c r="H573">
        <v>0.15</v>
      </c>
      <c r="I573" t="s">
        <v>1621</v>
      </c>
      <c r="J573" t="s">
        <v>1045</v>
      </c>
      <c r="K573" t="s">
        <v>17</v>
      </c>
      <c r="L573" t="s">
        <v>25</v>
      </c>
      <c r="M573" t="s">
        <v>26</v>
      </c>
      <c r="N573" t="s">
        <v>3966</v>
      </c>
      <c r="P573">
        <f t="shared" si="8"/>
        <v>0.29999487100579575</v>
      </c>
    </row>
    <row r="574" spans="1:16" x14ac:dyDescent="0.25">
      <c r="A574" t="s">
        <v>1622</v>
      </c>
      <c r="B574" s="1">
        <v>45819</v>
      </c>
      <c r="C574" t="s">
        <v>1623</v>
      </c>
      <c r="D574" t="s">
        <v>22</v>
      </c>
      <c r="E574">
        <v>184.41</v>
      </c>
      <c r="F574">
        <v>15</v>
      </c>
      <c r="G574">
        <v>55.32</v>
      </c>
      <c r="H574">
        <v>0.1</v>
      </c>
      <c r="I574" t="s">
        <v>1623</v>
      </c>
      <c r="J574" t="s">
        <v>1624</v>
      </c>
      <c r="K574" t="s">
        <v>17</v>
      </c>
      <c r="L574" t="s">
        <v>143</v>
      </c>
      <c r="M574" t="s">
        <v>144</v>
      </c>
      <c r="N574" t="s">
        <v>3966</v>
      </c>
      <c r="P574">
        <f t="shared" si="8"/>
        <v>0.29998373190174071</v>
      </c>
    </row>
    <row r="575" spans="1:16" x14ac:dyDescent="0.25">
      <c r="A575" t="s">
        <v>1625</v>
      </c>
      <c r="B575" s="1">
        <v>45310</v>
      </c>
      <c r="C575" t="s">
        <v>1626</v>
      </c>
      <c r="D575" t="s">
        <v>29</v>
      </c>
      <c r="E575">
        <v>800.44</v>
      </c>
      <c r="F575">
        <v>6</v>
      </c>
      <c r="G575">
        <v>240.13</v>
      </c>
      <c r="H575">
        <v>0.1</v>
      </c>
      <c r="I575" t="s">
        <v>1626</v>
      </c>
      <c r="J575" t="s">
        <v>952</v>
      </c>
      <c r="K575" t="s">
        <v>71</v>
      </c>
      <c r="L575" t="s">
        <v>51</v>
      </c>
      <c r="M575" t="s">
        <v>1627</v>
      </c>
      <c r="N575" t="s">
        <v>3966</v>
      </c>
      <c r="P575">
        <f t="shared" si="8"/>
        <v>0.29999750137424414</v>
      </c>
    </row>
    <row r="576" spans="1:16" x14ac:dyDescent="0.25">
      <c r="A576" t="s">
        <v>1628</v>
      </c>
      <c r="B576" s="1">
        <v>45263</v>
      </c>
      <c r="C576" t="s">
        <v>1629</v>
      </c>
      <c r="D576" t="s">
        <v>36</v>
      </c>
      <c r="E576">
        <v>4628.53</v>
      </c>
      <c r="F576">
        <v>11</v>
      </c>
      <c r="G576">
        <v>1388.56</v>
      </c>
      <c r="H576">
        <v>0.15</v>
      </c>
      <c r="I576" t="s">
        <v>1629</v>
      </c>
      <c r="J576" t="s">
        <v>738</v>
      </c>
      <c r="K576" t="s">
        <v>17</v>
      </c>
      <c r="L576" t="s">
        <v>82</v>
      </c>
      <c r="M576" t="s">
        <v>83</v>
      </c>
      <c r="N576" t="s">
        <v>3966</v>
      </c>
      <c r="P576">
        <f t="shared" si="8"/>
        <v>0.30000021605131649</v>
      </c>
    </row>
    <row r="577" spans="1:16" x14ac:dyDescent="0.25">
      <c r="A577" t="s">
        <v>1546</v>
      </c>
      <c r="B577" s="1">
        <v>45462</v>
      </c>
      <c r="C577" t="s">
        <v>1547</v>
      </c>
      <c r="D577" t="s">
        <v>36</v>
      </c>
      <c r="E577">
        <v>1409.04</v>
      </c>
      <c r="F577">
        <v>6</v>
      </c>
      <c r="G577">
        <v>422.71</v>
      </c>
      <c r="H577">
        <v>0.05</v>
      </c>
      <c r="I577" t="s">
        <v>1547</v>
      </c>
      <c r="J577" t="s">
        <v>1630</v>
      </c>
      <c r="K577" t="s">
        <v>38</v>
      </c>
      <c r="L577" t="s">
        <v>25</v>
      </c>
      <c r="M577" t="s">
        <v>26</v>
      </c>
      <c r="N577" t="s">
        <v>3966</v>
      </c>
      <c r="P577">
        <f t="shared" si="8"/>
        <v>0.29999858059387952</v>
      </c>
    </row>
    <row r="578" spans="1:16" x14ac:dyDescent="0.25">
      <c r="A578" t="s">
        <v>1548</v>
      </c>
      <c r="B578" s="1">
        <v>45100</v>
      </c>
      <c r="C578" t="s">
        <v>1547</v>
      </c>
      <c r="D578" t="s">
        <v>41</v>
      </c>
      <c r="E578">
        <v>1801.7</v>
      </c>
      <c r="F578">
        <v>5</v>
      </c>
      <c r="G578">
        <v>540.51</v>
      </c>
      <c r="H578">
        <v>0</v>
      </c>
      <c r="I578" t="s">
        <v>1547</v>
      </c>
      <c r="J578" t="s">
        <v>1630</v>
      </c>
      <c r="K578" t="s">
        <v>38</v>
      </c>
      <c r="L578" t="s">
        <v>25</v>
      </c>
      <c r="M578" t="s">
        <v>26</v>
      </c>
      <c r="N578" t="s">
        <v>3966</v>
      </c>
      <c r="P578">
        <f t="shared" si="8"/>
        <v>0.3</v>
      </c>
    </row>
    <row r="579" spans="1:16" x14ac:dyDescent="0.25">
      <c r="A579" t="s">
        <v>1631</v>
      </c>
      <c r="B579" s="1">
        <v>45581</v>
      </c>
      <c r="C579" t="s">
        <v>1632</v>
      </c>
      <c r="D579" t="s">
        <v>91</v>
      </c>
      <c r="E579">
        <v>3744.47</v>
      </c>
      <c r="F579">
        <v>19</v>
      </c>
      <c r="G579">
        <v>1123.3399999999999</v>
      </c>
      <c r="H579">
        <v>0.05</v>
      </c>
      <c r="I579" t="s">
        <v>1632</v>
      </c>
      <c r="J579" t="s">
        <v>1633</v>
      </c>
      <c r="K579" t="s">
        <v>71</v>
      </c>
      <c r="L579" t="s">
        <v>164</v>
      </c>
      <c r="M579" t="s">
        <v>266</v>
      </c>
      <c r="N579" t="s">
        <v>3966</v>
      </c>
      <c r="P579">
        <f t="shared" ref="P579:P642" si="9">G579/E579</f>
        <v>0.2999997329395081</v>
      </c>
    </row>
    <row r="580" spans="1:16" x14ac:dyDescent="0.25">
      <c r="A580" t="s">
        <v>1634</v>
      </c>
      <c r="B580" s="1">
        <v>45286</v>
      </c>
      <c r="C580" t="s">
        <v>1635</v>
      </c>
      <c r="D580" t="s">
        <v>41</v>
      </c>
      <c r="E580">
        <v>812.16</v>
      </c>
      <c r="F580">
        <v>3</v>
      </c>
      <c r="G580">
        <v>243.65</v>
      </c>
      <c r="H580">
        <v>0.1</v>
      </c>
      <c r="I580" t="s">
        <v>1635</v>
      </c>
      <c r="J580" t="s">
        <v>679</v>
      </c>
      <c r="K580" t="s">
        <v>17</v>
      </c>
      <c r="L580" t="s">
        <v>582</v>
      </c>
      <c r="M580" t="s">
        <v>412</v>
      </c>
      <c r="N580" t="s">
        <v>3966</v>
      </c>
      <c r="P580">
        <f t="shared" si="9"/>
        <v>0.30000246256895197</v>
      </c>
    </row>
    <row r="581" spans="1:16" x14ac:dyDescent="0.25">
      <c r="A581" t="s">
        <v>1636</v>
      </c>
      <c r="B581" s="1">
        <v>45680</v>
      </c>
      <c r="C581" t="s">
        <v>1635</v>
      </c>
      <c r="D581" t="s">
        <v>15</v>
      </c>
      <c r="E581">
        <v>630.33000000000004</v>
      </c>
      <c r="F581">
        <v>2</v>
      </c>
      <c r="G581">
        <v>189.1</v>
      </c>
      <c r="H581">
        <v>0.15</v>
      </c>
      <c r="I581" t="s">
        <v>1635</v>
      </c>
      <c r="J581" t="s">
        <v>679</v>
      </c>
      <c r="K581" t="s">
        <v>17</v>
      </c>
      <c r="L581" t="s">
        <v>582</v>
      </c>
      <c r="M581" t="s">
        <v>412</v>
      </c>
      <c r="N581" t="s">
        <v>3966</v>
      </c>
      <c r="P581">
        <f t="shared" si="9"/>
        <v>0.3000015864705789</v>
      </c>
    </row>
    <row r="582" spans="1:16" x14ac:dyDescent="0.25">
      <c r="A582" t="s">
        <v>1637</v>
      </c>
      <c r="B582" s="1">
        <v>45201</v>
      </c>
      <c r="C582" t="s">
        <v>1638</v>
      </c>
      <c r="D582" t="s">
        <v>15</v>
      </c>
      <c r="E582">
        <v>1188.43</v>
      </c>
      <c r="F582">
        <v>9</v>
      </c>
      <c r="G582">
        <v>356.53</v>
      </c>
      <c r="H582">
        <v>0.1</v>
      </c>
      <c r="I582" t="s">
        <v>1638</v>
      </c>
      <c r="J582" t="s">
        <v>1639</v>
      </c>
      <c r="K582" t="s">
        <v>38</v>
      </c>
      <c r="L582" t="s">
        <v>524</v>
      </c>
      <c r="M582" t="s">
        <v>266</v>
      </c>
      <c r="N582" t="s">
        <v>3966</v>
      </c>
      <c r="P582">
        <f t="shared" si="9"/>
        <v>0.30000084144627781</v>
      </c>
    </row>
    <row r="583" spans="1:16" x14ac:dyDescent="0.25">
      <c r="A583" t="s">
        <v>1640</v>
      </c>
      <c r="B583" s="1">
        <v>45235</v>
      </c>
      <c r="C583" t="s">
        <v>1641</v>
      </c>
      <c r="D583" t="s">
        <v>29</v>
      </c>
      <c r="E583">
        <v>1726.38</v>
      </c>
      <c r="F583">
        <v>12</v>
      </c>
      <c r="G583">
        <v>517.91</v>
      </c>
      <c r="H583">
        <v>0.1</v>
      </c>
      <c r="I583" t="s">
        <v>1641</v>
      </c>
      <c r="J583" t="s">
        <v>1434</v>
      </c>
      <c r="K583" t="s">
        <v>17</v>
      </c>
      <c r="L583" t="s">
        <v>1642</v>
      </c>
      <c r="M583" t="s">
        <v>310</v>
      </c>
      <c r="N583" t="s">
        <v>3966</v>
      </c>
      <c r="P583">
        <f t="shared" si="9"/>
        <v>0.29999768301300983</v>
      </c>
    </row>
    <row r="584" spans="1:16" x14ac:dyDescent="0.25">
      <c r="A584" t="s">
        <v>1643</v>
      </c>
      <c r="B584" s="1">
        <v>45095</v>
      </c>
      <c r="C584" t="s">
        <v>1644</v>
      </c>
      <c r="D584" t="s">
        <v>41</v>
      </c>
      <c r="E584">
        <v>2243.75</v>
      </c>
      <c r="F584">
        <v>13</v>
      </c>
      <c r="G584">
        <v>673.12</v>
      </c>
      <c r="H584">
        <v>0.05</v>
      </c>
      <c r="I584" t="s">
        <v>1644</v>
      </c>
      <c r="J584" t="s">
        <v>1645</v>
      </c>
      <c r="K584" t="s">
        <v>24</v>
      </c>
      <c r="L584" t="s">
        <v>25</v>
      </c>
      <c r="M584" t="s">
        <v>26</v>
      </c>
      <c r="N584" t="s">
        <v>3966</v>
      </c>
      <c r="P584">
        <f t="shared" si="9"/>
        <v>0.29999777158774371</v>
      </c>
    </row>
    <row r="585" spans="1:16" x14ac:dyDescent="0.25">
      <c r="A585" t="s">
        <v>1646</v>
      </c>
      <c r="B585" s="1">
        <v>45702</v>
      </c>
      <c r="C585" t="s">
        <v>1647</v>
      </c>
      <c r="D585" t="s">
        <v>48</v>
      </c>
      <c r="E585">
        <v>359.43</v>
      </c>
      <c r="F585">
        <v>1</v>
      </c>
      <c r="G585">
        <v>107.83</v>
      </c>
      <c r="H585">
        <v>0.05</v>
      </c>
      <c r="I585" t="s">
        <v>1647</v>
      </c>
      <c r="J585" t="s">
        <v>1648</v>
      </c>
      <c r="K585" t="s">
        <v>38</v>
      </c>
      <c r="L585" t="s">
        <v>1137</v>
      </c>
      <c r="M585" t="s">
        <v>44</v>
      </c>
      <c r="N585" t="s">
        <v>3966</v>
      </c>
      <c r="P585">
        <f t="shared" si="9"/>
        <v>0.30000278218290072</v>
      </c>
    </row>
    <row r="586" spans="1:16" x14ac:dyDescent="0.25">
      <c r="A586" t="s">
        <v>1649</v>
      </c>
      <c r="B586" s="1">
        <v>45488</v>
      </c>
      <c r="C586" t="s">
        <v>1647</v>
      </c>
      <c r="D586" t="s">
        <v>22</v>
      </c>
      <c r="E586">
        <v>464.58</v>
      </c>
      <c r="F586">
        <v>16</v>
      </c>
      <c r="G586">
        <v>139.37</v>
      </c>
      <c r="H586">
        <v>0.15</v>
      </c>
      <c r="I586" t="s">
        <v>1647</v>
      </c>
      <c r="J586" t="s">
        <v>1648</v>
      </c>
      <c r="K586" t="s">
        <v>38</v>
      </c>
      <c r="L586" t="s">
        <v>1137</v>
      </c>
      <c r="M586" t="s">
        <v>44</v>
      </c>
      <c r="N586" t="s">
        <v>3966</v>
      </c>
      <c r="P586">
        <f t="shared" si="9"/>
        <v>0.29999139007275388</v>
      </c>
    </row>
    <row r="587" spans="1:16" x14ac:dyDescent="0.25">
      <c r="A587" t="s">
        <v>850</v>
      </c>
      <c r="B587" s="1">
        <v>45457</v>
      </c>
      <c r="C587" t="s">
        <v>851</v>
      </c>
      <c r="D587" t="s">
        <v>15</v>
      </c>
      <c r="E587">
        <v>517.37</v>
      </c>
      <c r="F587">
        <v>2</v>
      </c>
      <c r="G587">
        <v>155.21</v>
      </c>
      <c r="H587">
        <v>0.1</v>
      </c>
      <c r="I587" t="s">
        <v>851</v>
      </c>
      <c r="J587" t="s">
        <v>1650</v>
      </c>
      <c r="K587" t="s">
        <v>38</v>
      </c>
      <c r="L587" t="s">
        <v>1651</v>
      </c>
      <c r="M587" t="s">
        <v>310</v>
      </c>
      <c r="N587" t="s">
        <v>3966</v>
      </c>
      <c r="P587">
        <f t="shared" si="9"/>
        <v>0.2999980671473027</v>
      </c>
    </row>
    <row r="588" spans="1:16" x14ac:dyDescent="0.25">
      <c r="A588" t="s">
        <v>853</v>
      </c>
      <c r="B588" s="1">
        <v>45059</v>
      </c>
      <c r="C588" t="s">
        <v>851</v>
      </c>
      <c r="D588" t="s">
        <v>15</v>
      </c>
      <c r="E588">
        <v>492.48</v>
      </c>
      <c r="F588">
        <v>7</v>
      </c>
      <c r="G588">
        <v>147.74</v>
      </c>
      <c r="H588">
        <v>0.15</v>
      </c>
      <c r="I588" t="s">
        <v>851</v>
      </c>
      <c r="J588" t="s">
        <v>1650</v>
      </c>
      <c r="K588" t="s">
        <v>38</v>
      </c>
      <c r="L588" t="s">
        <v>1651</v>
      </c>
      <c r="M588" t="s">
        <v>310</v>
      </c>
      <c r="N588" t="s">
        <v>3966</v>
      </c>
      <c r="P588">
        <f t="shared" si="9"/>
        <v>0.29999187784275505</v>
      </c>
    </row>
    <row r="589" spans="1:16" x14ac:dyDescent="0.25">
      <c r="A589" t="s">
        <v>1652</v>
      </c>
      <c r="B589" s="1">
        <v>45387</v>
      </c>
      <c r="C589" t="s">
        <v>1653</v>
      </c>
      <c r="D589" t="s">
        <v>48</v>
      </c>
      <c r="E589">
        <v>5175.8599999999997</v>
      </c>
      <c r="F589">
        <v>15</v>
      </c>
      <c r="G589">
        <v>1552.76</v>
      </c>
      <c r="H589">
        <v>0.15</v>
      </c>
      <c r="I589" t="s">
        <v>1653</v>
      </c>
      <c r="J589" t="s">
        <v>1654</v>
      </c>
      <c r="K589" t="s">
        <v>17</v>
      </c>
      <c r="L589" t="s">
        <v>143</v>
      </c>
      <c r="M589" t="s">
        <v>144</v>
      </c>
      <c r="N589" t="s">
        <v>3966</v>
      </c>
      <c r="P589">
        <f t="shared" si="9"/>
        <v>0.30000038640921511</v>
      </c>
    </row>
    <row r="590" spans="1:16" x14ac:dyDescent="0.25">
      <c r="A590" t="s">
        <v>1655</v>
      </c>
      <c r="B590" s="1">
        <v>44984</v>
      </c>
      <c r="C590" t="s">
        <v>1656</v>
      </c>
      <c r="D590" t="s">
        <v>15</v>
      </c>
      <c r="E590">
        <v>430.61</v>
      </c>
      <c r="F590">
        <v>1</v>
      </c>
      <c r="G590">
        <v>129.18</v>
      </c>
      <c r="H590">
        <v>0</v>
      </c>
      <c r="I590" t="s">
        <v>1656</v>
      </c>
      <c r="J590" t="s">
        <v>1657</v>
      </c>
      <c r="K590" t="s">
        <v>31</v>
      </c>
      <c r="L590" t="s">
        <v>155</v>
      </c>
      <c r="M590" t="s">
        <v>111</v>
      </c>
      <c r="N590" t="s">
        <v>3966</v>
      </c>
      <c r="P590">
        <f t="shared" si="9"/>
        <v>0.2999930331390353</v>
      </c>
    </row>
    <row r="591" spans="1:16" x14ac:dyDescent="0.25">
      <c r="A591" t="s">
        <v>1658</v>
      </c>
      <c r="B591" s="1">
        <v>45138</v>
      </c>
      <c r="C591" t="s">
        <v>1659</v>
      </c>
      <c r="D591" t="s">
        <v>15</v>
      </c>
      <c r="E591">
        <v>2540.25</v>
      </c>
      <c r="F591">
        <v>5</v>
      </c>
      <c r="G591">
        <v>762.08</v>
      </c>
      <c r="H591">
        <v>0</v>
      </c>
      <c r="I591" t="s">
        <v>1659</v>
      </c>
      <c r="J591" t="s">
        <v>106</v>
      </c>
      <c r="K591" t="s">
        <v>71</v>
      </c>
      <c r="L591" t="s">
        <v>1660</v>
      </c>
      <c r="M591" t="s">
        <v>111</v>
      </c>
      <c r="N591" t="s">
        <v>3966</v>
      </c>
      <c r="P591">
        <f t="shared" si="9"/>
        <v>0.3000019683102057</v>
      </c>
    </row>
    <row r="592" spans="1:16" x14ac:dyDescent="0.25">
      <c r="A592" t="s">
        <v>1661</v>
      </c>
      <c r="B592" s="1">
        <v>44988</v>
      </c>
      <c r="C592" t="s">
        <v>1662</v>
      </c>
      <c r="D592" t="s">
        <v>15</v>
      </c>
      <c r="E592">
        <v>5778.82</v>
      </c>
      <c r="F592">
        <v>13</v>
      </c>
      <c r="G592">
        <v>1733.65</v>
      </c>
      <c r="H592">
        <v>0.15</v>
      </c>
      <c r="I592" t="s">
        <v>1662</v>
      </c>
      <c r="J592" t="s">
        <v>1001</v>
      </c>
      <c r="K592" t="s">
        <v>71</v>
      </c>
      <c r="L592" t="s">
        <v>719</v>
      </c>
      <c r="M592" t="s">
        <v>33</v>
      </c>
      <c r="N592" t="s">
        <v>3966</v>
      </c>
      <c r="P592">
        <f t="shared" si="9"/>
        <v>0.30000069218283321</v>
      </c>
    </row>
    <row r="593" spans="1:16" x14ac:dyDescent="0.25">
      <c r="A593" t="s">
        <v>1663</v>
      </c>
      <c r="B593" s="1">
        <v>45042</v>
      </c>
      <c r="C593" t="s">
        <v>1664</v>
      </c>
      <c r="D593" t="s">
        <v>15</v>
      </c>
      <c r="E593">
        <v>3981.83</v>
      </c>
      <c r="F593">
        <v>17</v>
      </c>
      <c r="G593">
        <v>1194.55</v>
      </c>
      <c r="H593">
        <v>0.1</v>
      </c>
      <c r="I593" t="s">
        <v>1664</v>
      </c>
      <c r="J593" t="s">
        <v>298</v>
      </c>
      <c r="K593" t="s">
        <v>24</v>
      </c>
      <c r="L593" t="s">
        <v>72</v>
      </c>
      <c r="M593" t="s">
        <v>26</v>
      </c>
      <c r="N593" t="s">
        <v>3966</v>
      </c>
      <c r="P593">
        <f t="shared" si="9"/>
        <v>0.30000025114080708</v>
      </c>
    </row>
    <row r="594" spans="1:16" x14ac:dyDescent="0.25">
      <c r="A594" t="s">
        <v>1665</v>
      </c>
      <c r="B594" s="1">
        <v>45584</v>
      </c>
      <c r="C594" t="s">
        <v>1666</v>
      </c>
      <c r="D594" t="s">
        <v>22</v>
      </c>
      <c r="E594">
        <v>2965.73</v>
      </c>
      <c r="F594">
        <v>6</v>
      </c>
      <c r="G594">
        <v>889.72</v>
      </c>
      <c r="H594">
        <v>0.1</v>
      </c>
      <c r="I594" t="s">
        <v>1666</v>
      </c>
      <c r="J594" t="s">
        <v>1667</v>
      </c>
      <c r="K594" t="s">
        <v>17</v>
      </c>
      <c r="L594" t="s">
        <v>82</v>
      </c>
      <c r="M594" t="s">
        <v>83</v>
      </c>
      <c r="N594" t="s">
        <v>3966</v>
      </c>
      <c r="P594">
        <f t="shared" si="9"/>
        <v>0.30000033718511127</v>
      </c>
    </row>
    <row r="595" spans="1:16" x14ac:dyDescent="0.25">
      <c r="A595" t="s">
        <v>1668</v>
      </c>
      <c r="B595" s="1">
        <v>45473</v>
      </c>
      <c r="C595" t="s">
        <v>1669</v>
      </c>
      <c r="D595" t="s">
        <v>41</v>
      </c>
      <c r="E595">
        <v>6825.17</v>
      </c>
      <c r="F595">
        <v>17</v>
      </c>
      <c r="G595">
        <v>2047.55</v>
      </c>
      <c r="H595">
        <v>0.15</v>
      </c>
      <c r="I595" t="s">
        <v>1669</v>
      </c>
      <c r="J595" t="s">
        <v>1670</v>
      </c>
      <c r="K595" t="s">
        <v>38</v>
      </c>
      <c r="L595" t="s">
        <v>143</v>
      </c>
      <c r="M595" t="s">
        <v>144</v>
      </c>
      <c r="N595" t="s">
        <v>3966</v>
      </c>
      <c r="P595">
        <f t="shared" si="9"/>
        <v>0.29999985348350294</v>
      </c>
    </row>
    <row r="596" spans="1:16" x14ac:dyDescent="0.25">
      <c r="A596" t="s">
        <v>338</v>
      </c>
      <c r="B596" s="1">
        <v>45576</v>
      </c>
      <c r="C596" t="s">
        <v>339</v>
      </c>
      <c r="D596" t="s">
        <v>15</v>
      </c>
      <c r="E596">
        <v>5371.47</v>
      </c>
      <c r="F596">
        <v>9</v>
      </c>
      <c r="G596">
        <v>1611.44</v>
      </c>
      <c r="H596">
        <v>0</v>
      </c>
      <c r="I596" t="s">
        <v>339</v>
      </c>
      <c r="J596" t="s">
        <v>577</v>
      </c>
      <c r="K596" t="s">
        <v>71</v>
      </c>
      <c r="L596" t="s">
        <v>488</v>
      </c>
      <c r="M596" t="s">
        <v>26</v>
      </c>
      <c r="N596" t="s">
        <v>3966</v>
      </c>
      <c r="P596">
        <f t="shared" si="9"/>
        <v>0.29999981383122309</v>
      </c>
    </row>
    <row r="597" spans="1:16" x14ac:dyDescent="0.25">
      <c r="A597" t="s">
        <v>343</v>
      </c>
      <c r="B597" s="1">
        <v>45588</v>
      </c>
      <c r="C597" t="s">
        <v>339</v>
      </c>
      <c r="D597" t="s">
        <v>22</v>
      </c>
      <c r="E597">
        <v>5613.55</v>
      </c>
      <c r="F597">
        <v>14</v>
      </c>
      <c r="G597">
        <v>1684.07</v>
      </c>
      <c r="H597">
        <v>0.1</v>
      </c>
      <c r="I597" t="s">
        <v>339</v>
      </c>
      <c r="J597" t="s">
        <v>577</v>
      </c>
      <c r="K597" t="s">
        <v>71</v>
      </c>
      <c r="L597" t="s">
        <v>488</v>
      </c>
      <c r="M597" t="s">
        <v>26</v>
      </c>
      <c r="N597" t="s">
        <v>3966</v>
      </c>
      <c r="P597">
        <f t="shared" si="9"/>
        <v>0.30000089070196218</v>
      </c>
    </row>
    <row r="598" spans="1:16" x14ac:dyDescent="0.25">
      <c r="A598" t="s">
        <v>1671</v>
      </c>
      <c r="B598" s="1">
        <v>45822</v>
      </c>
      <c r="C598" t="s">
        <v>1672</v>
      </c>
      <c r="D598" t="s">
        <v>48</v>
      </c>
      <c r="E598">
        <v>2079.54</v>
      </c>
      <c r="F598">
        <v>15</v>
      </c>
      <c r="G598">
        <v>623.86</v>
      </c>
      <c r="H598">
        <v>0.1</v>
      </c>
      <c r="I598" t="s">
        <v>1672</v>
      </c>
      <c r="J598" t="s">
        <v>1673</v>
      </c>
      <c r="K598" t="s">
        <v>38</v>
      </c>
      <c r="L598" t="s">
        <v>82</v>
      </c>
      <c r="M598" t="s">
        <v>83</v>
      </c>
      <c r="N598" t="s">
        <v>3966</v>
      </c>
      <c r="P598">
        <f t="shared" si="9"/>
        <v>0.2999990382488435</v>
      </c>
    </row>
    <row r="599" spans="1:16" x14ac:dyDescent="0.25">
      <c r="A599" t="s">
        <v>1674</v>
      </c>
      <c r="B599" s="1">
        <v>45648</v>
      </c>
      <c r="C599" t="s">
        <v>1675</v>
      </c>
      <c r="D599" t="s">
        <v>15</v>
      </c>
      <c r="E599">
        <v>8107.13</v>
      </c>
      <c r="F599">
        <v>18</v>
      </c>
      <c r="G599">
        <v>2432.14</v>
      </c>
      <c r="H599">
        <v>0.1</v>
      </c>
      <c r="I599" t="s">
        <v>1675</v>
      </c>
      <c r="J599" t="s">
        <v>651</v>
      </c>
      <c r="K599" t="s">
        <v>17</v>
      </c>
      <c r="L599" t="s">
        <v>99</v>
      </c>
      <c r="M599" t="s">
        <v>56</v>
      </c>
      <c r="N599" t="s">
        <v>3966</v>
      </c>
      <c r="P599">
        <f t="shared" si="9"/>
        <v>0.30000012334821324</v>
      </c>
    </row>
    <row r="600" spans="1:16" x14ac:dyDescent="0.25">
      <c r="A600" t="s">
        <v>1676</v>
      </c>
      <c r="B600" s="1">
        <v>45404</v>
      </c>
      <c r="C600" t="s">
        <v>1677</v>
      </c>
      <c r="D600" t="s">
        <v>91</v>
      </c>
      <c r="E600">
        <v>1910.85</v>
      </c>
      <c r="F600">
        <v>5</v>
      </c>
      <c r="G600">
        <v>573.26</v>
      </c>
      <c r="H600">
        <v>0</v>
      </c>
      <c r="I600" t="s">
        <v>1677</v>
      </c>
      <c r="J600" t="s">
        <v>1678</v>
      </c>
      <c r="K600" t="s">
        <v>71</v>
      </c>
      <c r="L600" t="s">
        <v>1500</v>
      </c>
      <c r="M600" t="s">
        <v>266</v>
      </c>
      <c r="N600" t="s">
        <v>3966</v>
      </c>
      <c r="P600">
        <f t="shared" si="9"/>
        <v>0.30000261663657535</v>
      </c>
    </row>
    <row r="601" spans="1:16" x14ac:dyDescent="0.25">
      <c r="A601" t="s">
        <v>1679</v>
      </c>
      <c r="B601" s="1">
        <v>45682</v>
      </c>
      <c r="C601" t="s">
        <v>1680</v>
      </c>
      <c r="D601" t="s">
        <v>36</v>
      </c>
      <c r="E601">
        <v>932.13</v>
      </c>
      <c r="F601">
        <v>3</v>
      </c>
      <c r="G601">
        <v>279.64</v>
      </c>
      <c r="H601">
        <v>0.15</v>
      </c>
      <c r="I601" t="s">
        <v>1680</v>
      </c>
      <c r="J601" t="s">
        <v>1681</v>
      </c>
      <c r="K601" t="s">
        <v>31</v>
      </c>
      <c r="L601" t="s">
        <v>72</v>
      </c>
      <c r="M601" t="s">
        <v>26</v>
      </c>
      <c r="N601" t="s">
        <v>3966</v>
      </c>
      <c r="P601">
        <f t="shared" si="9"/>
        <v>0.30000107281173227</v>
      </c>
    </row>
    <row r="602" spans="1:16" x14ac:dyDescent="0.25">
      <c r="A602" t="s">
        <v>1682</v>
      </c>
      <c r="B602" s="1">
        <v>45609</v>
      </c>
      <c r="C602" t="s">
        <v>1683</v>
      </c>
      <c r="D602" t="s">
        <v>15</v>
      </c>
      <c r="E602">
        <v>1148.05</v>
      </c>
      <c r="F602">
        <v>5</v>
      </c>
      <c r="G602">
        <v>344.42</v>
      </c>
      <c r="H602">
        <v>0.15</v>
      </c>
      <c r="I602" t="s">
        <v>1683</v>
      </c>
      <c r="J602" t="s">
        <v>1684</v>
      </c>
      <c r="K602" t="s">
        <v>31</v>
      </c>
      <c r="L602" t="s">
        <v>1685</v>
      </c>
      <c r="M602" t="s">
        <v>56</v>
      </c>
      <c r="N602" t="s">
        <v>3966</v>
      </c>
      <c r="P602">
        <f t="shared" si="9"/>
        <v>0.30000435521100999</v>
      </c>
    </row>
    <row r="603" spans="1:16" x14ac:dyDescent="0.25">
      <c r="A603" t="s">
        <v>1686</v>
      </c>
      <c r="B603" s="1">
        <v>45001</v>
      </c>
      <c r="C603" t="s">
        <v>1687</v>
      </c>
      <c r="D603" t="s">
        <v>91</v>
      </c>
      <c r="E603">
        <v>816.26</v>
      </c>
      <c r="F603">
        <v>2</v>
      </c>
      <c r="G603">
        <v>244.88</v>
      </c>
      <c r="H603">
        <v>0.15</v>
      </c>
      <c r="I603" t="s">
        <v>1687</v>
      </c>
      <c r="J603" t="s">
        <v>767</v>
      </c>
      <c r="K603" t="s">
        <v>17</v>
      </c>
      <c r="L603" t="s">
        <v>82</v>
      </c>
      <c r="M603" t="s">
        <v>83</v>
      </c>
      <c r="N603" t="s">
        <v>3966</v>
      </c>
      <c r="P603">
        <f t="shared" si="9"/>
        <v>0.3000024501996913</v>
      </c>
    </row>
    <row r="604" spans="1:16" x14ac:dyDescent="0.25">
      <c r="A604" t="s">
        <v>1688</v>
      </c>
      <c r="B604" s="1">
        <v>45052</v>
      </c>
      <c r="C604" t="s">
        <v>1689</v>
      </c>
      <c r="D604" t="s">
        <v>15</v>
      </c>
      <c r="E604">
        <v>6719.27</v>
      </c>
      <c r="F604">
        <v>18</v>
      </c>
      <c r="G604">
        <v>2015.78</v>
      </c>
      <c r="H604">
        <v>0.1</v>
      </c>
      <c r="I604" t="s">
        <v>1689</v>
      </c>
      <c r="J604" t="s">
        <v>1690</v>
      </c>
      <c r="K604" t="s">
        <v>31</v>
      </c>
      <c r="L604" t="s">
        <v>25</v>
      </c>
      <c r="M604" t="s">
        <v>26</v>
      </c>
      <c r="N604" t="s">
        <v>3966</v>
      </c>
      <c r="P604">
        <f t="shared" si="9"/>
        <v>0.29999985117430911</v>
      </c>
    </row>
    <row r="605" spans="1:16" x14ac:dyDescent="0.25">
      <c r="A605" t="s">
        <v>1052</v>
      </c>
      <c r="B605" s="1">
        <v>45611</v>
      </c>
      <c r="C605" t="s">
        <v>1053</v>
      </c>
      <c r="D605" t="s">
        <v>48</v>
      </c>
      <c r="E605">
        <v>982.4</v>
      </c>
      <c r="F605">
        <v>10</v>
      </c>
      <c r="G605">
        <v>294.72000000000003</v>
      </c>
      <c r="H605">
        <v>0</v>
      </c>
      <c r="I605" t="s">
        <v>1053</v>
      </c>
      <c r="J605" t="s">
        <v>1691</v>
      </c>
      <c r="K605" t="s">
        <v>17</v>
      </c>
      <c r="L605" t="s">
        <v>423</v>
      </c>
      <c r="M605" t="s">
        <v>244</v>
      </c>
      <c r="N605" t="s">
        <v>3966</v>
      </c>
      <c r="P605">
        <f t="shared" si="9"/>
        <v>0.30000000000000004</v>
      </c>
    </row>
    <row r="606" spans="1:16" x14ac:dyDescent="0.25">
      <c r="A606" t="s">
        <v>1055</v>
      </c>
      <c r="B606" s="1">
        <v>45767</v>
      </c>
      <c r="C606" t="s">
        <v>1053</v>
      </c>
      <c r="D606" t="s">
        <v>15</v>
      </c>
      <c r="E606">
        <v>2894.6</v>
      </c>
      <c r="F606">
        <v>5</v>
      </c>
      <c r="G606">
        <v>868.38</v>
      </c>
      <c r="H606">
        <v>0</v>
      </c>
      <c r="I606" t="s">
        <v>1053</v>
      </c>
      <c r="J606" t="s">
        <v>1691</v>
      </c>
      <c r="K606" t="s">
        <v>17</v>
      </c>
      <c r="L606" t="s">
        <v>423</v>
      </c>
      <c r="M606" t="s">
        <v>244</v>
      </c>
      <c r="N606" t="s">
        <v>3966</v>
      </c>
      <c r="P606">
        <f t="shared" si="9"/>
        <v>0.3</v>
      </c>
    </row>
    <row r="607" spans="1:16" x14ac:dyDescent="0.25">
      <c r="A607" t="s">
        <v>1692</v>
      </c>
      <c r="B607" s="1">
        <v>45568</v>
      </c>
      <c r="C607" t="s">
        <v>1693</v>
      </c>
      <c r="D607" t="s">
        <v>29</v>
      </c>
      <c r="E607">
        <v>486.59</v>
      </c>
      <c r="F607">
        <v>19</v>
      </c>
      <c r="G607">
        <v>145.97999999999999</v>
      </c>
      <c r="H607">
        <v>0</v>
      </c>
      <c r="I607" t="s">
        <v>1693</v>
      </c>
      <c r="J607" t="s">
        <v>1694</v>
      </c>
      <c r="K607" t="s">
        <v>38</v>
      </c>
      <c r="L607" t="s">
        <v>143</v>
      </c>
      <c r="M607" t="s">
        <v>144</v>
      </c>
      <c r="N607" t="s">
        <v>3966</v>
      </c>
      <c r="P607">
        <f t="shared" si="9"/>
        <v>0.30000616535481617</v>
      </c>
    </row>
    <row r="608" spans="1:16" x14ac:dyDescent="0.25">
      <c r="A608" t="s">
        <v>1695</v>
      </c>
      <c r="B608" s="1">
        <v>45471</v>
      </c>
      <c r="C608" t="s">
        <v>1693</v>
      </c>
      <c r="D608" t="s">
        <v>15</v>
      </c>
      <c r="E608">
        <v>1297.32</v>
      </c>
      <c r="F608">
        <v>6</v>
      </c>
      <c r="G608">
        <v>389.2</v>
      </c>
      <c r="H608">
        <v>0.05</v>
      </c>
      <c r="I608" t="s">
        <v>1693</v>
      </c>
      <c r="J608" t="s">
        <v>1694</v>
      </c>
      <c r="K608" t="s">
        <v>38</v>
      </c>
      <c r="L608" t="s">
        <v>143</v>
      </c>
      <c r="M608" t="s">
        <v>144</v>
      </c>
      <c r="N608" t="s">
        <v>3966</v>
      </c>
      <c r="P608">
        <f t="shared" si="9"/>
        <v>0.30000308327937597</v>
      </c>
    </row>
    <row r="609" spans="1:16" x14ac:dyDescent="0.25">
      <c r="A609" t="s">
        <v>1696</v>
      </c>
      <c r="B609" s="1">
        <v>45788</v>
      </c>
      <c r="C609" t="s">
        <v>1697</v>
      </c>
      <c r="D609" t="s">
        <v>48</v>
      </c>
      <c r="E609">
        <v>578.54999999999995</v>
      </c>
      <c r="F609">
        <v>5</v>
      </c>
      <c r="G609">
        <v>173.57</v>
      </c>
      <c r="H609">
        <v>0.15</v>
      </c>
      <c r="I609" t="s">
        <v>1697</v>
      </c>
      <c r="J609" t="s">
        <v>1698</v>
      </c>
      <c r="K609" t="s">
        <v>38</v>
      </c>
      <c r="L609" t="s">
        <v>923</v>
      </c>
      <c r="M609" t="s">
        <v>160</v>
      </c>
      <c r="N609" t="s">
        <v>3966</v>
      </c>
      <c r="P609">
        <f t="shared" si="9"/>
        <v>0.30000864229539365</v>
      </c>
    </row>
    <row r="610" spans="1:16" x14ac:dyDescent="0.25">
      <c r="A610" t="s">
        <v>1699</v>
      </c>
      <c r="B610" s="1">
        <v>44983</v>
      </c>
      <c r="C610" t="s">
        <v>1700</v>
      </c>
      <c r="D610" t="s">
        <v>91</v>
      </c>
      <c r="E610">
        <v>2201.09</v>
      </c>
      <c r="F610">
        <v>5</v>
      </c>
      <c r="G610">
        <v>660.33</v>
      </c>
      <c r="H610">
        <v>0.1</v>
      </c>
      <c r="I610" t="s">
        <v>1700</v>
      </c>
      <c r="J610" t="s">
        <v>1701</v>
      </c>
      <c r="K610" t="s">
        <v>38</v>
      </c>
      <c r="L610" t="s">
        <v>265</v>
      </c>
      <c r="M610" t="s">
        <v>139</v>
      </c>
      <c r="N610" t="s">
        <v>3966</v>
      </c>
      <c r="P610">
        <f t="shared" si="9"/>
        <v>0.30000136296107838</v>
      </c>
    </row>
    <row r="611" spans="1:16" x14ac:dyDescent="0.25">
      <c r="A611" t="s">
        <v>1702</v>
      </c>
      <c r="B611" s="1">
        <v>45412</v>
      </c>
      <c r="C611" t="s">
        <v>1703</v>
      </c>
      <c r="D611" t="s">
        <v>15</v>
      </c>
      <c r="E611">
        <v>1657.44</v>
      </c>
      <c r="F611">
        <v>4</v>
      </c>
      <c r="G611">
        <v>497.23</v>
      </c>
      <c r="H611">
        <v>0</v>
      </c>
      <c r="I611" t="s">
        <v>1703</v>
      </c>
      <c r="J611" t="s">
        <v>1704</v>
      </c>
      <c r="K611" t="s">
        <v>24</v>
      </c>
      <c r="L611" t="s">
        <v>50</v>
      </c>
      <c r="M611" t="s">
        <v>51</v>
      </c>
      <c r="N611" t="s">
        <v>3966</v>
      </c>
      <c r="P611">
        <f t="shared" si="9"/>
        <v>0.29999879331981849</v>
      </c>
    </row>
    <row r="612" spans="1:16" x14ac:dyDescent="0.25">
      <c r="A612" t="s">
        <v>1705</v>
      </c>
      <c r="B612" s="1">
        <v>45727</v>
      </c>
      <c r="C612" t="s">
        <v>1706</v>
      </c>
      <c r="D612" t="s">
        <v>15</v>
      </c>
      <c r="E612">
        <v>705.13</v>
      </c>
      <c r="F612">
        <v>6</v>
      </c>
      <c r="G612">
        <v>211.54</v>
      </c>
      <c r="H612">
        <v>0.15</v>
      </c>
      <c r="I612" t="s">
        <v>1706</v>
      </c>
      <c r="J612" t="s">
        <v>1707</v>
      </c>
      <c r="K612" t="s">
        <v>17</v>
      </c>
      <c r="L612" t="s">
        <v>459</v>
      </c>
      <c r="M612" t="s">
        <v>129</v>
      </c>
      <c r="N612" t="s">
        <v>3967</v>
      </c>
      <c r="P612">
        <f t="shared" si="9"/>
        <v>0.30000141817820825</v>
      </c>
    </row>
    <row r="613" spans="1:16" x14ac:dyDescent="0.25">
      <c r="A613" t="s">
        <v>1708</v>
      </c>
      <c r="B613" s="1">
        <v>45838</v>
      </c>
      <c r="C613" t="s">
        <v>1709</v>
      </c>
      <c r="D613" t="s">
        <v>22</v>
      </c>
      <c r="E613">
        <v>5558.3</v>
      </c>
      <c r="F613">
        <v>12</v>
      </c>
      <c r="G613">
        <v>1667.49</v>
      </c>
      <c r="H613">
        <v>0.05</v>
      </c>
      <c r="I613" t="s">
        <v>1709</v>
      </c>
      <c r="J613" t="s">
        <v>163</v>
      </c>
      <c r="K613" t="s">
        <v>17</v>
      </c>
      <c r="L613" t="s">
        <v>1710</v>
      </c>
      <c r="M613" t="s">
        <v>144</v>
      </c>
      <c r="N613" t="s">
        <v>3967</v>
      </c>
      <c r="P613">
        <f t="shared" si="9"/>
        <v>0.3</v>
      </c>
    </row>
    <row r="614" spans="1:16" x14ac:dyDescent="0.25">
      <c r="A614" t="s">
        <v>1711</v>
      </c>
      <c r="B614" s="1">
        <v>45445</v>
      </c>
      <c r="C614" t="s">
        <v>1712</v>
      </c>
      <c r="D614" t="s">
        <v>36</v>
      </c>
      <c r="E614">
        <v>8118.7</v>
      </c>
      <c r="F614">
        <v>20</v>
      </c>
      <c r="G614">
        <v>2435.61</v>
      </c>
      <c r="H614">
        <v>0.05</v>
      </c>
      <c r="I614" t="s">
        <v>1712</v>
      </c>
      <c r="J614" t="s">
        <v>242</v>
      </c>
      <c r="K614" t="s">
        <v>31</v>
      </c>
      <c r="L614" t="s">
        <v>696</v>
      </c>
      <c r="M614" t="s">
        <v>261</v>
      </c>
      <c r="N614" t="s">
        <v>3967</v>
      </c>
      <c r="P614">
        <f t="shared" si="9"/>
        <v>0.30000000000000004</v>
      </c>
    </row>
    <row r="615" spans="1:16" x14ac:dyDescent="0.25">
      <c r="A615" t="s">
        <v>1713</v>
      </c>
      <c r="B615" s="1">
        <v>45536</v>
      </c>
      <c r="C615" t="s">
        <v>1714</v>
      </c>
      <c r="D615" t="s">
        <v>15</v>
      </c>
      <c r="E615">
        <v>8009.31</v>
      </c>
      <c r="F615">
        <v>16</v>
      </c>
      <c r="G615">
        <v>2402.79</v>
      </c>
      <c r="H615">
        <v>0.15</v>
      </c>
      <c r="I615" t="s">
        <v>1714</v>
      </c>
      <c r="J615" t="s">
        <v>1715</v>
      </c>
      <c r="K615" t="s">
        <v>24</v>
      </c>
      <c r="L615" t="s">
        <v>1716</v>
      </c>
      <c r="M615" t="s">
        <v>26</v>
      </c>
      <c r="N615" t="s">
        <v>3967</v>
      </c>
      <c r="P615">
        <f t="shared" si="9"/>
        <v>0.29999962543589898</v>
      </c>
    </row>
    <row r="616" spans="1:16" x14ac:dyDescent="0.25">
      <c r="A616" t="s">
        <v>1717</v>
      </c>
      <c r="B616" s="1">
        <v>45668</v>
      </c>
      <c r="C616" t="s">
        <v>1718</v>
      </c>
      <c r="D616" t="s">
        <v>15</v>
      </c>
      <c r="E616">
        <v>2319.0300000000002</v>
      </c>
      <c r="F616">
        <v>6</v>
      </c>
      <c r="G616">
        <v>695.71</v>
      </c>
      <c r="H616">
        <v>0.1</v>
      </c>
      <c r="I616" t="s">
        <v>1718</v>
      </c>
      <c r="J616" t="s">
        <v>1542</v>
      </c>
      <c r="K616" t="s">
        <v>24</v>
      </c>
      <c r="L616" t="s">
        <v>383</v>
      </c>
      <c r="M616" t="s">
        <v>44</v>
      </c>
      <c r="N616" t="s">
        <v>3966</v>
      </c>
      <c r="P616">
        <f t="shared" si="9"/>
        <v>0.30000043121477515</v>
      </c>
    </row>
    <row r="617" spans="1:16" x14ac:dyDescent="0.25">
      <c r="A617" t="s">
        <v>1719</v>
      </c>
      <c r="B617" s="1">
        <v>45747</v>
      </c>
      <c r="C617" t="s">
        <v>1720</v>
      </c>
      <c r="D617" t="s">
        <v>22</v>
      </c>
      <c r="E617">
        <v>404.6</v>
      </c>
      <c r="F617">
        <v>1</v>
      </c>
      <c r="G617">
        <v>121.38</v>
      </c>
      <c r="H617">
        <v>0.15</v>
      </c>
      <c r="I617" t="s">
        <v>1720</v>
      </c>
      <c r="J617" t="s">
        <v>1146</v>
      </c>
      <c r="K617" t="s">
        <v>24</v>
      </c>
      <c r="L617" t="s">
        <v>488</v>
      </c>
      <c r="M617" t="s">
        <v>26</v>
      </c>
      <c r="N617" t="s">
        <v>3966</v>
      </c>
      <c r="P617">
        <f t="shared" si="9"/>
        <v>0.3</v>
      </c>
    </row>
    <row r="618" spans="1:16" x14ac:dyDescent="0.25">
      <c r="A618" t="s">
        <v>1166</v>
      </c>
      <c r="B618" s="1">
        <v>45624</v>
      </c>
      <c r="C618" t="s">
        <v>1167</v>
      </c>
      <c r="D618" t="s">
        <v>22</v>
      </c>
      <c r="E618">
        <v>1836.38</v>
      </c>
      <c r="F618">
        <v>13</v>
      </c>
      <c r="G618">
        <v>550.91</v>
      </c>
      <c r="H618">
        <v>0</v>
      </c>
      <c r="I618" t="s">
        <v>1167</v>
      </c>
      <c r="J618" t="s">
        <v>1721</v>
      </c>
      <c r="K618" t="s">
        <v>24</v>
      </c>
      <c r="L618" t="s">
        <v>1722</v>
      </c>
      <c r="M618" t="s">
        <v>1435</v>
      </c>
      <c r="N618" t="s">
        <v>3967</v>
      </c>
      <c r="P618">
        <f t="shared" si="9"/>
        <v>0.29999782180158785</v>
      </c>
    </row>
    <row r="619" spans="1:16" x14ac:dyDescent="0.25">
      <c r="A619" t="s">
        <v>1169</v>
      </c>
      <c r="B619" s="1">
        <v>45169</v>
      </c>
      <c r="C619" t="s">
        <v>1167</v>
      </c>
      <c r="D619" t="s">
        <v>15</v>
      </c>
      <c r="E619">
        <v>1322.69</v>
      </c>
      <c r="F619">
        <v>5</v>
      </c>
      <c r="G619">
        <v>396.81</v>
      </c>
      <c r="H619">
        <v>0.15</v>
      </c>
      <c r="I619" t="s">
        <v>1167</v>
      </c>
      <c r="J619" t="s">
        <v>1721</v>
      </c>
      <c r="K619" t="s">
        <v>24</v>
      </c>
      <c r="L619" t="s">
        <v>1722</v>
      </c>
      <c r="M619" t="s">
        <v>1435</v>
      </c>
      <c r="N619" t="s">
        <v>3967</v>
      </c>
      <c r="P619">
        <f t="shared" si="9"/>
        <v>0.30000226810514935</v>
      </c>
    </row>
    <row r="620" spans="1:16" x14ac:dyDescent="0.25">
      <c r="A620" t="s">
        <v>1723</v>
      </c>
      <c r="B620" s="1">
        <v>45112</v>
      </c>
      <c r="C620" t="s">
        <v>1724</v>
      </c>
      <c r="D620" t="s">
        <v>36</v>
      </c>
      <c r="E620">
        <v>639.16</v>
      </c>
      <c r="F620">
        <v>3</v>
      </c>
      <c r="G620">
        <v>191.75</v>
      </c>
      <c r="H620">
        <v>0.15</v>
      </c>
      <c r="I620" t="s">
        <v>1724</v>
      </c>
      <c r="J620" t="s">
        <v>1725</v>
      </c>
      <c r="K620" t="s">
        <v>31</v>
      </c>
      <c r="L620" t="s">
        <v>248</v>
      </c>
      <c r="M620" t="s">
        <v>44</v>
      </c>
      <c r="N620" t="s">
        <v>3967</v>
      </c>
      <c r="P620">
        <f t="shared" si="9"/>
        <v>0.30000312910695287</v>
      </c>
    </row>
    <row r="621" spans="1:16" x14ac:dyDescent="0.25">
      <c r="A621" t="s">
        <v>1726</v>
      </c>
      <c r="B621" s="1">
        <v>45589</v>
      </c>
      <c r="C621" t="s">
        <v>1727</v>
      </c>
      <c r="D621" t="s">
        <v>48</v>
      </c>
      <c r="E621">
        <v>5436.12</v>
      </c>
      <c r="F621">
        <v>19</v>
      </c>
      <c r="G621">
        <v>1630.84</v>
      </c>
      <c r="H621">
        <v>0.05</v>
      </c>
      <c r="I621" t="s">
        <v>1727</v>
      </c>
      <c r="J621" t="s">
        <v>1657</v>
      </c>
      <c r="K621" t="s">
        <v>71</v>
      </c>
      <c r="L621" t="s">
        <v>25</v>
      </c>
      <c r="M621" t="s">
        <v>26</v>
      </c>
      <c r="N621" t="s">
        <v>3967</v>
      </c>
      <c r="P621">
        <f t="shared" si="9"/>
        <v>0.30000073581892966</v>
      </c>
    </row>
    <row r="622" spans="1:16" x14ac:dyDescent="0.25">
      <c r="A622" t="s">
        <v>1728</v>
      </c>
      <c r="B622" s="1">
        <v>45755</v>
      </c>
      <c r="C622" t="s">
        <v>1729</v>
      </c>
      <c r="D622" t="s">
        <v>36</v>
      </c>
      <c r="E622">
        <v>193.98</v>
      </c>
      <c r="F622">
        <v>7</v>
      </c>
      <c r="G622">
        <v>58.19</v>
      </c>
      <c r="H622">
        <v>0.1</v>
      </c>
      <c r="I622" t="s">
        <v>1729</v>
      </c>
      <c r="J622" t="s">
        <v>1730</v>
      </c>
      <c r="K622" t="s">
        <v>31</v>
      </c>
      <c r="L622" t="s">
        <v>72</v>
      </c>
      <c r="M622" t="s">
        <v>26</v>
      </c>
      <c r="N622" t="s">
        <v>3967</v>
      </c>
      <c r="P622">
        <f t="shared" si="9"/>
        <v>0.29997937931745539</v>
      </c>
    </row>
    <row r="623" spans="1:16" x14ac:dyDescent="0.25">
      <c r="A623" t="s">
        <v>539</v>
      </c>
      <c r="B623" s="1">
        <v>45448</v>
      </c>
      <c r="C623" t="s">
        <v>540</v>
      </c>
      <c r="D623" t="s">
        <v>15</v>
      </c>
      <c r="E623">
        <v>477.36</v>
      </c>
      <c r="F623">
        <v>1</v>
      </c>
      <c r="G623">
        <v>143.21</v>
      </c>
      <c r="H623">
        <v>0.15</v>
      </c>
      <c r="I623" t="s">
        <v>540</v>
      </c>
      <c r="J623" t="s">
        <v>1117</v>
      </c>
      <c r="K623" t="s">
        <v>17</v>
      </c>
      <c r="L623" t="s">
        <v>99</v>
      </c>
      <c r="M623" t="s">
        <v>56</v>
      </c>
      <c r="N623" t="s">
        <v>3966</v>
      </c>
      <c r="P623">
        <f t="shared" si="9"/>
        <v>0.30000418971007209</v>
      </c>
    </row>
    <row r="624" spans="1:16" x14ac:dyDescent="0.25">
      <c r="A624" t="s">
        <v>542</v>
      </c>
      <c r="B624" s="1">
        <v>45491</v>
      </c>
      <c r="C624" t="s">
        <v>540</v>
      </c>
      <c r="D624" t="s">
        <v>22</v>
      </c>
      <c r="E624">
        <v>6197.1</v>
      </c>
      <c r="F624">
        <v>14</v>
      </c>
      <c r="G624">
        <v>1859.13</v>
      </c>
      <c r="H624">
        <v>0</v>
      </c>
      <c r="I624" t="s">
        <v>540</v>
      </c>
      <c r="J624" t="s">
        <v>1117</v>
      </c>
      <c r="K624" t="s">
        <v>17</v>
      </c>
      <c r="L624" t="s">
        <v>99</v>
      </c>
      <c r="M624" t="s">
        <v>56</v>
      </c>
      <c r="N624" t="s">
        <v>3967</v>
      </c>
      <c r="P624">
        <f t="shared" si="9"/>
        <v>0.3</v>
      </c>
    </row>
    <row r="625" spans="1:16" x14ac:dyDescent="0.25">
      <c r="A625" t="s">
        <v>1731</v>
      </c>
      <c r="B625" s="1">
        <v>45680</v>
      </c>
      <c r="C625" t="s">
        <v>1732</v>
      </c>
      <c r="D625" t="s">
        <v>22</v>
      </c>
      <c r="E625">
        <v>2634.32</v>
      </c>
      <c r="F625">
        <v>16</v>
      </c>
      <c r="G625">
        <v>790.3</v>
      </c>
      <c r="H625">
        <v>0.15</v>
      </c>
      <c r="I625" t="s">
        <v>1732</v>
      </c>
      <c r="J625" t="s">
        <v>1733</v>
      </c>
      <c r="K625" t="s">
        <v>71</v>
      </c>
      <c r="L625" t="s">
        <v>1514</v>
      </c>
      <c r="M625" t="s">
        <v>26</v>
      </c>
      <c r="N625" t="s">
        <v>3967</v>
      </c>
      <c r="P625">
        <f t="shared" si="9"/>
        <v>0.30000151841841532</v>
      </c>
    </row>
    <row r="626" spans="1:16" x14ac:dyDescent="0.25">
      <c r="A626" t="s">
        <v>1734</v>
      </c>
      <c r="B626" s="1">
        <v>45600</v>
      </c>
      <c r="C626" t="s">
        <v>1735</v>
      </c>
      <c r="D626" t="s">
        <v>91</v>
      </c>
      <c r="E626">
        <v>5006.9799999999996</v>
      </c>
      <c r="F626">
        <v>17</v>
      </c>
      <c r="G626">
        <v>1502.1</v>
      </c>
      <c r="H626">
        <v>0.05</v>
      </c>
      <c r="I626" t="s">
        <v>1735</v>
      </c>
      <c r="J626" t="s">
        <v>92</v>
      </c>
      <c r="K626" t="s">
        <v>38</v>
      </c>
      <c r="L626" t="s">
        <v>99</v>
      </c>
      <c r="M626" t="s">
        <v>56</v>
      </c>
      <c r="N626" t="s">
        <v>3967</v>
      </c>
      <c r="P626">
        <f t="shared" si="9"/>
        <v>0.30000119832713534</v>
      </c>
    </row>
    <row r="627" spans="1:16" x14ac:dyDescent="0.25">
      <c r="A627" t="s">
        <v>1736</v>
      </c>
      <c r="B627" s="1">
        <v>45292</v>
      </c>
      <c r="C627" t="s">
        <v>1737</v>
      </c>
      <c r="D627" t="s">
        <v>41</v>
      </c>
      <c r="E627">
        <v>2261.6</v>
      </c>
      <c r="F627">
        <v>13</v>
      </c>
      <c r="G627">
        <v>678.48</v>
      </c>
      <c r="H627">
        <v>0.15</v>
      </c>
      <c r="I627" t="s">
        <v>1737</v>
      </c>
      <c r="J627" t="s">
        <v>673</v>
      </c>
      <c r="K627" t="s">
        <v>71</v>
      </c>
      <c r="L627" t="s">
        <v>1738</v>
      </c>
      <c r="M627" t="s">
        <v>26</v>
      </c>
      <c r="N627" t="s">
        <v>3967</v>
      </c>
      <c r="P627">
        <f t="shared" si="9"/>
        <v>0.30000000000000004</v>
      </c>
    </row>
    <row r="628" spans="1:16" x14ac:dyDescent="0.25">
      <c r="A628" t="s">
        <v>1739</v>
      </c>
      <c r="B628" s="1">
        <v>45391</v>
      </c>
      <c r="C628" t="s">
        <v>1740</v>
      </c>
      <c r="D628" t="s">
        <v>41</v>
      </c>
      <c r="E628">
        <v>750.33</v>
      </c>
      <c r="F628">
        <v>3</v>
      </c>
      <c r="G628">
        <v>225.1</v>
      </c>
      <c r="H628">
        <v>0</v>
      </c>
      <c r="I628" t="s">
        <v>1740</v>
      </c>
      <c r="J628" t="s">
        <v>1741</v>
      </c>
      <c r="K628" t="s">
        <v>38</v>
      </c>
      <c r="L628" t="s">
        <v>72</v>
      </c>
      <c r="M628" t="s">
        <v>26</v>
      </c>
      <c r="N628" t="s">
        <v>3968</v>
      </c>
      <c r="P628">
        <f t="shared" si="9"/>
        <v>0.30000133274692464</v>
      </c>
    </row>
    <row r="629" spans="1:16" x14ac:dyDescent="0.25">
      <c r="A629" t="s">
        <v>1742</v>
      </c>
      <c r="B629" s="1">
        <v>45674</v>
      </c>
      <c r="C629" t="s">
        <v>1743</v>
      </c>
      <c r="D629" t="s">
        <v>29</v>
      </c>
      <c r="E629">
        <v>6321.84</v>
      </c>
      <c r="F629">
        <v>12</v>
      </c>
      <c r="G629">
        <v>1896.55</v>
      </c>
      <c r="H629">
        <v>0</v>
      </c>
      <c r="I629" t="s">
        <v>1743</v>
      </c>
      <c r="J629" t="s">
        <v>1744</v>
      </c>
      <c r="K629" t="s">
        <v>31</v>
      </c>
      <c r="L629" t="s">
        <v>1745</v>
      </c>
      <c r="M629" t="s">
        <v>645</v>
      </c>
      <c r="N629" t="s">
        <v>3966</v>
      </c>
      <c r="P629">
        <f t="shared" si="9"/>
        <v>0.29999968363640966</v>
      </c>
    </row>
    <row r="630" spans="1:16" x14ac:dyDescent="0.25">
      <c r="A630" t="s">
        <v>1746</v>
      </c>
      <c r="B630" s="1">
        <v>45557</v>
      </c>
      <c r="C630" t="s">
        <v>1747</v>
      </c>
      <c r="D630" t="s">
        <v>36</v>
      </c>
      <c r="E630">
        <v>10351.799999999999</v>
      </c>
      <c r="F630">
        <v>18</v>
      </c>
      <c r="G630">
        <v>3105.54</v>
      </c>
      <c r="H630">
        <v>0</v>
      </c>
      <c r="I630" t="s">
        <v>1747</v>
      </c>
      <c r="J630" t="s">
        <v>1449</v>
      </c>
      <c r="K630" t="s">
        <v>17</v>
      </c>
      <c r="L630" t="s">
        <v>1748</v>
      </c>
      <c r="M630" t="s">
        <v>865</v>
      </c>
      <c r="N630" t="s">
        <v>3966</v>
      </c>
      <c r="P630">
        <f t="shared" si="9"/>
        <v>0.30000000000000004</v>
      </c>
    </row>
    <row r="631" spans="1:16" x14ac:dyDescent="0.25">
      <c r="A631" t="s">
        <v>1749</v>
      </c>
      <c r="B631" s="1">
        <v>44946</v>
      </c>
      <c r="C631" t="s">
        <v>1750</v>
      </c>
      <c r="D631" t="s">
        <v>48</v>
      </c>
      <c r="E631">
        <v>2343.7399999999998</v>
      </c>
      <c r="F631">
        <v>8</v>
      </c>
      <c r="G631">
        <v>703.12</v>
      </c>
      <c r="H631">
        <v>0.1</v>
      </c>
      <c r="I631" t="s">
        <v>1750</v>
      </c>
      <c r="J631" t="s">
        <v>251</v>
      </c>
      <c r="K631" t="s">
        <v>17</v>
      </c>
      <c r="L631" t="s">
        <v>741</v>
      </c>
      <c r="M631" t="s">
        <v>139</v>
      </c>
      <c r="N631" t="s">
        <v>3966</v>
      </c>
      <c r="P631">
        <f t="shared" si="9"/>
        <v>0.2999991466630258</v>
      </c>
    </row>
    <row r="632" spans="1:16" x14ac:dyDescent="0.25">
      <c r="A632" t="s">
        <v>1751</v>
      </c>
      <c r="B632" s="1">
        <v>45303</v>
      </c>
      <c r="C632" t="s">
        <v>1752</v>
      </c>
      <c r="D632" t="s">
        <v>48</v>
      </c>
      <c r="E632">
        <v>1869.97</v>
      </c>
      <c r="F632">
        <v>14</v>
      </c>
      <c r="G632">
        <v>560.99</v>
      </c>
      <c r="H632">
        <v>0.15</v>
      </c>
      <c r="I632" t="s">
        <v>1752</v>
      </c>
      <c r="J632" t="s">
        <v>902</v>
      </c>
      <c r="K632" t="s">
        <v>31</v>
      </c>
      <c r="L632" t="s">
        <v>164</v>
      </c>
      <c r="M632" t="s">
        <v>165</v>
      </c>
      <c r="N632" t="s">
        <v>3966</v>
      </c>
      <c r="P632">
        <f t="shared" si="9"/>
        <v>0.29999946523206256</v>
      </c>
    </row>
    <row r="633" spans="1:16" x14ac:dyDescent="0.25">
      <c r="A633" t="s">
        <v>1753</v>
      </c>
      <c r="B633" s="1">
        <v>45390</v>
      </c>
      <c r="C633" t="s">
        <v>1754</v>
      </c>
      <c r="D633" t="s">
        <v>15</v>
      </c>
      <c r="E633">
        <v>952.47</v>
      </c>
      <c r="F633">
        <v>10</v>
      </c>
      <c r="G633">
        <v>285.74</v>
      </c>
      <c r="H633">
        <v>0.05</v>
      </c>
      <c r="I633" t="s">
        <v>1754</v>
      </c>
      <c r="J633" t="s">
        <v>273</v>
      </c>
      <c r="K633" t="s">
        <v>38</v>
      </c>
      <c r="L633" t="s">
        <v>1755</v>
      </c>
      <c r="M633" t="s">
        <v>26</v>
      </c>
      <c r="N633" t="s">
        <v>3966</v>
      </c>
      <c r="P633">
        <f t="shared" si="9"/>
        <v>0.2999989500981658</v>
      </c>
    </row>
    <row r="634" spans="1:16" x14ac:dyDescent="0.25">
      <c r="A634" t="s">
        <v>1756</v>
      </c>
      <c r="B634" s="1">
        <v>45680</v>
      </c>
      <c r="C634" t="s">
        <v>1757</v>
      </c>
      <c r="D634" t="s">
        <v>91</v>
      </c>
      <c r="E634">
        <v>1378.16</v>
      </c>
      <c r="F634">
        <v>7</v>
      </c>
      <c r="G634">
        <v>413.45</v>
      </c>
      <c r="H634">
        <v>0</v>
      </c>
      <c r="I634" t="s">
        <v>1757</v>
      </c>
      <c r="J634" t="s">
        <v>810</v>
      </c>
      <c r="K634" t="s">
        <v>38</v>
      </c>
      <c r="L634" t="s">
        <v>82</v>
      </c>
      <c r="M634" t="s">
        <v>83</v>
      </c>
      <c r="N634" t="s">
        <v>3966</v>
      </c>
      <c r="P634">
        <f t="shared" si="9"/>
        <v>0.30000145121030936</v>
      </c>
    </row>
    <row r="635" spans="1:16" x14ac:dyDescent="0.25">
      <c r="A635" t="s">
        <v>1758</v>
      </c>
      <c r="B635" s="1">
        <v>45043</v>
      </c>
      <c r="C635" t="s">
        <v>1757</v>
      </c>
      <c r="D635" t="s">
        <v>15</v>
      </c>
      <c r="E635">
        <v>4990.32</v>
      </c>
      <c r="F635">
        <v>9</v>
      </c>
      <c r="G635">
        <v>1497.1</v>
      </c>
      <c r="H635">
        <v>0</v>
      </c>
      <c r="I635" t="s">
        <v>1757</v>
      </c>
      <c r="J635" t="s">
        <v>810</v>
      </c>
      <c r="K635" t="s">
        <v>38</v>
      </c>
      <c r="L635" t="s">
        <v>82</v>
      </c>
      <c r="M635" t="s">
        <v>83</v>
      </c>
      <c r="N635" t="s">
        <v>3966</v>
      </c>
      <c r="P635">
        <f t="shared" si="9"/>
        <v>0.30000080155180431</v>
      </c>
    </row>
    <row r="636" spans="1:16" x14ac:dyDescent="0.25">
      <c r="A636" t="s">
        <v>1759</v>
      </c>
      <c r="B636" s="1">
        <v>45490</v>
      </c>
      <c r="C636" t="s">
        <v>1760</v>
      </c>
      <c r="D636" t="s">
        <v>22</v>
      </c>
      <c r="E636">
        <v>1278.26</v>
      </c>
      <c r="F636">
        <v>4</v>
      </c>
      <c r="G636">
        <v>383.48</v>
      </c>
      <c r="H636">
        <v>0.15</v>
      </c>
      <c r="I636" t="s">
        <v>1760</v>
      </c>
      <c r="J636" t="s">
        <v>1010</v>
      </c>
      <c r="K636" t="s">
        <v>31</v>
      </c>
      <c r="L636" t="s">
        <v>1761</v>
      </c>
      <c r="M636" t="s">
        <v>33</v>
      </c>
      <c r="N636" t="s">
        <v>3966</v>
      </c>
      <c r="P636">
        <f t="shared" si="9"/>
        <v>0.30000156462691474</v>
      </c>
    </row>
    <row r="637" spans="1:16" x14ac:dyDescent="0.25">
      <c r="A637" t="s">
        <v>1762</v>
      </c>
      <c r="B637" s="1">
        <v>45339</v>
      </c>
      <c r="C637" t="s">
        <v>1763</v>
      </c>
      <c r="D637" t="s">
        <v>48</v>
      </c>
      <c r="E637">
        <v>6792.94</v>
      </c>
      <c r="F637">
        <v>14</v>
      </c>
      <c r="G637">
        <v>2037.88</v>
      </c>
      <c r="H637">
        <v>0</v>
      </c>
      <c r="I637" t="s">
        <v>1763</v>
      </c>
      <c r="J637" t="s">
        <v>1764</v>
      </c>
      <c r="K637" t="s">
        <v>38</v>
      </c>
      <c r="L637" t="s">
        <v>1765</v>
      </c>
      <c r="M637" t="s">
        <v>139</v>
      </c>
      <c r="N637" t="s">
        <v>3967</v>
      </c>
      <c r="P637">
        <f t="shared" si="9"/>
        <v>0.29999970557667227</v>
      </c>
    </row>
    <row r="638" spans="1:16" x14ac:dyDescent="0.25">
      <c r="A638" t="s">
        <v>1766</v>
      </c>
      <c r="B638" s="1">
        <v>45316</v>
      </c>
      <c r="C638" t="s">
        <v>1767</v>
      </c>
      <c r="D638" t="s">
        <v>48</v>
      </c>
      <c r="E638">
        <v>3184.36</v>
      </c>
      <c r="F638">
        <v>9</v>
      </c>
      <c r="G638">
        <v>955.31</v>
      </c>
      <c r="H638">
        <v>0.05</v>
      </c>
      <c r="I638" t="s">
        <v>1767</v>
      </c>
      <c r="J638" t="s">
        <v>1175</v>
      </c>
      <c r="K638" t="s">
        <v>24</v>
      </c>
      <c r="L638" t="s">
        <v>25</v>
      </c>
      <c r="M638" t="s">
        <v>26</v>
      </c>
      <c r="N638" t="s">
        <v>3966</v>
      </c>
      <c r="P638">
        <f t="shared" si="9"/>
        <v>0.30000062806969058</v>
      </c>
    </row>
    <row r="639" spans="1:16" x14ac:dyDescent="0.25">
      <c r="A639" t="s">
        <v>1768</v>
      </c>
      <c r="B639" s="1">
        <v>45375</v>
      </c>
      <c r="C639" t="s">
        <v>1769</v>
      </c>
      <c r="D639" t="s">
        <v>15</v>
      </c>
      <c r="E639">
        <v>983.71</v>
      </c>
      <c r="F639">
        <v>7</v>
      </c>
      <c r="G639">
        <v>295.11</v>
      </c>
      <c r="H639">
        <v>0</v>
      </c>
      <c r="I639" t="s">
        <v>1769</v>
      </c>
      <c r="J639" t="s">
        <v>1770</v>
      </c>
      <c r="K639" t="s">
        <v>38</v>
      </c>
      <c r="L639" t="s">
        <v>1771</v>
      </c>
      <c r="M639" t="s">
        <v>129</v>
      </c>
      <c r="N639" t="s">
        <v>3966</v>
      </c>
      <c r="P639">
        <f t="shared" si="9"/>
        <v>0.2999969503207246</v>
      </c>
    </row>
    <row r="640" spans="1:16" x14ac:dyDescent="0.25">
      <c r="A640" t="s">
        <v>1772</v>
      </c>
      <c r="B640" s="1">
        <v>45102</v>
      </c>
      <c r="C640" t="s">
        <v>1773</v>
      </c>
      <c r="D640" t="s">
        <v>29</v>
      </c>
      <c r="E640">
        <v>4661.53</v>
      </c>
      <c r="F640">
        <v>15</v>
      </c>
      <c r="G640">
        <v>1398.46</v>
      </c>
      <c r="H640">
        <v>0.15</v>
      </c>
      <c r="I640" t="s">
        <v>1773</v>
      </c>
      <c r="J640" t="s">
        <v>515</v>
      </c>
      <c r="K640" t="s">
        <v>31</v>
      </c>
      <c r="L640" t="s">
        <v>1774</v>
      </c>
      <c r="M640" t="s">
        <v>266</v>
      </c>
      <c r="N640" t="s">
        <v>3968</v>
      </c>
      <c r="P640">
        <f t="shared" si="9"/>
        <v>0.30000021452184156</v>
      </c>
    </row>
    <row r="641" spans="1:16" x14ac:dyDescent="0.25">
      <c r="A641" t="s">
        <v>1775</v>
      </c>
      <c r="B641" s="1">
        <v>45033</v>
      </c>
      <c r="C641" t="s">
        <v>1776</v>
      </c>
      <c r="D641" t="s">
        <v>15</v>
      </c>
      <c r="E641">
        <v>6017.49</v>
      </c>
      <c r="F641">
        <v>20</v>
      </c>
      <c r="G641">
        <v>1805.25</v>
      </c>
      <c r="H641">
        <v>0.15</v>
      </c>
      <c r="I641" t="s">
        <v>1776</v>
      </c>
      <c r="J641" t="s">
        <v>554</v>
      </c>
      <c r="K641" t="s">
        <v>24</v>
      </c>
      <c r="L641" t="s">
        <v>1777</v>
      </c>
      <c r="M641" t="s">
        <v>705</v>
      </c>
      <c r="N641" t="s">
        <v>3968</v>
      </c>
      <c r="P641">
        <f t="shared" si="9"/>
        <v>0.30000049854673627</v>
      </c>
    </row>
    <row r="642" spans="1:16" x14ac:dyDescent="0.25">
      <c r="A642" t="s">
        <v>1778</v>
      </c>
      <c r="B642" s="1">
        <v>45105</v>
      </c>
      <c r="C642" t="s">
        <v>1779</v>
      </c>
      <c r="D642" t="s">
        <v>36</v>
      </c>
      <c r="E642">
        <v>4106.34</v>
      </c>
      <c r="F642">
        <v>14</v>
      </c>
      <c r="G642">
        <v>1231.9000000000001</v>
      </c>
      <c r="H642">
        <v>0</v>
      </c>
      <c r="I642" t="s">
        <v>1779</v>
      </c>
      <c r="J642" t="s">
        <v>1725</v>
      </c>
      <c r="K642" t="s">
        <v>17</v>
      </c>
      <c r="L642" t="s">
        <v>1780</v>
      </c>
      <c r="M642" t="s">
        <v>165</v>
      </c>
      <c r="N642" t="s">
        <v>3967</v>
      </c>
      <c r="P642">
        <f t="shared" si="9"/>
        <v>0.29999951294827026</v>
      </c>
    </row>
    <row r="643" spans="1:16" x14ac:dyDescent="0.25">
      <c r="A643" t="s">
        <v>1781</v>
      </c>
      <c r="B643" s="1">
        <v>45177</v>
      </c>
      <c r="C643" t="s">
        <v>1782</v>
      </c>
      <c r="D643" t="s">
        <v>22</v>
      </c>
      <c r="E643">
        <v>3990.06</v>
      </c>
      <c r="F643">
        <v>12</v>
      </c>
      <c r="G643">
        <v>1197.02</v>
      </c>
      <c r="H643">
        <v>0.1</v>
      </c>
      <c r="I643" t="s">
        <v>1782</v>
      </c>
      <c r="J643" t="s">
        <v>1456</v>
      </c>
      <c r="K643" t="s">
        <v>38</v>
      </c>
      <c r="L643" t="s">
        <v>25</v>
      </c>
      <c r="M643" t="s">
        <v>26</v>
      </c>
      <c r="N643" t="s">
        <v>3966</v>
      </c>
      <c r="P643">
        <f t="shared" ref="P643:P706" si="10">G643/E643</f>
        <v>0.3000005012455953</v>
      </c>
    </row>
    <row r="644" spans="1:16" x14ac:dyDescent="0.25">
      <c r="A644" t="s">
        <v>1783</v>
      </c>
      <c r="B644" s="1">
        <v>45388</v>
      </c>
      <c r="C644" t="s">
        <v>1782</v>
      </c>
      <c r="D644" t="s">
        <v>36</v>
      </c>
      <c r="E644">
        <v>3377.82</v>
      </c>
      <c r="F644">
        <v>10</v>
      </c>
      <c r="G644">
        <v>1013.34</v>
      </c>
      <c r="H644">
        <v>0.15</v>
      </c>
      <c r="I644" t="s">
        <v>1782</v>
      </c>
      <c r="J644" t="s">
        <v>1456</v>
      </c>
      <c r="K644" t="s">
        <v>38</v>
      </c>
      <c r="L644" t="s">
        <v>25</v>
      </c>
      <c r="M644" t="s">
        <v>26</v>
      </c>
      <c r="N644" t="s">
        <v>3966</v>
      </c>
      <c r="P644">
        <f t="shared" si="10"/>
        <v>0.29999822370641421</v>
      </c>
    </row>
    <row r="645" spans="1:16" x14ac:dyDescent="0.25">
      <c r="A645" t="s">
        <v>1784</v>
      </c>
      <c r="B645" s="1">
        <v>45705</v>
      </c>
      <c r="C645" t="s">
        <v>1785</v>
      </c>
      <c r="D645" t="s">
        <v>36</v>
      </c>
      <c r="E645">
        <v>196.7</v>
      </c>
      <c r="F645">
        <v>2</v>
      </c>
      <c r="G645">
        <v>59.01</v>
      </c>
      <c r="H645">
        <v>0</v>
      </c>
      <c r="I645" t="s">
        <v>1785</v>
      </c>
      <c r="J645" t="s">
        <v>1786</v>
      </c>
      <c r="K645" t="s">
        <v>24</v>
      </c>
      <c r="L645" t="s">
        <v>216</v>
      </c>
      <c r="M645" t="s">
        <v>123</v>
      </c>
      <c r="N645" t="s">
        <v>3966</v>
      </c>
      <c r="P645">
        <f t="shared" si="10"/>
        <v>0.3</v>
      </c>
    </row>
    <row r="646" spans="1:16" x14ac:dyDescent="0.25">
      <c r="A646" t="s">
        <v>1787</v>
      </c>
      <c r="B646" s="1">
        <v>44934</v>
      </c>
      <c r="C646" t="s">
        <v>1788</v>
      </c>
      <c r="D646" t="s">
        <v>29</v>
      </c>
      <c r="E646">
        <v>3490.02</v>
      </c>
      <c r="F646">
        <v>6</v>
      </c>
      <c r="G646">
        <v>1047.01</v>
      </c>
      <c r="H646">
        <v>0</v>
      </c>
      <c r="I646" t="s">
        <v>1788</v>
      </c>
      <c r="J646" t="s">
        <v>1789</v>
      </c>
      <c r="K646" t="s">
        <v>24</v>
      </c>
      <c r="L646" t="s">
        <v>1790</v>
      </c>
      <c r="M646" t="s">
        <v>26</v>
      </c>
      <c r="N646" t="s">
        <v>3968</v>
      </c>
      <c r="P646">
        <f t="shared" si="10"/>
        <v>0.30000114612523709</v>
      </c>
    </row>
    <row r="647" spans="1:16" x14ac:dyDescent="0.25">
      <c r="A647" t="s">
        <v>1791</v>
      </c>
      <c r="B647" s="1">
        <v>45281</v>
      </c>
      <c r="C647" t="s">
        <v>1792</v>
      </c>
      <c r="D647" t="s">
        <v>22</v>
      </c>
      <c r="E647">
        <v>548.9</v>
      </c>
      <c r="F647">
        <v>19</v>
      </c>
      <c r="G647">
        <v>164.67</v>
      </c>
      <c r="H647">
        <v>0.05</v>
      </c>
      <c r="I647" t="s">
        <v>1792</v>
      </c>
      <c r="J647" t="s">
        <v>1793</v>
      </c>
      <c r="K647" t="s">
        <v>24</v>
      </c>
      <c r="L647" t="s">
        <v>143</v>
      </c>
      <c r="M647" t="s">
        <v>144</v>
      </c>
      <c r="N647" t="s">
        <v>3968</v>
      </c>
      <c r="P647">
        <f t="shared" si="10"/>
        <v>0.3</v>
      </c>
    </row>
    <row r="648" spans="1:16" x14ac:dyDescent="0.25">
      <c r="A648" t="s">
        <v>1794</v>
      </c>
      <c r="B648" s="1">
        <v>45486</v>
      </c>
      <c r="C648" t="s">
        <v>1795</v>
      </c>
      <c r="D648" t="s">
        <v>48</v>
      </c>
      <c r="E648">
        <v>4978.67</v>
      </c>
      <c r="F648">
        <v>15</v>
      </c>
      <c r="G648">
        <v>1493.6</v>
      </c>
      <c r="H648">
        <v>0.1</v>
      </c>
      <c r="I648" t="s">
        <v>1795</v>
      </c>
      <c r="J648" t="s">
        <v>1796</v>
      </c>
      <c r="K648" t="s">
        <v>31</v>
      </c>
      <c r="L648" t="s">
        <v>171</v>
      </c>
      <c r="M648" t="s">
        <v>129</v>
      </c>
      <c r="N648" t="s">
        <v>3967</v>
      </c>
      <c r="P648">
        <f t="shared" si="10"/>
        <v>0.29999979914314462</v>
      </c>
    </row>
    <row r="649" spans="1:16" x14ac:dyDescent="0.25">
      <c r="A649" t="s">
        <v>1797</v>
      </c>
      <c r="B649" s="1">
        <v>45374</v>
      </c>
      <c r="C649" t="s">
        <v>1798</v>
      </c>
      <c r="D649" t="s">
        <v>48</v>
      </c>
      <c r="E649">
        <v>190.6</v>
      </c>
      <c r="F649">
        <v>4</v>
      </c>
      <c r="G649">
        <v>57.18</v>
      </c>
      <c r="H649">
        <v>0.15</v>
      </c>
      <c r="I649" t="s">
        <v>1798</v>
      </c>
      <c r="J649" t="s">
        <v>487</v>
      </c>
      <c r="K649" t="s">
        <v>71</v>
      </c>
      <c r="L649" t="s">
        <v>50</v>
      </c>
      <c r="M649" t="s">
        <v>51</v>
      </c>
      <c r="N649" t="s">
        <v>3967</v>
      </c>
      <c r="P649">
        <f t="shared" si="10"/>
        <v>0.3</v>
      </c>
    </row>
    <row r="650" spans="1:16" x14ac:dyDescent="0.25">
      <c r="A650" t="s">
        <v>1799</v>
      </c>
      <c r="B650" s="1">
        <v>45370</v>
      </c>
      <c r="C650" t="s">
        <v>1800</v>
      </c>
      <c r="D650" t="s">
        <v>36</v>
      </c>
      <c r="E650">
        <v>109.55</v>
      </c>
      <c r="F650">
        <v>7</v>
      </c>
      <c r="G650">
        <v>32.869999999999997</v>
      </c>
      <c r="H650">
        <v>0</v>
      </c>
      <c r="I650" t="s">
        <v>1800</v>
      </c>
      <c r="J650" t="s">
        <v>491</v>
      </c>
      <c r="K650" t="s">
        <v>71</v>
      </c>
      <c r="L650" t="s">
        <v>143</v>
      </c>
      <c r="M650" t="s">
        <v>144</v>
      </c>
      <c r="N650" t="s">
        <v>3967</v>
      </c>
      <c r="P650">
        <f t="shared" si="10"/>
        <v>0.30004564125969874</v>
      </c>
    </row>
    <row r="651" spans="1:16" x14ac:dyDescent="0.25">
      <c r="A651" t="s">
        <v>1349</v>
      </c>
      <c r="B651" s="1">
        <v>45797</v>
      </c>
      <c r="C651" t="s">
        <v>1350</v>
      </c>
      <c r="D651" t="s">
        <v>91</v>
      </c>
      <c r="E651">
        <v>3427.65</v>
      </c>
      <c r="F651">
        <v>9</v>
      </c>
      <c r="G651">
        <v>1028.3</v>
      </c>
      <c r="H651">
        <v>0</v>
      </c>
      <c r="I651" t="s">
        <v>1350</v>
      </c>
      <c r="J651" t="s">
        <v>1535</v>
      </c>
      <c r="K651" t="s">
        <v>38</v>
      </c>
      <c r="L651" t="s">
        <v>1801</v>
      </c>
      <c r="M651" t="s">
        <v>129</v>
      </c>
      <c r="N651" t="s">
        <v>3967</v>
      </c>
      <c r="P651">
        <f t="shared" si="10"/>
        <v>0.30000145872536577</v>
      </c>
    </row>
    <row r="652" spans="1:16" x14ac:dyDescent="0.25">
      <c r="A652" t="s">
        <v>1352</v>
      </c>
      <c r="B652" s="1">
        <v>45693</v>
      </c>
      <c r="C652" t="s">
        <v>1350</v>
      </c>
      <c r="D652" t="s">
        <v>22</v>
      </c>
      <c r="E652">
        <v>526.83000000000004</v>
      </c>
      <c r="F652">
        <v>16</v>
      </c>
      <c r="G652">
        <v>158.05000000000001</v>
      </c>
      <c r="H652">
        <v>0.05</v>
      </c>
      <c r="I652" t="s">
        <v>1350</v>
      </c>
      <c r="J652" t="s">
        <v>1535</v>
      </c>
      <c r="K652" t="s">
        <v>38</v>
      </c>
      <c r="L652" t="s">
        <v>1801</v>
      </c>
      <c r="M652" t="s">
        <v>129</v>
      </c>
      <c r="N652" t="s">
        <v>3967</v>
      </c>
      <c r="P652">
        <f t="shared" si="10"/>
        <v>0.30000189814551181</v>
      </c>
    </row>
    <row r="653" spans="1:16" x14ac:dyDescent="0.25">
      <c r="A653" t="s">
        <v>1802</v>
      </c>
      <c r="B653" s="1">
        <v>45676</v>
      </c>
      <c r="C653" t="s">
        <v>1803</v>
      </c>
      <c r="D653" t="s">
        <v>36</v>
      </c>
      <c r="E653">
        <v>6459.31</v>
      </c>
      <c r="F653">
        <v>11</v>
      </c>
      <c r="G653">
        <v>1937.79</v>
      </c>
      <c r="H653">
        <v>0</v>
      </c>
      <c r="I653" t="s">
        <v>1803</v>
      </c>
      <c r="J653" t="s">
        <v>922</v>
      </c>
      <c r="K653" t="s">
        <v>24</v>
      </c>
      <c r="L653" t="s">
        <v>25</v>
      </c>
      <c r="M653" t="s">
        <v>26</v>
      </c>
      <c r="N653" t="s">
        <v>3968</v>
      </c>
      <c r="P653">
        <f t="shared" si="10"/>
        <v>0.29999953555410713</v>
      </c>
    </row>
    <row r="654" spans="1:16" x14ac:dyDescent="0.25">
      <c r="A654" t="s">
        <v>1804</v>
      </c>
      <c r="B654" s="1">
        <v>45074</v>
      </c>
      <c r="C654" t="s">
        <v>1805</v>
      </c>
      <c r="D654" t="s">
        <v>41</v>
      </c>
      <c r="E654">
        <v>8480.0300000000007</v>
      </c>
      <c r="F654">
        <v>17</v>
      </c>
      <c r="G654">
        <v>2544.0100000000002</v>
      </c>
      <c r="H654">
        <v>0.1</v>
      </c>
      <c r="I654" t="s">
        <v>1805</v>
      </c>
      <c r="J654" t="s">
        <v>1283</v>
      </c>
      <c r="K654" t="s">
        <v>24</v>
      </c>
      <c r="L654" t="s">
        <v>285</v>
      </c>
      <c r="M654" t="s">
        <v>111</v>
      </c>
      <c r="N654" t="s">
        <v>3967</v>
      </c>
      <c r="P654">
        <f t="shared" si="10"/>
        <v>0.30000011792411113</v>
      </c>
    </row>
    <row r="655" spans="1:16" x14ac:dyDescent="0.25">
      <c r="A655" t="s">
        <v>1806</v>
      </c>
      <c r="B655" s="1">
        <v>45227</v>
      </c>
      <c r="C655" t="s">
        <v>1807</v>
      </c>
      <c r="D655" t="s">
        <v>41</v>
      </c>
      <c r="E655">
        <v>1046.0899999999999</v>
      </c>
      <c r="F655">
        <v>3</v>
      </c>
      <c r="G655">
        <v>313.83</v>
      </c>
      <c r="H655">
        <v>0.15</v>
      </c>
      <c r="I655" t="s">
        <v>1807</v>
      </c>
      <c r="J655" t="s">
        <v>1375</v>
      </c>
      <c r="K655" t="s">
        <v>17</v>
      </c>
      <c r="L655" t="s">
        <v>143</v>
      </c>
      <c r="M655" t="s">
        <v>144</v>
      </c>
      <c r="N655" t="s">
        <v>3967</v>
      </c>
      <c r="P655">
        <f t="shared" si="10"/>
        <v>0.3000028678220803</v>
      </c>
    </row>
    <row r="656" spans="1:16" x14ac:dyDescent="0.25">
      <c r="A656" t="s">
        <v>1808</v>
      </c>
      <c r="B656" s="1">
        <v>45255</v>
      </c>
      <c r="C656" t="s">
        <v>1809</v>
      </c>
      <c r="D656" t="s">
        <v>48</v>
      </c>
      <c r="E656">
        <v>496.15</v>
      </c>
      <c r="F656">
        <v>5</v>
      </c>
      <c r="G656">
        <v>148.85</v>
      </c>
      <c r="H656">
        <v>0</v>
      </c>
      <c r="I656" t="s">
        <v>1809</v>
      </c>
      <c r="J656" t="s">
        <v>635</v>
      </c>
      <c r="K656" t="s">
        <v>71</v>
      </c>
      <c r="L656" t="s">
        <v>43</v>
      </c>
      <c r="M656" t="s">
        <v>1407</v>
      </c>
      <c r="N656" t="s">
        <v>3966</v>
      </c>
      <c r="P656">
        <f t="shared" si="10"/>
        <v>0.30001007759750076</v>
      </c>
    </row>
    <row r="657" spans="1:16" x14ac:dyDescent="0.25">
      <c r="A657" t="s">
        <v>1810</v>
      </c>
      <c r="B657" s="1">
        <v>45133</v>
      </c>
      <c r="C657" t="s">
        <v>1811</v>
      </c>
      <c r="D657" t="s">
        <v>15</v>
      </c>
      <c r="E657">
        <v>7076.65</v>
      </c>
      <c r="F657">
        <v>18</v>
      </c>
      <c r="G657">
        <v>2122.9899999999998</v>
      </c>
      <c r="H657">
        <v>0.1</v>
      </c>
      <c r="I657" t="s">
        <v>1811</v>
      </c>
      <c r="J657" t="s">
        <v>1812</v>
      </c>
      <c r="K657" t="s">
        <v>24</v>
      </c>
      <c r="L657" t="s">
        <v>25</v>
      </c>
      <c r="M657" t="s">
        <v>26</v>
      </c>
      <c r="N657" t="s">
        <v>3966</v>
      </c>
      <c r="P657">
        <f t="shared" si="10"/>
        <v>0.2999992934509973</v>
      </c>
    </row>
    <row r="658" spans="1:16" x14ac:dyDescent="0.25">
      <c r="A658" t="s">
        <v>1813</v>
      </c>
      <c r="B658" s="1">
        <v>45100</v>
      </c>
      <c r="C658" t="s">
        <v>1811</v>
      </c>
      <c r="D658" t="s">
        <v>91</v>
      </c>
      <c r="E658">
        <v>4482.18</v>
      </c>
      <c r="F658">
        <v>16</v>
      </c>
      <c r="G658">
        <v>1344.65</v>
      </c>
      <c r="H658">
        <v>0.05</v>
      </c>
      <c r="I658" t="s">
        <v>1811</v>
      </c>
      <c r="J658" t="s">
        <v>1812</v>
      </c>
      <c r="K658" t="s">
        <v>24</v>
      </c>
      <c r="L658" t="s">
        <v>25</v>
      </c>
      <c r="M658" t="s">
        <v>26</v>
      </c>
      <c r="N658" t="s">
        <v>3966</v>
      </c>
      <c r="P658">
        <f t="shared" si="10"/>
        <v>0.29999910757711651</v>
      </c>
    </row>
    <row r="659" spans="1:16" x14ac:dyDescent="0.25">
      <c r="A659" t="s">
        <v>1814</v>
      </c>
      <c r="B659" s="1">
        <v>45613</v>
      </c>
      <c r="C659" t="s">
        <v>1811</v>
      </c>
      <c r="D659" t="s">
        <v>48</v>
      </c>
      <c r="E659">
        <v>4528.62</v>
      </c>
      <c r="F659">
        <v>9</v>
      </c>
      <c r="G659">
        <v>1358.59</v>
      </c>
      <c r="H659">
        <v>0</v>
      </c>
      <c r="I659" t="s">
        <v>1811</v>
      </c>
      <c r="J659" t="s">
        <v>1812</v>
      </c>
      <c r="K659" t="s">
        <v>24</v>
      </c>
      <c r="L659" t="s">
        <v>25</v>
      </c>
      <c r="M659" t="s">
        <v>26</v>
      </c>
      <c r="N659" t="s">
        <v>3968</v>
      </c>
      <c r="P659">
        <f t="shared" si="10"/>
        <v>0.30000088327128349</v>
      </c>
    </row>
    <row r="660" spans="1:16" x14ac:dyDescent="0.25">
      <c r="A660" t="s">
        <v>1815</v>
      </c>
      <c r="B660" s="1">
        <v>45315</v>
      </c>
      <c r="C660" t="s">
        <v>1816</v>
      </c>
      <c r="D660" t="s">
        <v>48</v>
      </c>
      <c r="E660">
        <v>2244.23</v>
      </c>
      <c r="F660">
        <v>17</v>
      </c>
      <c r="G660">
        <v>673.27</v>
      </c>
      <c r="H660">
        <v>0.15</v>
      </c>
      <c r="I660" t="s">
        <v>1816</v>
      </c>
      <c r="J660" t="s">
        <v>174</v>
      </c>
      <c r="K660" t="s">
        <v>38</v>
      </c>
      <c r="L660" t="s">
        <v>1817</v>
      </c>
      <c r="M660" t="s">
        <v>1435</v>
      </c>
      <c r="N660" t="s">
        <v>3968</v>
      </c>
      <c r="P660">
        <f t="shared" si="10"/>
        <v>0.30000044558712785</v>
      </c>
    </row>
    <row r="661" spans="1:16" x14ac:dyDescent="0.25">
      <c r="A661" t="s">
        <v>1818</v>
      </c>
      <c r="B661" s="1">
        <v>45096</v>
      </c>
      <c r="C661" t="s">
        <v>1819</v>
      </c>
      <c r="D661" t="s">
        <v>36</v>
      </c>
      <c r="E661">
        <v>1807.55</v>
      </c>
      <c r="F661">
        <v>7</v>
      </c>
      <c r="G661">
        <v>542.27</v>
      </c>
      <c r="H661">
        <v>0.15</v>
      </c>
      <c r="I661" t="s">
        <v>1819</v>
      </c>
      <c r="J661" t="s">
        <v>1820</v>
      </c>
      <c r="K661" t="s">
        <v>31</v>
      </c>
      <c r="L661" t="s">
        <v>99</v>
      </c>
      <c r="M661" t="s">
        <v>56</v>
      </c>
      <c r="N661" t="s">
        <v>3966</v>
      </c>
      <c r="P661">
        <f t="shared" si="10"/>
        <v>0.30000276617520955</v>
      </c>
    </row>
    <row r="662" spans="1:16" x14ac:dyDescent="0.25">
      <c r="A662" t="s">
        <v>1821</v>
      </c>
      <c r="B662" s="1">
        <v>45670</v>
      </c>
      <c r="C662" t="s">
        <v>1822</v>
      </c>
      <c r="D662" t="s">
        <v>22</v>
      </c>
      <c r="E662">
        <v>4483.75</v>
      </c>
      <c r="F662">
        <v>17</v>
      </c>
      <c r="G662">
        <v>1345.13</v>
      </c>
      <c r="H662">
        <v>0</v>
      </c>
      <c r="I662" t="s">
        <v>1822</v>
      </c>
      <c r="J662" t="s">
        <v>336</v>
      </c>
      <c r="K662" t="s">
        <v>17</v>
      </c>
      <c r="L662" t="s">
        <v>570</v>
      </c>
      <c r="M662" t="s">
        <v>412</v>
      </c>
      <c r="N662" t="s">
        <v>3966</v>
      </c>
      <c r="P662">
        <f t="shared" si="10"/>
        <v>0.30000111513799838</v>
      </c>
    </row>
    <row r="663" spans="1:16" x14ac:dyDescent="0.25">
      <c r="A663" t="s">
        <v>1823</v>
      </c>
      <c r="B663" s="1">
        <v>45315</v>
      </c>
      <c r="C663" t="s">
        <v>1824</v>
      </c>
      <c r="D663" t="s">
        <v>22</v>
      </c>
      <c r="E663">
        <v>647.71</v>
      </c>
      <c r="F663">
        <v>4</v>
      </c>
      <c r="G663">
        <v>194.31</v>
      </c>
      <c r="H663">
        <v>0.1</v>
      </c>
      <c r="I663" t="s">
        <v>1824</v>
      </c>
      <c r="J663" t="s">
        <v>1126</v>
      </c>
      <c r="K663" t="s">
        <v>17</v>
      </c>
      <c r="L663" t="s">
        <v>774</v>
      </c>
      <c r="M663" t="s">
        <v>44</v>
      </c>
      <c r="N663" t="s">
        <v>3966</v>
      </c>
      <c r="P663">
        <f t="shared" si="10"/>
        <v>0.29999536829754053</v>
      </c>
    </row>
    <row r="664" spans="1:16" x14ac:dyDescent="0.25">
      <c r="A664" t="s">
        <v>1825</v>
      </c>
      <c r="B664" s="1">
        <v>45663</v>
      </c>
      <c r="C664" t="s">
        <v>1826</v>
      </c>
      <c r="D664" t="s">
        <v>41</v>
      </c>
      <c r="E664">
        <v>528</v>
      </c>
      <c r="F664">
        <v>2</v>
      </c>
      <c r="G664">
        <v>158.4</v>
      </c>
      <c r="H664">
        <v>0</v>
      </c>
      <c r="I664" t="s">
        <v>1826</v>
      </c>
      <c r="J664" t="s">
        <v>1827</v>
      </c>
      <c r="K664" t="s">
        <v>24</v>
      </c>
      <c r="L664" t="s">
        <v>50</v>
      </c>
      <c r="M664" t="s">
        <v>51</v>
      </c>
      <c r="N664" t="s">
        <v>3966</v>
      </c>
      <c r="P664">
        <f t="shared" si="10"/>
        <v>0.3</v>
      </c>
    </row>
    <row r="665" spans="1:16" x14ac:dyDescent="0.25">
      <c r="A665" t="s">
        <v>1828</v>
      </c>
      <c r="B665" s="1">
        <v>45659</v>
      </c>
      <c r="C665" t="s">
        <v>1829</v>
      </c>
      <c r="D665" t="s">
        <v>15</v>
      </c>
      <c r="E665">
        <v>1535.09</v>
      </c>
      <c r="F665">
        <v>4</v>
      </c>
      <c r="G665">
        <v>460.53</v>
      </c>
      <c r="H665">
        <v>0.05</v>
      </c>
      <c r="I665" t="s">
        <v>1829</v>
      </c>
      <c r="J665" t="s">
        <v>1830</v>
      </c>
      <c r="K665" t="s">
        <v>38</v>
      </c>
      <c r="L665" t="s">
        <v>25</v>
      </c>
      <c r="M665" t="s">
        <v>26</v>
      </c>
      <c r="N665" t="s">
        <v>3967</v>
      </c>
      <c r="P665">
        <f t="shared" si="10"/>
        <v>0.30000195428281079</v>
      </c>
    </row>
    <row r="666" spans="1:16" x14ac:dyDescent="0.25">
      <c r="A666" t="s">
        <v>1831</v>
      </c>
      <c r="B666" s="1">
        <v>44979</v>
      </c>
      <c r="C666" t="s">
        <v>1832</v>
      </c>
      <c r="D666" t="s">
        <v>29</v>
      </c>
      <c r="E666">
        <v>309.45999999999998</v>
      </c>
      <c r="F666">
        <v>4</v>
      </c>
      <c r="G666">
        <v>92.84</v>
      </c>
      <c r="H666">
        <v>0.1</v>
      </c>
      <c r="I666" t="s">
        <v>1832</v>
      </c>
      <c r="J666" t="s">
        <v>1034</v>
      </c>
      <c r="K666" t="s">
        <v>31</v>
      </c>
      <c r="L666" t="s">
        <v>1833</v>
      </c>
      <c r="M666" t="s">
        <v>33</v>
      </c>
      <c r="N666" t="s">
        <v>3966</v>
      </c>
      <c r="P666">
        <f t="shared" si="10"/>
        <v>0.30000646287080723</v>
      </c>
    </row>
    <row r="667" spans="1:16" x14ac:dyDescent="0.25">
      <c r="A667" t="s">
        <v>1834</v>
      </c>
      <c r="B667" s="1">
        <v>45694</v>
      </c>
      <c r="C667" t="s">
        <v>1835</v>
      </c>
      <c r="D667" t="s">
        <v>29</v>
      </c>
      <c r="E667">
        <v>168.28</v>
      </c>
      <c r="F667">
        <v>2</v>
      </c>
      <c r="G667">
        <v>50.48</v>
      </c>
      <c r="H667">
        <v>0.1</v>
      </c>
      <c r="I667" t="s">
        <v>1835</v>
      </c>
      <c r="J667" t="s">
        <v>1001</v>
      </c>
      <c r="K667" t="s">
        <v>17</v>
      </c>
      <c r="L667" t="s">
        <v>99</v>
      </c>
      <c r="M667" t="s">
        <v>56</v>
      </c>
      <c r="N667" t="s">
        <v>3967</v>
      </c>
      <c r="P667">
        <f t="shared" si="10"/>
        <v>0.29997623009270263</v>
      </c>
    </row>
    <row r="668" spans="1:16" x14ac:dyDescent="0.25">
      <c r="A668" t="s">
        <v>1432</v>
      </c>
      <c r="B668" s="1">
        <v>45561</v>
      </c>
      <c r="C668" t="s">
        <v>1433</v>
      </c>
      <c r="D668" t="s">
        <v>29</v>
      </c>
      <c r="E668">
        <v>1507.83</v>
      </c>
      <c r="F668">
        <v>11</v>
      </c>
      <c r="G668">
        <v>452.35</v>
      </c>
      <c r="H668">
        <v>0.05</v>
      </c>
      <c r="I668" t="s">
        <v>1433</v>
      </c>
      <c r="J668" t="s">
        <v>1398</v>
      </c>
      <c r="K668" t="s">
        <v>17</v>
      </c>
      <c r="L668" t="s">
        <v>423</v>
      </c>
      <c r="M668" t="s">
        <v>244</v>
      </c>
      <c r="N668" t="s">
        <v>3967</v>
      </c>
      <c r="P668">
        <f t="shared" si="10"/>
        <v>0.30000066320473795</v>
      </c>
    </row>
    <row r="669" spans="1:16" x14ac:dyDescent="0.25">
      <c r="A669" t="s">
        <v>1436</v>
      </c>
      <c r="B669" s="1">
        <v>45356</v>
      </c>
      <c r="C669" t="s">
        <v>1433</v>
      </c>
      <c r="D669" t="s">
        <v>48</v>
      </c>
      <c r="E669">
        <v>6.97</v>
      </c>
      <c r="F669">
        <v>1</v>
      </c>
      <c r="G669">
        <v>2.09</v>
      </c>
      <c r="H669">
        <v>0.15</v>
      </c>
      <c r="I669" t="s">
        <v>1433</v>
      </c>
      <c r="J669" t="s">
        <v>1398</v>
      </c>
      <c r="K669" t="s">
        <v>17</v>
      </c>
      <c r="L669" t="s">
        <v>423</v>
      </c>
      <c r="M669" t="s">
        <v>244</v>
      </c>
      <c r="N669" t="s">
        <v>3967</v>
      </c>
      <c r="P669">
        <f t="shared" si="10"/>
        <v>0.29985652797704448</v>
      </c>
    </row>
    <row r="670" spans="1:16" x14ac:dyDescent="0.25">
      <c r="A670" t="s">
        <v>1836</v>
      </c>
      <c r="B670" s="1">
        <v>45744</v>
      </c>
      <c r="C670" t="s">
        <v>1837</v>
      </c>
      <c r="D670" t="s">
        <v>36</v>
      </c>
      <c r="E670">
        <v>9958.14</v>
      </c>
      <c r="F670">
        <v>18</v>
      </c>
      <c r="G670">
        <v>2987.44</v>
      </c>
      <c r="H670">
        <v>0</v>
      </c>
      <c r="I670" t="s">
        <v>1837</v>
      </c>
      <c r="J670" t="s">
        <v>1838</v>
      </c>
      <c r="K670" t="s">
        <v>31</v>
      </c>
      <c r="L670" t="s">
        <v>248</v>
      </c>
      <c r="M670" t="s">
        <v>44</v>
      </c>
      <c r="N670" t="s">
        <v>3966</v>
      </c>
      <c r="P670">
        <f t="shared" si="10"/>
        <v>0.29999979915928077</v>
      </c>
    </row>
    <row r="671" spans="1:16" x14ac:dyDescent="0.25">
      <c r="A671" t="s">
        <v>1839</v>
      </c>
      <c r="B671" s="1">
        <v>45108</v>
      </c>
      <c r="C671" t="s">
        <v>1840</v>
      </c>
      <c r="D671" t="s">
        <v>36</v>
      </c>
      <c r="E671">
        <v>1951.97</v>
      </c>
      <c r="F671">
        <v>9</v>
      </c>
      <c r="G671">
        <v>585.59</v>
      </c>
      <c r="H671">
        <v>0.05</v>
      </c>
      <c r="I671" t="s">
        <v>1840</v>
      </c>
      <c r="J671" t="s">
        <v>1841</v>
      </c>
      <c r="K671" t="s">
        <v>17</v>
      </c>
      <c r="L671" t="s">
        <v>143</v>
      </c>
      <c r="M671" t="s">
        <v>144</v>
      </c>
      <c r="N671" t="s">
        <v>3968</v>
      </c>
      <c r="P671">
        <f t="shared" si="10"/>
        <v>0.29999948769704454</v>
      </c>
    </row>
    <row r="672" spans="1:16" x14ac:dyDescent="0.25">
      <c r="A672" t="s">
        <v>1842</v>
      </c>
      <c r="B672" s="1">
        <v>45622</v>
      </c>
      <c r="C672" t="s">
        <v>1843</v>
      </c>
      <c r="D672" t="s">
        <v>91</v>
      </c>
      <c r="E672">
        <v>2761.48</v>
      </c>
      <c r="F672">
        <v>7</v>
      </c>
      <c r="G672">
        <v>828.44</v>
      </c>
      <c r="H672">
        <v>0.1</v>
      </c>
      <c r="I672" t="s">
        <v>1843</v>
      </c>
      <c r="J672" t="s">
        <v>1844</v>
      </c>
      <c r="K672" t="s">
        <v>71</v>
      </c>
      <c r="L672" t="s">
        <v>82</v>
      </c>
      <c r="M672" t="s">
        <v>83</v>
      </c>
      <c r="N672" t="s">
        <v>3968</v>
      </c>
      <c r="P672">
        <f t="shared" si="10"/>
        <v>0.29999855150136884</v>
      </c>
    </row>
    <row r="673" spans="1:16" x14ac:dyDescent="0.25">
      <c r="A673" t="s">
        <v>1845</v>
      </c>
      <c r="B673" s="1">
        <v>45045</v>
      </c>
      <c r="C673" t="s">
        <v>1843</v>
      </c>
      <c r="D673" t="s">
        <v>29</v>
      </c>
      <c r="E673">
        <v>1486.42</v>
      </c>
      <c r="F673">
        <v>7</v>
      </c>
      <c r="G673">
        <v>445.93</v>
      </c>
      <c r="H673">
        <v>0.1</v>
      </c>
      <c r="I673" t="s">
        <v>1843</v>
      </c>
      <c r="J673" t="s">
        <v>1844</v>
      </c>
      <c r="K673" t="s">
        <v>71</v>
      </c>
      <c r="L673" t="s">
        <v>82</v>
      </c>
      <c r="M673" t="s">
        <v>83</v>
      </c>
      <c r="N673" t="s">
        <v>3968</v>
      </c>
      <c r="P673">
        <f t="shared" si="10"/>
        <v>0.30000269102945332</v>
      </c>
    </row>
    <row r="674" spans="1:16" x14ac:dyDescent="0.25">
      <c r="A674" t="s">
        <v>1846</v>
      </c>
      <c r="B674" s="1">
        <v>45046</v>
      </c>
      <c r="C674" t="s">
        <v>1847</v>
      </c>
      <c r="D674" t="s">
        <v>41</v>
      </c>
      <c r="E674">
        <v>6281.84</v>
      </c>
      <c r="F674">
        <v>17</v>
      </c>
      <c r="G674">
        <v>1884.55</v>
      </c>
      <c r="H674">
        <v>0</v>
      </c>
      <c r="I674" t="s">
        <v>1847</v>
      </c>
      <c r="J674" t="s">
        <v>1848</v>
      </c>
      <c r="K674" t="s">
        <v>17</v>
      </c>
      <c r="L674" t="s">
        <v>25</v>
      </c>
      <c r="M674" t="s">
        <v>26</v>
      </c>
      <c r="N674" t="s">
        <v>3966</v>
      </c>
      <c r="P674">
        <f t="shared" si="10"/>
        <v>0.29999968162194512</v>
      </c>
    </row>
    <row r="675" spans="1:16" x14ac:dyDescent="0.25">
      <c r="A675" t="s">
        <v>1849</v>
      </c>
      <c r="B675" s="1">
        <v>45720</v>
      </c>
      <c r="C675" t="s">
        <v>1850</v>
      </c>
      <c r="D675" t="s">
        <v>91</v>
      </c>
      <c r="E675">
        <v>4921.18</v>
      </c>
      <c r="F675">
        <v>11</v>
      </c>
      <c r="G675">
        <v>1476.35</v>
      </c>
      <c r="H675">
        <v>0</v>
      </c>
      <c r="I675" t="s">
        <v>1850</v>
      </c>
      <c r="J675" t="s">
        <v>360</v>
      </c>
      <c r="K675" t="s">
        <v>71</v>
      </c>
      <c r="L675" t="s">
        <v>143</v>
      </c>
      <c r="M675" t="s">
        <v>144</v>
      </c>
      <c r="N675" t="s">
        <v>3966</v>
      </c>
      <c r="P675">
        <f t="shared" si="10"/>
        <v>0.2999991871868129</v>
      </c>
    </row>
    <row r="676" spans="1:16" x14ac:dyDescent="0.25">
      <c r="A676" t="s">
        <v>1851</v>
      </c>
      <c r="B676" s="1">
        <v>45365</v>
      </c>
      <c r="C676" t="s">
        <v>1850</v>
      </c>
      <c r="D676" t="s">
        <v>22</v>
      </c>
      <c r="E676">
        <v>1136.72</v>
      </c>
      <c r="F676">
        <v>8</v>
      </c>
      <c r="G676">
        <v>341.02</v>
      </c>
      <c r="H676">
        <v>0</v>
      </c>
      <c r="I676" t="s">
        <v>1850</v>
      </c>
      <c r="J676" t="s">
        <v>360</v>
      </c>
      <c r="K676" t="s">
        <v>71</v>
      </c>
      <c r="L676" t="s">
        <v>143</v>
      </c>
      <c r="M676" t="s">
        <v>144</v>
      </c>
      <c r="N676" t="s">
        <v>3966</v>
      </c>
      <c r="P676">
        <f t="shared" si="10"/>
        <v>0.30000351889647403</v>
      </c>
    </row>
    <row r="677" spans="1:16" x14ac:dyDescent="0.25">
      <c r="A677" t="s">
        <v>1852</v>
      </c>
      <c r="B677" s="1">
        <v>45104</v>
      </c>
      <c r="C677" t="s">
        <v>1853</v>
      </c>
      <c r="D677" t="s">
        <v>36</v>
      </c>
      <c r="E677">
        <v>1268.9100000000001</v>
      </c>
      <c r="F677">
        <v>3</v>
      </c>
      <c r="G677">
        <v>380.67</v>
      </c>
      <c r="H677">
        <v>0.15</v>
      </c>
      <c r="I677" t="s">
        <v>1853</v>
      </c>
      <c r="J677" t="s">
        <v>1001</v>
      </c>
      <c r="K677" t="s">
        <v>38</v>
      </c>
      <c r="L677" t="s">
        <v>25</v>
      </c>
      <c r="M677" t="s">
        <v>26</v>
      </c>
      <c r="N677" t="s">
        <v>3966</v>
      </c>
      <c r="P677">
        <f t="shared" si="10"/>
        <v>0.29999763576612998</v>
      </c>
    </row>
    <row r="678" spans="1:16" x14ac:dyDescent="0.25">
      <c r="A678" t="s">
        <v>1854</v>
      </c>
      <c r="B678" s="1">
        <v>45392</v>
      </c>
      <c r="C678" t="s">
        <v>1855</v>
      </c>
      <c r="D678" t="s">
        <v>15</v>
      </c>
      <c r="E678">
        <v>180.12</v>
      </c>
      <c r="F678">
        <v>19</v>
      </c>
      <c r="G678">
        <v>54.04</v>
      </c>
      <c r="H678">
        <v>0</v>
      </c>
      <c r="I678" t="s">
        <v>1855</v>
      </c>
      <c r="J678" t="s">
        <v>1856</v>
      </c>
      <c r="K678" t="s">
        <v>31</v>
      </c>
      <c r="L678" t="s">
        <v>1857</v>
      </c>
      <c r="M678" t="s">
        <v>144</v>
      </c>
      <c r="N678" t="s">
        <v>3966</v>
      </c>
      <c r="P678">
        <f t="shared" si="10"/>
        <v>0.30002220741727736</v>
      </c>
    </row>
    <row r="679" spans="1:16" x14ac:dyDescent="0.25">
      <c r="A679" t="s">
        <v>1858</v>
      </c>
      <c r="B679" s="1">
        <v>45168</v>
      </c>
      <c r="C679" t="s">
        <v>1859</v>
      </c>
      <c r="D679" t="s">
        <v>41</v>
      </c>
      <c r="E679">
        <v>375.84</v>
      </c>
      <c r="F679">
        <v>8</v>
      </c>
      <c r="G679">
        <v>112.75</v>
      </c>
      <c r="H679">
        <v>0.15</v>
      </c>
      <c r="I679" t="s">
        <v>1859</v>
      </c>
      <c r="J679" t="s">
        <v>1860</v>
      </c>
      <c r="K679" t="s">
        <v>38</v>
      </c>
      <c r="L679" t="s">
        <v>524</v>
      </c>
      <c r="M679" t="s">
        <v>266</v>
      </c>
      <c r="N679" t="s">
        <v>3966</v>
      </c>
      <c r="P679">
        <f t="shared" si="10"/>
        <v>0.29999467858663265</v>
      </c>
    </row>
    <row r="680" spans="1:16" x14ac:dyDescent="0.25">
      <c r="A680" t="s">
        <v>1861</v>
      </c>
      <c r="B680" s="1">
        <v>45222</v>
      </c>
      <c r="C680" t="s">
        <v>1862</v>
      </c>
      <c r="D680" t="s">
        <v>15</v>
      </c>
      <c r="E680">
        <v>419.09</v>
      </c>
      <c r="F680">
        <v>17</v>
      </c>
      <c r="G680">
        <v>125.73</v>
      </c>
      <c r="H680">
        <v>0.05</v>
      </c>
      <c r="I680" t="s">
        <v>1862</v>
      </c>
      <c r="J680" t="s">
        <v>1339</v>
      </c>
      <c r="K680" t="s">
        <v>71</v>
      </c>
      <c r="L680" t="s">
        <v>1863</v>
      </c>
      <c r="M680" t="s">
        <v>33</v>
      </c>
      <c r="N680" t="s">
        <v>3966</v>
      </c>
      <c r="P680">
        <f t="shared" si="10"/>
        <v>0.30000715836693792</v>
      </c>
    </row>
    <row r="681" spans="1:16" x14ac:dyDescent="0.25">
      <c r="A681" t="s">
        <v>1864</v>
      </c>
      <c r="B681" s="1">
        <v>45008</v>
      </c>
      <c r="C681" t="s">
        <v>1865</v>
      </c>
      <c r="D681" t="s">
        <v>29</v>
      </c>
      <c r="E681">
        <v>3396.33</v>
      </c>
      <c r="F681">
        <v>18</v>
      </c>
      <c r="G681">
        <v>1018.9</v>
      </c>
      <c r="H681">
        <v>0.1</v>
      </c>
      <c r="I681" t="s">
        <v>1865</v>
      </c>
      <c r="J681" t="s">
        <v>1866</v>
      </c>
      <c r="K681" t="s">
        <v>31</v>
      </c>
      <c r="L681" t="s">
        <v>50</v>
      </c>
      <c r="M681" t="s">
        <v>51</v>
      </c>
      <c r="N681" t="s">
        <v>3966</v>
      </c>
      <c r="P681">
        <f t="shared" si="10"/>
        <v>0.30000029443546417</v>
      </c>
    </row>
    <row r="682" spans="1:16" x14ac:dyDescent="0.25">
      <c r="A682" t="s">
        <v>1867</v>
      </c>
      <c r="B682" s="1">
        <v>45556</v>
      </c>
      <c r="C682" t="s">
        <v>1868</v>
      </c>
      <c r="D682" t="s">
        <v>15</v>
      </c>
      <c r="E682">
        <v>837.26</v>
      </c>
      <c r="F682">
        <v>13</v>
      </c>
      <c r="G682">
        <v>251.18</v>
      </c>
      <c r="H682">
        <v>0.15</v>
      </c>
      <c r="I682" t="s">
        <v>1868</v>
      </c>
      <c r="J682" t="s">
        <v>1045</v>
      </c>
      <c r="K682" t="s">
        <v>38</v>
      </c>
      <c r="L682" t="s">
        <v>143</v>
      </c>
      <c r="M682" t="s">
        <v>144</v>
      </c>
      <c r="N682" t="s">
        <v>3966</v>
      </c>
      <c r="P682">
        <f t="shared" si="10"/>
        <v>0.30000238874423718</v>
      </c>
    </row>
    <row r="683" spans="1:16" x14ac:dyDescent="0.25">
      <c r="A683" t="s">
        <v>1869</v>
      </c>
      <c r="B683" s="1">
        <v>45652</v>
      </c>
      <c r="C683" t="s">
        <v>1870</v>
      </c>
      <c r="D683" t="s">
        <v>91</v>
      </c>
      <c r="E683">
        <v>1385.28</v>
      </c>
      <c r="F683">
        <v>5</v>
      </c>
      <c r="G683">
        <v>415.58</v>
      </c>
      <c r="H683">
        <v>0.1</v>
      </c>
      <c r="I683" t="s">
        <v>1870</v>
      </c>
      <c r="J683" t="s">
        <v>1339</v>
      </c>
      <c r="K683" t="s">
        <v>71</v>
      </c>
      <c r="L683" t="s">
        <v>143</v>
      </c>
      <c r="M683" t="s">
        <v>144</v>
      </c>
      <c r="N683" t="s">
        <v>3966</v>
      </c>
      <c r="P683">
        <f t="shared" si="10"/>
        <v>0.29999711249711247</v>
      </c>
    </row>
    <row r="684" spans="1:16" x14ac:dyDescent="0.25">
      <c r="A684" t="s">
        <v>1871</v>
      </c>
      <c r="B684" s="1">
        <v>44983</v>
      </c>
      <c r="C684" t="s">
        <v>1872</v>
      </c>
      <c r="D684" t="s">
        <v>22</v>
      </c>
      <c r="E684">
        <v>84.5</v>
      </c>
      <c r="F684">
        <v>13</v>
      </c>
      <c r="G684">
        <v>25.35</v>
      </c>
      <c r="H684">
        <v>0</v>
      </c>
      <c r="I684" t="s">
        <v>1872</v>
      </c>
      <c r="J684" t="s">
        <v>1873</v>
      </c>
      <c r="K684" t="s">
        <v>17</v>
      </c>
      <c r="L684" t="s">
        <v>1874</v>
      </c>
      <c r="M684" t="s">
        <v>754</v>
      </c>
      <c r="N684" t="s">
        <v>3966</v>
      </c>
      <c r="P684">
        <f t="shared" si="10"/>
        <v>0.30000000000000004</v>
      </c>
    </row>
    <row r="685" spans="1:16" x14ac:dyDescent="0.25">
      <c r="A685" t="s">
        <v>1875</v>
      </c>
      <c r="B685" s="1">
        <v>45636</v>
      </c>
      <c r="C685" t="s">
        <v>1876</v>
      </c>
      <c r="D685" t="s">
        <v>48</v>
      </c>
      <c r="E685">
        <v>566.32000000000005</v>
      </c>
      <c r="F685">
        <v>8</v>
      </c>
      <c r="G685">
        <v>169.9</v>
      </c>
      <c r="H685">
        <v>0</v>
      </c>
      <c r="I685" t="s">
        <v>1876</v>
      </c>
      <c r="J685" t="s">
        <v>1877</v>
      </c>
      <c r="K685" t="s">
        <v>31</v>
      </c>
      <c r="L685" t="s">
        <v>1878</v>
      </c>
      <c r="M685" t="s">
        <v>26</v>
      </c>
      <c r="N685" t="s">
        <v>3967</v>
      </c>
      <c r="P685">
        <f t="shared" si="10"/>
        <v>0.30000706314451192</v>
      </c>
    </row>
    <row r="686" spans="1:16" x14ac:dyDescent="0.25">
      <c r="A686" t="s">
        <v>1879</v>
      </c>
      <c r="B686" s="1">
        <v>45658</v>
      </c>
      <c r="C686" t="s">
        <v>1880</v>
      </c>
      <c r="D686" t="s">
        <v>15</v>
      </c>
      <c r="E686">
        <v>8945.91</v>
      </c>
      <c r="F686">
        <v>17</v>
      </c>
      <c r="G686">
        <v>2683.77</v>
      </c>
      <c r="H686">
        <v>0.1</v>
      </c>
      <c r="I686" t="s">
        <v>1880</v>
      </c>
      <c r="J686" t="s">
        <v>1133</v>
      </c>
      <c r="K686" t="s">
        <v>17</v>
      </c>
      <c r="L686" t="s">
        <v>143</v>
      </c>
      <c r="M686" t="s">
        <v>144</v>
      </c>
      <c r="N686" t="s">
        <v>3967</v>
      </c>
      <c r="P686">
        <f t="shared" si="10"/>
        <v>0.29999966465122052</v>
      </c>
    </row>
    <row r="687" spans="1:16" x14ac:dyDescent="0.25">
      <c r="A687" t="s">
        <v>1881</v>
      </c>
      <c r="B687" s="1">
        <v>44965</v>
      </c>
      <c r="C687" t="s">
        <v>1882</v>
      </c>
      <c r="D687" t="s">
        <v>91</v>
      </c>
      <c r="E687">
        <v>1745.17</v>
      </c>
      <c r="F687">
        <v>13</v>
      </c>
      <c r="G687">
        <v>523.54999999999995</v>
      </c>
      <c r="H687">
        <v>0.1</v>
      </c>
      <c r="I687" t="s">
        <v>1882</v>
      </c>
      <c r="J687" t="s">
        <v>49</v>
      </c>
      <c r="K687" t="s">
        <v>17</v>
      </c>
      <c r="L687" t="s">
        <v>1329</v>
      </c>
      <c r="M687" t="s">
        <v>61</v>
      </c>
      <c r="N687" t="s">
        <v>3966</v>
      </c>
      <c r="P687">
        <f t="shared" si="10"/>
        <v>0.29999942698992071</v>
      </c>
    </row>
    <row r="688" spans="1:16" x14ac:dyDescent="0.25">
      <c r="A688" t="s">
        <v>1883</v>
      </c>
      <c r="B688" s="1">
        <v>44977</v>
      </c>
      <c r="C688" t="s">
        <v>1882</v>
      </c>
      <c r="D688" t="s">
        <v>15</v>
      </c>
      <c r="E688">
        <v>561.92999999999995</v>
      </c>
      <c r="F688">
        <v>3</v>
      </c>
      <c r="G688">
        <v>168.58</v>
      </c>
      <c r="H688">
        <v>0.05</v>
      </c>
      <c r="I688" t="s">
        <v>1882</v>
      </c>
      <c r="J688" t="s">
        <v>49</v>
      </c>
      <c r="K688" t="s">
        <v>17</v>
      </c>
      <c r="L688" t="s">
        <v>1329</v>
      </c>
      <c r="M688" t="s">
        <v>61</v>
      </c>
      <c r="N688" t="s">
        <v>3966</v>
      </c>
      <c r="P688">
        <f t="shared" si="10"/>
        <v>0.30000177958108665</v>
      </c>
    </row>
    <row r="689" spans="1:16" x14ac:dyDescent="0.25">
      <c r="A689" t="s">
        <v>1884</v>
      </c>
      <c r="B689" s="1">
        <v>45730</v>
      </c>
      <c r="C689" t="s">
        <v>1882</v>
      </c>
      <c r="D689" t="s">
        <v>22</v>
      </c>
      <c r="E689">
        <v>79.12</v>
      </c>
      <c r="F689">
        <v>4</v>
      </c>
      <c r="G689">
        <v>23.74</v>
      </c>
      <c r="H689">
        <v>0.15</v>
      </c>
      <c r="I689" t="s">
        <v>1882</v>
      </c>
      <c r="J689" t="s">
        <v>49</v>
      </c>
      <c r="K689" t="s">
        <v>17</v>
      </c>
      <c r="L689" t="s">
        <v>1329</v>
      </c>
      <c r="M689" t="s">
        <v>61</v>
      </c>
      <c r="N689" t="s">
        <v>3966</v>
      </c>
      <c r="P689">
        <f t="shared" si="10"/>
        <v>0.30005055611729015</v>
      </c>
    </row>
    <row r="690" spans="1:16" x14ac:dyDescent="0.25">
      <c r="A690" t="s">
        <v>1885</v>
      </c>
      <c r="B690" s="1">
        <v>45307</v>
      </c>
      <c r="C690" t="s">
        <v>1886</v>
      </c>
      <c r="D690" t="s">
        <v>91</v>
      </c>
      <c r="E690">
        <v>1984.19</v>
      </c>
      <c r="F690">
        <v>5</v>
      </c>
      <c r="G690">
        <v>595.26</v>
      </c>
      <c r="H690">
        <v>0.1</v>
      </c>
      <c r="I690" t="s">
        <v>1886</v>
      </c>
      <c r="J690" t="s">
        <v>1887</v>
      </c>
      <c r="K690" t="s">
        <v>24</v>
      </c>
      <c r="L690" t="s">
        <v>1154</v>
      </c>
      <c r="M690" t="s">
        <v>83</v>
      </c>
      <c r="N690" t="s">
        <v>3966</v>
      </c>
      <c r="P690">
        <f t="shared" si="10"/>
        <v>0.30000151195198038</v>
      </c>
    </row>
    <row r="691" spans="1:16" x14ac:dyDescent="0.25">
      <c r="A691" t="s">
        <v>1888</v>
      </c>
      <c r="B691" s="1">
        <v>45401</v>
      </c>
      <c r="C691" t="s">
        <v>1889</v>
      </c>
      <c r="D691" t="s">
        <v>91</v>
      </c>
      <c r="E691">
        <v>2784.5</v>
      </c>
      <c r="F691">
        <v>10</v>
      </c>
      <c r="G691">
        <v>835.35</v>
      </c>
      <c r="H691">
        <v>0</v>
      </c>
      <c r="I691" t="s">
        <v>1889</v>
      </c>
      <c r="J691" t="s">
        <v>767</v>
      </c>
      <c r="K691" t="s">
        <v>71</v>
      </c>
      <c r="L691" t="s">
        <v>248</v>
      </c>
      <c r="M691" t="s">
        <v>44</v>
      </c>
      <c r="N691" t="s">
        <v>3966</v>
      </c>
      <c r="P691">
        <f t="shared" si="10"/>
        <v>0.3</v>
      </c>
    </row>
    <row r="692" spans="1:16" x14ac:dyDescent="0.25">
      <c r="A692" t="s">
        <v>1890</v>
      </c>
      <c r="B692" s="1">
        <v>45268</v>
      </c>
      <c r="C692" t="s">
        <v>1891</v>
      </c>
      <c r="D692" t="s">
        <v>48</v>
      </c>
      <c r="E692">
        <v>5083.13</v>
      </c>
      <c r="F692">
        <v>14</v>
      </c>
      <c r="G692">
        <v>1524.94</v>
      </c>
      <c r="H692">
        <v>0.05</v>
      </c>
      <c r="I692" t="s">
        <v>1891</v>
      </c>
      <c r="J692" t="s">
        <v>1892</v>
      </c>
      <c r="K692" t="s">
        <v>31</v>
      </c>
      <c r="L692" t="s">
        <v>774</v>
      </c>
      <c r="M692" t="s">
        <v>33</v>
      </c>
      <c r="N692" t="s">
        <v>3966</v>
      </c>
      <c r="P692">
        <f t="shared" si="10"/>
        <v>0.30000019672918066</v>
      </c>
    </row>
    <row r="693" spans="1:16" x14ac:dyDescent="0.25">
      <c r="A693" t="s">
        <v>1893</v>
      </c>
      <c r="B693" s="1">
        <v>45000</v>
      </c>
      <c r="C693" t="s">
        <v>1894</v>
      </c>
      <c r="D693" t="s">
        <v>48</v>
      </c>
      <c r="E693">
        <v>3092.12</v>
      </c>
      <c r="F693">
        <v>14</v>
      </c>
      <c r="G693">
        <v>927.64</v>
      </c>
      <c r="H693">
        <v>0.05</v>
      </c>
      <c r="I693" t="s">
        <v>1894</v>
      </c>
      <c r="J693" t="s">
        <v>1895</v>
      </c>
      <c r="K693" t="s">
        <v>31</v>
      </c>
      <c r="L693" t="s">
        <v>1896</v>
      </c>
      <c r="M693" t="s">
        <v>44</v>
      </c>
      <c r="N693" t="s">
        <v>3966</v>
      </c>
      <c r="P693">
        <f t="shared" si="10"/>
        <v>0.30000129361085598</v>
      </c>
    </row>
    <row r="694" spans="1:16" x14ac:dyDescent="0.25">
      <c r="A694" t="s">
        <v>1897</v>
      </c>
      <c r="B694" s="1">
        <v>45695</v>
      </c>
      <c r="C694" t="s">
        <v>1898</v>
      </c>
      <c r="D694" t="s">
        <v>15</v>
      </c>
      <c r="E694">
        <v>216.89</v>
      </c>
      <c r="F694">
        <v>17</v>
      </c>
      <c r="G694">
        <v>65.069999999999993</v>
      </c>
      <c r="H694">
        <v>0.15</v>
      </c>
      <c r="I694" t="s">
        <v>1898</v>
      </c>
      <c r="J694" t="s">
        <v>1744</v>
      </c>
      <c r="K694" t="s">
        <v>24</v>
      </c>
      <c r="L694" t="s">
        <v>597</v>
      </c>
      <c r="M694" t="s">
        <v>144</v>
      </c>
      <c r="N694" t="s">
        <v>3966</v>
      </c>
      <c r="P694">
        <f t="shared" si="10"/>
        <v>0.300013831896353</v>
      </c>
    </row>
    <row r="695" spans="1:16" x14ac:dyDescent="0.25">
      <c r="A695" t="s">
        <v>1899</v>
      </c>
      <c r="B695" s="1">
        <v>45835</v>
      </c>
      <c r="C695" t="s">
        <v>1900</v>
      </c>
      <c r="D695" t="s">
        <v>48</v>
      </c>
      <c r="E695">
        <v>307.33</v>
      </c>
      <c r="F695">
        <v>11</v>
      </c>
      <c r="G695">
        <v>92.2</v>
      </c>
      <c r="H695">
        <v>0.05</v>
      </c>
      <c r="I695" t="s">
        <v>1900</v>
      </c>
      <c r="J695" t="s">
        <v>1901</v>
      </c>
      <c r="K695" t="s">
        <v>31</v>
      </c>
      <c r="L695" t="s">
        <v>1765</v>
      </c>
      <c r="M695" t="s">
        <v>139</v>
      </c>
      <c r="N695" t="s">
        <v>3966</v>
      </c>
      <c r="P695">
        <f t="shared" si="10"/>
        <v>0.30000325383138648</v>
      </c>
    </row>
    <row r="696" spans="1:16" x14ac:dyDescent="0.25">
      <c r="A696" t="s">
        <v>1902</v>
      </c>
      <c r="B696" s="1">
        <v>45643</v>
      </c>
      <c r="C696" t="s">
        <v>1903</v>
      </c>
      <c r="D696" t="s">
        <v>91</v>
      </c>
      <c r="E696">
        <v>461.88</v>
      </c>
      <c r="F696">
        <v>1</v>
      </c>
      <c r="G696">
        <v>138.56</v>
      </c>
      <c r="H696">
        <v>0.05</v>
      </c>
      <c r="I696" t="s">
        <v>1903</v>
      </c>
      <c r="J696" t="s">
        <v>1904</v>
      </c>
      <c r="K696" t="s">
        <v>38</v>
      </c>
      <c r="L696" t="s">
        <v>72</v>
      </c>
      <c r="M696" t="s">
        <v>26</v>
      </c>
      <c r="N696" t="s">
        <v>3968</v>
      </c>
      <c r="P696">
        <f t="shared" si="10"/>
        <v>0.29999133974192432</v>
      </c>
    </row>
    <row r="697" spans="1:16" x14ac:dyDescent="0.25">
      <c r="A697" t="s">
        <v>1905</v>
      </c>
      <c r="B697" s="1">
        <v>45415</v>
      </c>
      <c r="C697" t="s">
        <v>1906</v>
      </c>
      <c r="D697" t="s">
        <v>15</v>
      </c>
      <c r="E697">
        <v>1520.02</v>
      </c>
      <c r="F697">
        <v>6</v>
      </c>
      <c r="G697">
        <v>456.01</v>
      </c>
      <c r="H697">
        <v>0.05</v>
      </c>
      <c r="I697" t="s">
        <v>1906</v>
      </c>
      <c r="J697" t="s">
        <v>192</v>
      </c>
      <c r="K697" t="s">
        <v>24</v>
      </c>
      <c r="L697" t="s">
        <v>25</v>
      </c>
      <c r="M697" t="s">
        <v>26</v>
      </c>
      <c r="N697" t="s">
        <v>3968</v>
      </c>
      <c r="P697">
        <f t="shared" si="10"/>
        <v>0.30000263154432177</v>
      </c>
    </row>
    <row r="698" spans="1:16" x14ac:dyDescent="0.25">
      <c r="A698" t="s">
        <v>1634</v>
      </c>
      <c r="B698" s="1">
        <v>45286</v>
      </c>
      <c r="C698" t="s">
        <v>1635</v>
      </c>
      <c r="D698" t="s">
        <v>41</v>
      </c>
      <c r="E698">
        <v>812.16</v>
      </c>
      <c r="F698">
        <v>3</v>
      </c>
      <c r="G698">
        <v>243.65</v>
      </c>
      <c r="H698">
        <v>0.1</v>
      </c>
      <c r="I698" t="s">
        <v>1635</v>
      </c>
      <c r="J698" t="s">
        <v>1860</v>
      </c>
      <c r="K698" t="s">
        <v>24</v>
      </c>
      <c r="L698" t="s">
        <v>746</v>
      </c>
      <c r="M698" t="s">
        <v>244</v>
      </c>
      <c r="N698" t="s">
        <v>3968</v>
      </c>
      <c r="P698">
        <f t="shared" si="10"/>
        <v>0.30000246256895197</v>
      </c>
    </row>
    <row r="699" spans="1:16" x14ac:dyDescent="0.25">
      <c r="A699" t="s">
        <v>1636</v>
      </c>
      <c r="B699" s="1">
        <v>45680</v>
      </c>
      <c r="C699" t="s">
        <v>1635</v>
      </c>
      <c r="D699" t="s">
        <v>15</v>
      </c>
      <c r="E699">
        <v>630.33000000000004</v>
      </c>
      <c r="F699">
        <v>2</v>
      </c>
      <c r="G699">
        <v>189.1</v>
      </c>
      <c r="H699">
        <v>0.15</v>
      </c>
      <c r="I699" t="s">
        <v>1635</v>
      </c>
      <c r="J699" t="s">
        <v>1860</v>
      </c>
      <c r="K699" t="s">
        <v>24</v>
      </c>
      <c r="L699" t="s">
        <v>746</v>
      </c>
      <c r="M699" t="s">
        <v>244</v>
      </c>
      <c r="N699" t="s">
        <v>3968</v>
      </c>
      <c r="P699">
        <f t="shared" si="10"/>
        <v>0.3000015864705789</v>
      </c>
    </row>
    <row r="700" spans="1:16" x14ac:dyDescent="0.25">
      <c r="A700" t="s">
        <v>1907</v>
      </c>
      <c r="B700" s="1">
        <v>45058</v>
      </c>
      <c r="C700" t="s">
        <v>1908</v>
      </c>
      <c r="D700" t="s">
        <v>41</v>
      </c>
      <c r="E700">
        <v>450.9</v>
      </c>
      <c r="F700">
        <v>10</v>
      </c>
      <c r="G700">
        <v>135.27000000000001</v>
      </c>
      <c r="H700">
        <v>0.1</v>
      </c>
      <c r="I700" t="s">
        <v>1908</v>
      </c>
      <c r="J700" t="s">
        <v>1909</v>
      </c>
      <c r="K700" t="s">
        <v>38</v>
      </c>
      <c r="L700" t="s">
        <v>1344</v>
      </c>
      <c r="M700" t="s">
        <v>186</v>
      </c>
      <c r="N700" t="s">
        <v>3968</v>
      </c>
      <c r="P700">
        <f t="shared" si="10"/>
        <v>0.30000000000000004</v>
      </c>
    </row>
    <row r="701" spans="1:16" x14ac:dyDescent="0.25">
      <c r="A701" t="s">
        <v>1910</v>
      </c>
      <c r="B701" s="1">
        <v>45425</v>
      </c>
      <c r="C701" t="s">
        <v>1908</v>
      </c>
      <c r="D701" t="s">
        <v>41</v>
      </c>
      <c r="E701">
        <v>832.13</v>
      </c>
      <c r="F701">
        <v>11</v>
      </c>
      <c r="G701">
        <v>249.64</v>
      </c>
      <c r="H701">
        <v>0.05</v>
      </c>
      <c r="I701" t="s">
        <v>1908</v>
      </c>
      <c r="J701" t="s">
        <v>1909</v>
      </c>
      <c r="K701" t="s">
        <v>38</v>
      </c>
      <c r="L701" t="s">
        <v>1344</v>
      </c>
      <c r="M701" t="s">
        <v>186</v>
      </c>
      <c r="N701" t="s">
        <v>3968</v>
      </c>
      <c r="P701">
        <f t="shared" si="10"/>
        <v>0.30000120173530576</v>
      </c>
    </row>
    <row r="702" spans="1:16" x14ac:dyDescent="0.25">
      <c r="A702" t="s">
        <v>1911</v>
      </c>
      <c r="B702" s="1">
        <v>45206</v>
      </c>
      <c r="C702" t="s">
        <v>1912</v>
      </c>
      <c r="D702" t="s">
        <v>15</v>
      </c>
      <c r="E702">
        <v>3034.2</v>
      </c>
      <c r="F702">
        <v>6</v>
      </c>
      <c r="G702">
        <v>910.26</v>
      </c>
      <c r="H702">
        <v>0</v>
      </c>
      <c r="I702" t="s">
        <v>1912</v>
      </c>
      <c r="J702" t="s">
        <v>1108</v>
      </c>
      <c r="K702" t="s">
        <v>24</v>
      </c>
      <c r="L702" t="s">
        <v>155</v>
      </c>
      <c r="M702" t="s">
        <v>111</v>
      </c>
      <c r="N702" t="s">
        <v>3968</v>
      </c>
      <c r="P702">
        <f t="shared" si="10"/>
        <v>0.3</v>
      </c>
    </row>
    <row r="703" spans="1:16" x14ac:dyDescent="0.25">
      <c r="A703" t="s">
        <v>1913</v>
      </c>
      <c r="B703" s="1">
        <v>45118</v>
      </c>
      <c r="C703" t="s">
        <v>1914</v>
      </c>
      <c r="D703" t="s">
        <v>41</v>
      </c>
      <c r="E703">
        <v>2848.1</v>
      </c>
      <c r="F703">
        <v>5</v>
      </c>
      <c r="G703">
        <v>854.43</v>
      </c>
      <c r="H703">
        <v>0</v>
      </c>
      <c r="I703" t="s">
        <v>1914</v>
      </c>
      <c r="J703" t="s">
        <v>1698</v>
      </c>
      <c r="K703" t="s">
        <v>71</v>
      </c>
      <c r="L703" t="s">
        <v>55</v>
      </c>
      <c r="M703" t="s">
        <v>56</v>
      </c>
      <c r="N703" t="s">
        <v>3967</v>
      </c>
      <c r="P703">
        <f t="shared" si="10"/>
        <v>0.3</v>
      </c>
    </row>
    <row r="704" spans="1:16" x14ac:dyDescent="0.25">
      <c r="A704" t="s">
        <v>1915</v>
      </c>
      <c r="B704" s="1">
        <v>45688</v>
      </c>
      <c r="C704" t="s">
        <v>1916</v>
      </c>
      <c r="D704" t="s">
        <v>91</v>
      </c>
      <c r="E704">
        <v>1639.84</v>
      </c>
      <c r="F704">
        <v>19</v>
      </c>
      <c r="G704">
        <v>491.95</v>
      </c>
      <c r="H704">
        <v>0.05</v>
      </c>
      <c r="I704" t="s">
        <v>1916</v>
      </c>
      <c r="J704" t="s">
        <v>1917</v>
      </c>
      <c r="K704" t="s">
        <v>24</v>
      </c>
      <c r="L704" t="s">
        <v>99</v>
      </c>
      <c r="M704" t="s">
        <v>56</v>
      </c>
      <c r="N704" t="s">
        <v>3967</v>
      </c>
      <c r="P704">
        <f t="shared" si="10"/>
        <v>0.2999987803688165</v>
      </c>
    </row>
    <row r="705" spans="1:16" x14ac:dyDescent="0.25">
      <c r="A705" t="s">
        <v>1918</v>
      </c>
      <c r="B705" s="1">
        <v>44961</v>
      </c>
      <c r="C705" t="s">
        <v>1919</v>
      </c>
      <c r="D705" t="s">
        <v>36</v>
      </c>
      <c r="E705">
        <v>564.13</v>
      </c>
      <c r="F705">
        <v>2</v>
      </c>
      <c r="G705">
        <v>169.24</v>
      </c>
      <c r="H705">
        <v>0.05</v>
      </c>
      <c r="I705" t="s">
        <v>1919</v>
      </c>
      <c r="J705" t="s">
        <v>1517</v>
      </c>
      <c r="K705" t="s">
        <v>24</v>
      </c>
      <c r="L705" t="s">
        <v>1920</v>
      </c>
      <c r="M705" t="s">
        <v>645</v>
      </c>
      <c r="N705" t="s">
        <v>3966</v>
      </c>
      <c r="P705">
        <f t="shared" si="10"/>
        <v>0.30000177264105793</v>
      </c>
    </row>
    <row r="706" spans="1:16" x14ac:dyDescent="0.25">
      <c r="A706" t="s">
        <v>1921</v>
      </c>
      <c r="B706" s="1">
        <v>45171</v>
      </c>
      <c r="C706" t="s">
        <v>1922</v>
      </c>
      <c r="D706" t="s">
        <v>41</v>
      </c>
      <c r="E706">
        <v>11.14</v>
      </c>
      <c r="F706">
        <v>2</v>
      </c>
      <c r="G706">
        <v>3.34</v>
      </c>
      <c r="H706">
        <v>0.1</v>
      </c>
      <c r="I706" t="s">
        <v>1922</v>
      </c>
      <c r="J706" t="s">
        <v>1336</v>
      </c>
      <c r="K706" t="s">
        <v>24</v>
      </c>
      <c r="L706" t="s">
        <v>1923</v>
      </c>
      <c r="M706" t="s">
        <v>261</v>
      </c>
      <c r="N706" t="s">
        <v>3967</v>
      </c>
      <c r="P706">
        <f t="shared" si="10"/>
        <v>0.29982046678635543</v>
      </c>
    </row>
    <row r="707" spans="1:16" x14ac:dyDescent="0.25">
      <c r="A707" t="s">
        <v>1924</v>
      </c>
      <c r="B707" s="1">
        <v>45398</v>
      </c>
      <c r="C707" t="s">
        <v>1925</v>
      </c>
      <c r="D707" t="s">
        <v>22</v>
      </c>
      <c r="E707">
        <v>2673.37</v>
      </c>
      <c r="F707">
        <v>6</v>
      </c>
      <c r="G707">
        <v>802.01</v>
      </c>
      <c r="H707">
        <v>0.15</v>
      </c>
      <c r="I707" t="s">
        <v>1925</v>
      </c>
      <c r="J707" t="s">
        <v>844</v>
      </c>
      <c r="K707" t="s">
        <v>38</v>
      </c>
      <c r="L707" t="s">
        <v>774</v>
      </c>
      <c r="M707" t="s">
        <v>33</v>
      </c>
      <c r="N707" t="s">
        <v>3967</v>
      </c>
      <c r="P707">
        <f t="shared" ref="P707:P770" si="11">G707/E707</f>
        <v>0.29999962594029261</v>
      </c>
    </row>
    <row r="708" spans="1:16" x14ac:dyDescent="0.25">
      <c r="A708" t="s">
        <v>1926</v>
      </c>
      <c r="B708" s="1">
        <v>45639</v>
      </c>
      <c r="C708" t="s">
        <v>1925</v>
      </c>
      <c r="D708" t="s">
        <v>48</v>
      </c>
      <c r="E708">
        <v>3172.46</v>
      </c>
      <c r="F708">
        <v>18</v>
      </c>
      <c r="G708">
        <v>951.74</v>
      </c>
      <c r="H708">
        <v>0.15</v>
      </c>
      <c r="I708" t="s">
        <v>1925</v>
      </c>
      <c r="J708" t="s">
        <v>844</v>
      </c>
      <c r="K708" t="s">
        <v>38</v>
      </c>
      <c r="L708" t="s">
        <v>774</v>
      </c>
      <c r="M708" t="s">
        <v>33</v>
      </c>
      <c r="N708" t="s">
        <v>3967</v>
      </c>
      <c r="P708">
        <f t="shared" si="11"/>
        <v>0.30000063042560032</v>
      </c>
    </row>
    <row r="709" spans="1:16" x14ac:dyDescent="0.25">
      <c r="A709" t="s">
        <v>1927</v>
      </c>
      <c r="B709" s="1">
        <v>45212</v>
      </c>
      <c r="C709" t="s">
        <v>1928</v>
      </c>
      <c r="D709" t="s">
        <v>91</v>
      </c>
      <c r="E709">
        <v>376.35</v>
      </c>
      <c r="F709">
        <v>5</v>
      </c>
      <c r="G709">
        <v>112.91</v>
      </c>
      <c r="H709">
        <v>0</v>
      </c>
      <c r="I709" t="s">
        <v>1928</v>
      </c>
      <c r="J709" t="s">
        <v>648</v>
      </c>
      <c r="K709" t="s">
        <v>38</v>
      </c>
      <c r="L709" t="s">
        <v>624</v>
      </c>
      <c r="M709" t="s">
        <v>56</v>
      </c>
      <c r="N709" t="s">
        <v>3966</v>
      </c>
      <c r="P709">
        <f t="shared" si="11"/>
        <v>0.30001328550551348</v>
      </c>
    </row>
    <row r="710" spans="1:16" x14ac:dyDescent="0.25">
      <c r="A710" t="s">
        <v>1929</v>
      </c>
      <c r="B710" s="1">
        <v>45568</v>
      </c>
      <c r="C710" t="s">
        <v>1930</v>
      </c>
      <c r="D710" t="s">
        <v>48</v>
      </c>
      <c r="E710">
        <v>367.61</v>
      </c>
      <c r="F710">
        <v>3</v>
      </c>
      <c r="G710">
        <v>110.28</v>
      </c>
      <c r="H710">
        <v>0.1</v>
      </c>
      <c r="I710" t="s">
        <v>1930</v>
      </c>
      <c r="J710" t="s">
        <v>1931</v>
      </c>
      <c r="K710" t="s">
        <v>24</v>
      </c>
      <c r="L710" t="s">
        <v>1932</v>
      </c>
      <c r="M710" t="s">
        <v>710</v>
      </c>
      <c r="N710" t="s">
        <v>3966</v>
      </c>
      <c r="P710">
        <f t="shared" si="11"/>
        <v>0.29999183917738909</v>
      </c>
    </row>
    <row r="711" spans="1:16" x14ac:dyDescent="0.25">
      <c r="A711" t="s">
        <v>1933</v>
      </c>
      <c r="B711" s="1">
        <v>45756</v>
      </c>
      <c r="C711" t="s">
        <v>1934</v>
      </c>
      <c r="D711" t="s">
        <v>48</v>
      </c>
      <c r="E711">
        <v>2073.7199999999998</v>
      </c>
      <c r="F711">
        <v>4</v>
      </c>
      <c r="G711">
        <v>622.12</v>
      </c>
      <c r="H711">
        <v>0</v>
      </c>
      <c r="I711" t="s">
        <v>1934</v>
      </c>
      <c r="J711" t="s">
        <v>281</v>
      </c>
      <c r="K711" t="s">
        <v>38</v>
      </c>
      <c r="L711" t="s">
        <v>143</v>
      </c>
      <c r="M711" t="s">
        <v>144</v>
      </c>
      <c r="N711" t="s">
        <v>3966</v>
      </c>
      <c r="P711">
        <f t="shared" si="11"/>
        <v>0.30000192890071953</v>
      </c>
    </row>
    <row r="712" spans="1:16" x14ac:dyDescent="0.25">
      <c r="A712" t="s">
        <v>1935</v>
      </c>
      <c r="B712" s="1">
        <v>45410</v>
      </c>
      <c r="C712" t="s">
        <v>1934</v>
      </c>
      <c r="D712" t="s">
        <v>29</v>
      </c>
      <c r="E712">
        <v>2450.9699999999998</v>
      </c>
      <c r="F712">
        <v>5</v>
      </c>
      <c r="G712">
        <v>735.29</v>
      </c>
      <c r="H712">
        <v>0.1</v>
      </c>
      <c r="I712" t="s">
        <v>1934</v>
      </c>
      <c r="J712" t="s">
        <v>281</v>
      </c>
      <c r="K712" t="s">
        <v>38</v>
      </c>
      <c r="L712" t="s">
        <v>143</v>
      </c>
      <c r="M712" t="s">
        <v>144</v>
      </c>
      <c r="N712" t="s">
        <v>3968</v>
      </c>
      <c r="P712">
        <f t="shared" si="11"/>
        <v>0.29999959199827009</v>
      </c>
    </row>
    <row r="713" spans="1:16" x14ac:dyDescent="0.25">
      <c r="A713" t="s">
        <v>1936</v>
      </c>
      <c r="B713" s="1">
        <v>45329</v>
      </c>
      <c r="C713" t="s">
        <v>1937</v>
      </c>
      <c r="D713" t="s">
        <v>29</v>
      </c>
      <c r="E713">
        <v>3820.92</v>
      </c>
      <c r="F713">
        <v>8</v>
      </c>
      <c r="G713">
        <v>1146.28</v>
      </c>
      <c r="H713">
        <v>0.15</v>
      </c>
      <c r="I713" t="s">
        <v>1937</v>
      </c>
      <c r="J713" t="s">
        <v>1938</v>
      </c>
      <c r="K713" t="s">
        <v>38</v>
      </c>
      <c r="L713" t="s">
        <v>143</v>
      </c>
      <c r="M713" t="s">
        <v>144</v>
      </c>
      <c r="N713" t="s">
        <v>3966</v>
      </c>
      <c r="P713">
        <f t="shared" si="11"/>
        <v>0.30000104686829349</v>
      </c>
    </row>
    <row r="714" spans="1:16" x14ac:dyDescent="0.25">
      <c r="A714" t="s">
        <v>1939</v>
      </c>
      <c r="B714" s="1">
        <v>45674</v>
      </c>
      <c r="C714" t="s">
        <v>1940</v>
      </c>
      <c r="D714" t="s">
        <v>15</v>
      </c>
      <c r="E714">
        <v>1346.31</v>
      </c>
      <c r="F714">
        <v>3</v>
      </c>
      <c r="G714">
        <v>403.89</v>
      </c>
      <c r="H714">
        <v>0</v>
      </c>
      <c r="I714" t="s">
        <v>1940</v>
      </c>
      <c r="J714" t="s">
        <v>1084</v>
      </c>
      <c r="K714" t="s">
        <v>24</v>
      </c>
      <c r="L714" t="s">
        <v>72</v>
      </c>
      <c r="M714" t="s">
        <v>26</v>
      </c>
      <c r="N714" t="s">
        <v>3967</v>
      </c>
      <c r="P714">
        <f t="shared" si="11"/>
        <v>0.29999777168705571</v>
      </c>
    </row>
    <row r="715" spans="1:16" x14ac:dyDescent="0.25">
      <c r="A715" t="s">
        <v>1941</v>
      </c>
      <c r="B715" s="1">
        <v>44965</v>
      </c>
      <c r="C715" t="s">
        <v>1940</v>
      </c>
      <c r="D715" t="s">
        <v>36</v>
      </c>
      <c r="E715">
        <v>5328.99</v>
      </c>
      <c r="F715">
        <v>20</v>
      </c>
      <c r="G715">
        <v>1598.7</v>
      </c>
      <c r="H715">
        <v>0.15</v>
      </c>
      <c r="I715" t="s">
        <v>1940</v>
      </c>
      <c r="J715" t="s">
        <v>1084</v>
      </c>
      <c r="K715" t="s">
        <v>24</v>
      </c>
      <c r="L715" t="s">
        <v>72</v>
      </c>
      <c r="M715" t="s">
        <v>26</v>
      </c>
      <c r="N715" t="s">
        <v>3967</v>
      </c>
      <c r="P715">
        <f t="shared" si="11"/>
        <v>0.30000056295845934</v>
      </c>
    </row>
    <row r="716" spans="1:16" x14ac:dyDescent="0.25">
      <c r="A716" t="s">
        <v>1942</v>
      </c>
      <c r="B716" s="1">
        <v>45351</v>
      </c>
      <c r="C716" t="s">
        <v>1943</v>
      </c>
      <c r="D716" t="s">
        <v>91</v>
      </c>
      <c r="E716">
        <v>2126.02</v>
      </c>
      <c r="F716">
        <v>8</v>
      </c>
      <c r="G716">
        <v>637.80999999999995</v>
      </c>
      <c r="H716">
        <v>0.05</v>
      </c>
      <c r="I716" t="s">
        <v>1943</v>
      </c>
      <c r="J716" t="s">
        <v>284</v>
      </c>
      <c r="K716" t="s">
        <v>24</v>
      </c>
      <c r="L716" t="s">
        <v>488</v>
      </c>
      <c r="M716" t="s">
        <v>26</v>
      </c>
      <c r="N716" t="s">
        <v>3967</v>
      </c>
      <c r="P716">
        <f t="shared" si="11"/>
        <v>0.30000188144984524</v>
      </c>
    </row>
    <row r="717" spans="1:16" x14ac:dyDescent="0.25">
      <c r="A717" t="s">
        <v>1944</v>
      </c>
      <c r="B717" s="1">
        <v>45094</v>
      </c>
      <c r="C717" t="s">
        <v>1943</v>
      </c>
      <c r="D717" t="s">
        <v>22</v>
      </c>
      <c r="E717">
        <v>355.68</v>
      </c>
      <c r="F717">
        <v>1</v>
      </c>
      <c r="G717">
        <v>106.7</v>
      </c>
      <c r="H717">
        <v>0.15</v>
      </c>
      <c r="I717" t="s">
        <v>1943</v>
      </c>
      <c r="J717" t="s">
        <v>284</v>
      </c>
      <c r="K717" t="s">
        <v>24</v>
      </c>
      <c r="L717" t="s">
        <v>488</v>
      </c>
      <c r="M717" t="s">
        <v>26</v>
      </c>
      <c r="N717" t="s">
        <v>3967</v>
      </c>
      <c r="P717">
        <f t="shared" si="11"/>
        <v>0.29998875393612234</v>
      </c>
    </row>
    <row r="718" spans="1:16" x14ac:dyDescent="0.25">
      <c r="A718" t="s">
        <v>1945</v>
      </c>
      <c r="B718" s="1">
        <v>45502</v>
      </c>
      <c r="C718" t="s">
        <v>1946</v>
      </c>
      <c r="D718" t="s">
        <v>48</v>
      </c>
      <c r="E718">
        <v>3029.4</v>
      </c>
      <c r="F718">
        <v>8</v>
      </c>
      <c r="G718">
        <v>908.82</v>
      </c>
      <c r="H718">
        <v>0.1</v>
      </c>
      <c r="I718" t="s">
        <v>1946</v>
      </c>
      <c r="J718" t="s">
        <v>1947</v>
      </c>
      <c r="K718" t="s">
        <v>71</v>
      </c>
      <c r="L718" t="s">
        <v>1948</v>
      </c>
      <c r="M718" t="s">
        <v>244</v>
      </c>
      <c r="N718" t="s">
        <v>3966</v>
      </c>
      <c r="P718">
        <f t="shared" si="11"/>
        <v>0.3</v>
      </c>
    </row>
    <row r="719" spans="1:16" x14ac:dyDescent="0.25">
      <c r="A719" t="s">
        <v>1949</v>
      </c>
      <c r="B719" s="1">
        <v>45320</v>
      </c>
      <c r="C719" t="s">
        <v>1950</v>
      </c>
      <c r="D719" t="s">
        <v>41</v>
      </c>
      <c r="E719">
        <v>8229.76</v>
      </c>
      <c r="F719">
        <v>16</v>
      </c>
      <c r="G719">
        <v>2468.9299999999998</v>
      </c>
      <c r="H719">
        <v>0</v>
      </c>
      <c r="I719" t="s">
        <v>1950</v>
      </c>
      <c r="J719" t="s">
        <v>1951</v>
      </c>
      <c r="K719" t="s">
        <v>71</v>
      </c>
      <c r="L719" t="s">
        <v>388</v>
      </c>
      <c r="M719" t="s">
        <v>26</v>
      </c>
      <c r="N719" t="s">
        <v>3966</v>
      </c>
      <c r="P719">
        <f t="shared" si="11"/>
        <v>0.30000024302045258</v>
      </c>
    </row>
    <row r="720" spans="1:16" x14ac:dyDescent="0.25">
      <c r="A720" t="s">
        <v>1952</v>
      </c>
      <c r="B720" s="1">
        <v>45309</v>
      </c>
      <c r="C720" t="s">
        <v>1953</v>
      </c>
      <c r="D720" t="s">
        <v>22</v>
      </c>
      <c r="E720">
        <v>534.96</v>
      </c>
      <c r="F720">
        <v>2</v>
      </c>
      <c r="G720">
        <v>160.49</v>
      </c>
      <c r="H720">
        <v>0.1</v>
      </c>
      <c r="I720" t="s">
        <v>1953</v>
      </c>
      <c r="J720" t="s">
        <v>1954</v>
      </c>
      <c r="K720" t="s">
        <v>17</v>
      </c>
      <c r="L720" t="s">
        <v>233</v>
      </c>
      <c r="M720" t="s">
        <v>123</v>
      </c>
      <c r="N720" t="s">
        <v>3968</v>
      </c>
      <c r="P720">
        <f t="shared" si="11"/>
        <v>0.3000037385972783</v>
      </c>
    </row>
    <row r="721" spans="1:16" x14ac:dyDescent="0.25">
      <c r="A721" t="s">
        <v>1955</v>
      </c>
      <c r="B721" s="1">
        <v>45516</v>
      </c>
      <c r="C721" t="s">
        <v>1956</v>
      </c>
      <c r="D721" t="s">
        <v>36</v>
      </c>
      <c r="E721">
        <v>2780</v>
      </c>
      <c r="F721">
        <v>10</v>
      </c>
      <c r="G721">
        <v>834</v>
      </c>
      <c r="H721">
        <v>0</v>
      </c>
      <c r="I721" t="s">
        <v>1956</v>
      </c>
      <c r="J721" t="s">
        <v>1786</v>
      </c>
      <c r="K721" t="s">
        <v>31</v>
      </c>
      <c r="L721" t="s">
        <v>72</v>
      </c>
      <c r="M721" t="s">
        <v>26</v>
      </c>
      <c r="N721" t="s">
        <v>3968</v>
      </c>
      <c r="P721">
        <f t="shared" si="11"/>
        <v>0.3</v>
      </c>
    </row>
    <row r="722" spans="1:16" x14ac:dyDescent="0.25">
      <c r="A722" t="s">
        <v>1957</v>
      </c>
      <c r="B722" s="1">
        <v>45582</v>
      </c>
      <c r="C722" t="s">
        <v>1958</v>
      </c>
      <c r="D722" t="s">
        <v>41</v>
      </c>
      <c r="E722">
        <v>6508.08</v>
      </c>
      <c r="F722">
        <v>15</v>
      </c>
      <c r="G722">
        <v>1952.42</v>
      </c>
      <c r="H722">
        <v>0.1</v>
      </c>
      <c r="I722" t="s">
        <v>1958</v>
      </c>
      <c r="J722" t="s">
        <v>426</v>
      </c>
      <c r="K722" t="s">
        <v>71</v>
      </c>
      <c r="L722" t="s">
        <v>164</v>
      </c>
      <c r="M722" t="s">
        <v>165</v>
      </c>
      <c r="N722" t="s">
        <v>3968</v>
      </c>
      <c r="P722">
        <f t="shared" si="11"/>
        <v>0.29999938537940529</v>
      </c>
    </row>
    <row r="723" spans="1:16" x14ac:dyDescent="0.25">
      <c r="A723" t="s">
        <v>1959</v>
      </c>
      <c r="B723" s="1">
        <v>45763</v>
      </c>
      <c r="C723" t="s">
        <v>1958</v>
      </c>
      <c r="D723" t="s">
        <v>48</v>
      </c>
      <c r="E723">
        <v>4198.82</v>
      </c>
      <c r="F723">
        <v>8</v>
      </c>
      <c r="G723">
        <v>1259.6500000000001</v>
      </c>
      <c r="H723">
        <v>0.1</v>
      </c>
      <c r="I723" t="s">
        <v>1958</v>
      </c>
      <c r="J723" t="s">
        <v>426</v>
      </c>
      <c r="K723" t="s">
        <v>71</v>
      </c>
      <c r="L723" t="s">
        <v>164</v>
      </c>
      <c r="M723" t="s">
        <v>165</v>
      </c>
      <c r="N723" t="s">
        <v>3967</v>
      </c>
      <c r="P723">
        <f t="shared" si="11"/>
        <v>0.30000095264860133</v>
      </c>
    </row>
    <row r="724" spans="1:16" x14ac:dyDescent="0.25">
      <c r="A724" t="s">
        <v>1960</v>
      </c>
      <c r="B724" s="1">
        <v>44983</v>
      </c>
      <c r="C724" t="s">
        <v>1961</v>
      </c>
      <c r="D724" t="s">
        <v>29</v>
      </c>
      <c r="E724">
        <v>1088.93</v>
      </c>
      <c r="F724">
        <v>16</v>
      </c>
      <c r="G724">
        <v>326.68</v>
      </c>
      <c r="H724">
        <v>0.1</v>
      </c>
      <c r="I724" t="s">
        <v>1961</v>
      </c>
      <c r="J724" t="s">
        <v>1962</v>
      </c>
      <c r="K724" t="s">
        <v>38</v>
      </c>
      <c r="L724" t="s">
        <v>574</v>
      </c>
      <c r="M724" t="s">
        <v>165</v>
      </c>
      <c r="N724" t="s">
        <v>3967</v>
      </c>
      <c r="P724">
        <f t="shared" si="11"/>
        <v>0.30000091833267517</v>
      </c>
    </row>
    <row r="725" spans="1:16" x14ac:dyDescent="0.25">
      <c r="A725" t="s">
        <v>1963</v>
      </c>
      <c r="B725" s="1">
        <v>44933</v>
      </c>
      <c r="C725" t="s">
        <v>1964</v>
      </c>
      <c r="D725" t="s">
        <v>29</v>
      </c>
      <c r="E725">
        <v>6936.01</v>
      </c>
      <c r="F725">
        <v>13</v>
      </c>
      <c r="G725">
        <v>2080.8000000000002</v>
      </c>
      <c r="H725">
        <v>0.05</v>
      </c>
      <c r="I725" t="s">
        <v>1964</v>
      </c>
      <c r="J725" t="s">
        <v>1965</v>
      </c>
      <c r="K725" t="s">
        <v>17</v>
      </c>
      <c r="L725" t="s">
        <v>265</v>
      </c>
      <c r="M725" t="s">
        <v>645</v>
      </c>
      <c r="N725" t="s">
        <v>3968</v>
      </c>
      <c r="P725">
        <f t="shared" si="11"/>
        <v>0.29999956747467205</v>
      </c>
    </row>
    <row r="726" spans="1:16" x14ac:dyDescent="0.25">
      <c r="A726" t="s">
        <v>1966</v>
      </c>
      <c r="B726" s="1">
        <v>45223</v>
      </c>
      <c r="C726" t="s">
        <v>1967</v>
      </c>
      <c r="D726" t="s">
        <v>29</v>
      </c>
      <c r="E726">
        <v>1798.05</v>
      </c>
      <c r="F726">
        <v>5</v>
      </c>
      <c r="G726">
        <v>539.41999999999996</v>
      </c>
      <c r="H726">
        <v>0</v>
      </c>
      <c r="I726" t="s">
        <v>1967</v>
      </c>
      <c r="J726" t="s">
        <v>1275</v>
      </c>
      <c r="K726" t="s">
        <v>24</v>
      </c>
      <c r="L726" t="s">
        <v>99</v>
      </c>
      <c r="M726" t="s">
        <v>56</v>
      </c>
      <c r="N726" t="s">
        <v>3967</v>
      </c>
      <c r="P726">
        <f t="shared" si="11"/>
        <v>0.30000278079030057</v>
      </c>
    </row>
    <row r="727" spans="1:16" x14ac:dyDescent="0.25">
      <c r="A727" t="s">
        <v>1968</v>
      </c>
      <c r="B727" s="1">
        <v>45293</v>
      </c>
      <c r="C727" t="s">
        <v>1969</v>
      </c>
      <c r="D727" t="s">
        <v>91</v>
      </c>
      <c r="E727">
        <v>1472.37</v>
      </c>
      <c r="F727">
        <v>15</v>
      </c>
      <c r="G727">
        <v>441.71</v>
      </c>
      <c r="H727">
        <v>0.15</v>
      </c>
      <c r="I727" t="s">
        <v>1969</v>
      </c>
      <c r="J727" t="s">
        <v>507</v>
      </c>
      <c r="K727" t="s">
        <v>31</v>
      </c>
      <c r="L727" t="s">
        <v>314</v>
      </c>
      <c r="M727" t="s">
        <v>26</v>
      </c>
      <c r="N727" t="s">
        <v>3966</v>
      </c>
      <c r="P727">
        <f t="shared" si="11"/>
        <v>0.29999932082289099</v>
      </c>
    </row>
    <row r="728" spans="1:16" x14ac:dyDescent="0.25">
      <c r="A728" t="s">
        <v>1970</v>
      </c>
      <c r="B728" s="1">
        <v>45552</v>
      </c>
      <c r="C728" t="s">
        <v>1971</v>
      </c>
      <c r="D728" t="s">
        <v>15</v>
      </c>
      <c r="E728">
        <v>6081.85</v>
      </c>
      <c r="F728">
        <v>12</v>
      </c>
      <c r="G728">
        <v>1824.56</v>
      </c>
      <c r="H728">
        <v>0.15</v>
      </c>
      <c r="I728" t="s">
        <v>1971</v>
      </c>
      <c r="J728" t="s">
        <v>1054</v>
      </c>
      <c r="K728" t="s">
        <v>24</v>
      </c>
      <c r="L728" t="s">
        <v>750</v>
      </c>
      <c r="M728" t="s">
        <v>632</v>
      </c>
      <c r="N728" t="s">
        <v>3966</v>
      </c>
      <c r="P728">
        <f t="shared" si="11"/>
        <v>0.30000082211826989</v>
      </c>
    </row>
    <row r="729" spans="1:16" x14ac:dyDescent="0.25">
      <c r="A729" t="s">
        <v>1972</v>
      </c>
      <c r="B729" s="1">
        <v>45417</v>
      </c>
      <c r="C729" t="s">
        <v>1973</v>
      </c>
      <c r="D729" t="s">
        <v>91</v>
      </c>
      <c r="E729">
        <v>7250.32</v>
      </c>
      <c r="F729">
        <v>19</v>
      </c>
      <c r="G729">
        <v>2175.1</v>
      </c>
      <c r="H729">
        <v>0.05</v>
      </c>
      <c r="I729" t="s">
        <v>1973</v>
      </c>
      <c r="J729" t="s">
        <v>59</v>
      </c>
      <c r="K729" t="s">
        <v>38</v>
      </c>
      <c r="L729" t="s">
        <v>265</v>
      </c>
      <c r="M729" t="s">
        <v>266</v>
      </c>
      <c r="N729" t="s">
        <v>3966</v>
      </c>
      <c r="P729">
        <f t="shared" si="11"/>
        <v>0.30000055169978707</v>
      </c>
    </row>
    <row r="730" spans="1:16" x14ac:dyDescent="0.25">
      <c r="A730" t="s">
        <v>1974</v>
      </c>
      <c r="B730" s="1">
        <v>45835</v>
      </c>
      <c r="C730" t="s">
        <v>1975</v>
      </c>
      <c r="D730" t="s">
        <v>29</v>
      </c>
      <c r="E730">
        <v>1467.44</v>
      </c>
      <c r="F730">
        <v>13</v>
      </c>
      <c r="G730">
        <v>440.23</v>
      </c>
      <c r="H730">
        <v>0</v>
      </c>
      <c r="I730" t="s">
        <v>1975</v>
      </c>
      <c r="J730" t="s">
        <v>1976</v>
      </c>
      <c r="K730" t="s">
        <v>71</v>
      </c>
      <c r="L730" t="s">
        <v>25</v>
      </c>
      <c r="M730" t="s">
        <v>26</v>
      </c>
      <c r="N730" t="s">
        <v>3966</v>
      </c>
      <c r="P730">
        <f t="shared" si="11"/>
        <v>0.29999863708226571</v>
      </c>
    </row>
    <row r="731" spans="1:16" x14ac:dyDescent="0.25">
      <c r="A731" t="s">
        <v>1977</v>
      </c>
      <c r="B731" s="1">
        <v>45426</v>
      </c>
      <c r="C731" t="s">
        <v>1978</v>
      </c>
      <c r="D731" t="s">
        <v>22</v>
      </c>
      <c r="E731">
        <v>1887.41</v>
      </c>
      <c r="F731">
        <v>6</v>
      </c>
      <c r="G731">
        <v>566.22</v>
      </c>
      <c r="H731">
        <v>0.15</v>
      </c>
      <c r="I731" t="s">
        <v>1978</v>
      </c>
      <c r="J731" t="s">
        <v>313</v>
      </c>
      <c r="K731" t="s">
        <v>71</v>
      </c>
      <c r="L731" t="s">
        <v>82</v>
      </c>
      <c r="M731" t="s">
        <v>83</v>
      </c>
      <c r="N731" t="s">
        <v>3966</v>
      </c>
      <c r="P731">
        <f t="shared" si="11"/>
        <v>0.29999841052023674</v>
      </c>
    </row>
    <row r="732" spans="1:16" x14ac:dyDescent="0.25">
      <c r="A732" t="s">
        <v>1979</v>
      </c>
      <c r="B732" s="1">
        <v>45351</v>
      </c>
      <c r="C732" t="s">
        <v>1980</v>
      </c>
      <c r="D732" t="s">
        <v>36</v>
      </c>
      <c r="E732">
        <v>1528.22</v>
      </c>
      <c r="F732">
        <v>15</v>
      </c>
      <c r="G732">
        <v>458.46</v>
      </c>
      <c r="H732">
        <v>0.15</v>
      </c>
      <c r="I732" t="s">
        <v>1980</v>
      </c>
      <c r="J732" t="s">
        <v>1981</v>
      </c>
      <c r="K732" t="s">
        <v>31</v>
      </c>
      <c r="L732" t="s">
        <v>1982</v>
      </c>
      <c r="M732" t="s">
        <v>33</v>
      </c>
      <c r="N732" t="s">
        <v>3966</v>
      </c>
      <c r="P732">
        <f t="shared" si="11"/>
        <v>0.29999607386371069</v>
      </c>
    </row>
    <row r="733" spans="1:16" x14ac:dyDescent="0.25">
      <c r="A733" t="s">
        <v>1983</v>
      </c>
      <c r="B733" s="1">
        <v>45796</v>
      </c>
      <c r="C733" t="s">
        <v>1984</v>
      </c>
      <c r="D733" t="s">
        <v>22</v>
      </c>
      <c r="E733">
        <v>1153.6199999999999</v>
      </c>
      <c r="F733">
        <v>5</v>
      </c>
      <c r="G733">
        <v>346.09</v>
      </c>
      <c r="H733">
        <v>0.15</v>
      </c>
      <c r="I733" t="s">
        <v>1984</v>
      </c>
      <c r="J733" t="s">
        <v>1985</v>
      </c>
      <c r="K733" t="s">
        <v>17</v>
      </c>
      <c r="L733" t="s">
        <v>524</v>
      </c>
      <c r="M733" t="s">
        <v>266</v>
      </c>
      <c r="N733" t="s">
        <v>3966</v>
      </c>
      <c r="P733">
        <f t="shared" si="11"/>
        <v>0.30000346734626654</v>
      </c>
    </row>
    <row r="734" spans="1:16" x14ac:dyDescent="0.25">
      <c r="A734" t="s">
        <v>432</v>
      </c>
      <c r="B734" s="1">
        <v>45628</v>
      </c>
      <c r="C734" t="s">
        <v>433</v>
      </c>
      <c r="D734" t="s">
        <v>29</v>
      </c>
      <c r="E734">
        <v>3106.98</v>
      </c>
      <c r="F734">
        <v>9</v>
      </c>
      <c r="G734">
        <v>932.1</v>
      </c>
      <c r="H734">
        <v>0.05</v>
      </c>
      <c r="I734" t="s">
        <v>433</v>
      </c>
      <c r="J734" t="s">
        <v>1986</v>
      </c>
      <c r="K734" t="s">
        <v>17</v>
      </c>
      <c r="L734" t="s">
        <v>1987</v>
      </c>
      <c r="M734" t="s">
        <v>19</v>
      </c>
      <c r="N734" t="s">
        <v>3968</v>
      </c>
      <c r="P734">
        <f t="shared" si="11"/>
        <v>0.30000193113570089</v>
      </c>
    </row>
    <row r="735" spans="1:16" x14ac:dyDescent="0.25">
      <c r="A735" t="s">
        <v>436</v>
      </c>
      <c r="B735" s="1">
        <v>45021</v>
      </c>
      <c r="C735" t="s">
        <v>433</v>
      </c>
      <c r="D735" t="s">
        <v>41</v>
      </c>
      <c r="E735">
        <v>663</v>
      </c>
      <c r="F735">
        <v>3</v>
      </c>
      <c r="G735">
        <v>198.9</v>
      </c>
      <c r="H735">
        <v>0</v>
      </c>
      <c r="I735" t="s">
        <v>433</v>
      </c>
      <c r="J735" t="s">
        <v>1986</v>
      </c>
      <c r="K735" t="s">
        <v>17</v>
      </c>
      <c r="L735" t="s">
        <v>1987</v>
      </c>
      <c r="M735" t="s">
        <v>19</v>
      </c>
      <c r="N735" t="s">
        <v>3968</v>
      </c>
      <c r="P735">
        <f t="shared" si="11"/>
        <v>0.3</v>
      </c>
    </row>
    <row r="736" spans="1:16" x14ac:dyDescent="0.25">
      <c r="A736" t="s">
        <v>1988</v>
      </c>
      <c r="B736" s="1">
        <v>45503</v>
      </c>
      <c r="C736" t="s">
        <v>1989</v>
      </c>
      <c r="D736" t="s">
        <v>41</v>
      </c>
      <c r="E736">
        <v>5444.45</v>
      </c>
      <c r="F736">
        <v>12</v>
      </c>
      <c r="G736">
        <v>1633.34</v>
      </c>
      <c r="H736">
        <v>0.15</v>
      </c>
      <c r="I736" t="s">
        <v>1989</v>
      </c>
      <c r="J736" t="s">
        <v>1990</v>
      </c>
      <c r="K736" t="s">
        <v>71</v>
      </c>
      <c r="L736" t="s">
        <v>278</v>
      </c>
      <c r="M736" t="s">
        <v>44</v>
      </c>
      <c r="N736" t="s">
        <v>3968</v>
      </c>
      <c r="P736">
        <f t="shared" si="11"/>
        <v>0.30000091836640985</v>
      </c>
    </row>
    <row r="737" spans="1:16" x14ac:dyDescent="0.25">
      <c r="A737" t="s">
        <v>1991</v>
      </c>
      <c r="B737" s="1">
        <v>45102</v>
      </c>
      <c r="C737" t="s">
        <v>1992</v>
      </c>
      <c r="D737" t="s">
        <v>29</v>
      </c>
      <c r="E737">
        <v>2073.92</v>
      </c>
      <c r="F737">
        <v>12</v>
      </c>
      <c r="G737">
        <v>622.17999999999995</v>
      </c>
      <c r="H737">
        <v>0.1</v>
      </c>
      <c r="I737" t="s">
        <v>1992</v>
      </c>
      <c r="J737" t="s">
        <v>1993</v>
      </c>
      <c r="K737" t="s">
        <v>24</v>
      </c>
      <c r="L737" t="s">
        <v>750</v>
      </c>
      <c r="M737" t="s">
        <v>632</v>
      </c>
      <c r="N737" t="s">
        <v>3968</v>
      </c>
      <c r="P737">
        <f t="shared" si="11"/>
        <v>0.30000192871470449</v>
      </c>
    </row>
    <row r="738" spans="1:16" x14ac:dyDescent="0.25">
      <c r="A738" t="s">
        <v>1994</v>
      </c>
      <c r="B738" s="1">
        <v>45483</v>
      </c>
      <c r="C738" t="s">
        <v>1995</v>
      </c>
      <c r="D738" t="s">
        <v>36</v>
      </c>
      <c r="E738">
        <v>10084.4</v>
      </c>
      <c r="F738">
        <v>20</v>
      </c>
      <c r="G738">
        <v>3025.32</v>
      </c>
      <c r="H738">
        <v>0</v>
      </c>
      <c r="I738" t="s">
        <v>1995</v>
      </c>
      <c r="J738" t="s">
        <v>434</v>
      </c>
      <c r="K738" t="s">
        <v>24</v>
      </c>
      <c r="L738" t="s">
        <v>155</v>
      </c>
      <c r="M738" t="s">
        <v>111</v>
      </c>
      <c r="N738" t="s">
        <v>3968</v>
      </c>
      <c r="P738">
        <f t="shared" si="11"/>
        <v>0.30000000000000004</v>
      </c>
    </row>
    <row r="739" spans="1:16" x14ac:dyDescent="0.25">
      <c r="A739" t="s">
        <v>1996</v>
      </c>
      <c r="B739" s="1">
        <v>44932</v>
      </c>
      <c r="C739" t="s">
        <v>1997</v>
      </c>
      <c r="D739" t="s">
        <v>15</v>
      </c>
      <c r="E739">
        <v>1220.06</v>
      </c>
      <c r="F739">
        <v>7</v>
      </c>
      <c r="G739">
        <v>366.02</v>
      </c>
      <c r="H739">
        <v>0.1</v>
      </c>
      <c r="I739" t="s">
        <v>1997</v>
      </c>
      <c r="J739" t="s">
        <v>281</v>
      </c>
      <c r="K739" t="s">
        <v>17</v>
      </c>
      <c r="L739" t="s">
        <v>82</v>
      </c>
      <c r="M739" t="s">
        <v>83</v>
      </c>
      <c r="N739" t="s">
        <v>3968</v>
      </c>
      <c r="P739">
        <f t="shared" si="11"/>
        <v>0.30000163926364276</v>
      </c>
    </row>
    <row r="740" spans="1:16" x14ac:dyDescent="0.25">
      <c r="A740" t="s">
        <v>1998</v>
      </c>
      <c r="B740" s="1">
        <v>45346</v>
      </c>
      <c r="C740" t="s">
        <v>1999</v>
      </c>
      <c r="D740" t="s">
        <v>36</v>
      </c>
      <c r="E740">
        <v>731.24</v>
      </c>
      <c r="F740">
        <v>3</v>
      </c>
      <c r="G740">
        <v>219.37</v>
      </c>
      <c r="H740">
        <v>0.1</v>
      </c>
      <c r="I740" t="s">
        <v>1999</v>
      </c>
      <c r="J740" t="s">
        <v>2000</v>
      </c>
      <c r="K740" t="s">
        <v>24</v>
      </c>
      <c r="L740" t="s">
        <v>1475</v>
      </c>
      <c r="M740" t="s">
        <v>389</v>
      </c>
      <c r="N740" t="s">
        <v>3966</v>
      </c>
      <c r="P740">
        <f t="shared" si="11"/>
        <v>0.29999726491986217</v>
      </c>
    </row>
    <row r="741" spans="1:16" x14ac:dyDescent="0.25">
      <c r="A741" t="s">
        <v>2001</v>
      </c>
      <c r="B741" s="1">
        <v>45271</v>
      </c>
      <c r="C741" t="s">
        <v>2002</v>
      </c>
      <c r="D741" t="s">
        <v>91</v>
      </c>
      <c r="E741">
        <v>1117.44</v>
      </c>
      <c r="F741">
        <v>18</v>
      </c>
      <c r="G741">
        <v>335.23</v>
      </c>
      <c r="H741">
        <v>0</v>
      </c>
      <c r="I741" t="s">
        <v>2002</v>
      </c>
      <c r="J741" t="s">
        <v>2003</v>
      </c>
      <c r="K741" t="s">
        <v>38</v>
      </c>
      <c r="L741" t="s">
        <v>72</v>
      </c>
      <c r="M741" t="s">
        <v>26</v>
      </c>
      <c r="N741" t="s">
        <v>3968</v>
      </c>
      <c r="P741">
        <f t="shared" si="11"/>
        <v>0.29999821019473083</v>
      </c>
    </row>
    <row r="742" spans="1:16" x14ac:dyDescent="0.25">
      <c r="A742" t="s">
        <v>2004</v>
      </c>
      <c r="B742" s="1">
        <v>45707</v>
      </c>
      <c r="C742" t="s">
        <v>2005</v>
      </c>
      <c r="D742" t="s">
        <v>41</v>
      </c>
      <c r="E742">
        <v>4730.7299999999996</v>
      </c>
      <c r="F742">
        <v>11</v>
      </c>
      <c r="G742">
        <v>1419.22</v>
      </c>
      <c r="H742">
        <v>0.15</v>
      </c>
      <c r="I742" t="s">
        <v>2005</v>
      </c>
      <c r="J742" t="s">
        <v>2006</v>
      </c>
      <c r="K742" t="s">
        <v>24</v>
      </c>
      <c r="L742" t="s">
        <v>72</v>
      </c>
      <c r="M742" t="s">
        <v>26</v>
      </c>
      <c r="N742" t="s">
        <v>3968</v>
      </c>
      <c r="P742">
        <f t="shared" si="11"/>
        <v>0.30000021138386679</v>
      </c>
    </row>
    <row r="743" spans="1:16" x14ac:dyDescent="0.25">
      <c r="A743" t="s">
        <v>2007</v>
      </c>
      <c r="B743" s="1">
        <v>45734</v>
      </c>
      <c r="C743" t="s">
        <v>2008</v>
      </c>
      <c r="D743" t="s">
        <v>91</v>
      </c>
      <c r="E743">
        <v>212.36</v>
      </c>
      <c r="F743">
        <v>4</v>
      </c>
      <c r="G743">
        <v>63.71</v>
      </c>
      <c r="H743">
        <v>0.15</v>
      </c>
      <c r="I743" t="s">
        <v>2008</v>
      </c>
      <c r="J743" t="s">
        <v>2009</v>
      </c>
      <c r="K743" t="s">
        <v>71</v>
      </c>
      <c r="L743" t="s">
        <v>1368</v>
      </c>
      <c r="M743" t="s">
        <v>266</v>
      </c>
      <c r="N743" t="s">
        <v>3968</v>
      </c>
      <c r="P743">
        <f t="shared" si="11"/>
        <v>0.30000941796948577</v>
      </c>
    </row>
    <row r="744" spans="1:16" x14ac:dyDescent="0.25">
      <c r="A744" t="s">
        <v>2010</v>
      </c>
      <c r="B744" s="1">
        <v>45191</v>
      </c>
      <c r="C744" t="s">
        <v>2011</v>
      </c>
      <c r="D744" t="s">
        <v>22</v>
      </c>
      <c r="E744">
        <v>3024.5</v>
      </c>
      <c r="F744">
        <v>7</v>
      </c>
      <c r="G744">
        <v>907.35</v>
      </c>
      <c r="H744">
        <v>0.1</v>
      </c>
      <c r="I744" t="s">
        <v>2011</v>
      </c>
      <c r="J744" t="s">
        <v>2012</v>
      </c>
      <c r="K744" t="s">
        <v>24</v>
      </c>
      <c r="L744" t="s">
        <v>427</v>
      </c>
      <c r="M744" t="s">
        <v>56</v>
      </c>
      <c r="N744" t="s">
        <v>3966</v>
      </c>
      <c r="P744">
        <f t="shared" si="11"/>
        <v>0.3</v>
      </c>
    </row>
    <row r="745" spans="1:16" x14ac:dyDescent="0.25">
      <c r="A745" t="s">
        <v>2013</v>
      </c>
      <c r="B745" s="1">
        <v>45283</v>
      </c>
      <c r="C745" t="s">
        <v>2014</v>
      </c>
      <c r="D745" t="s">
        <v>91</v>
      </c>
      <c r="E745">
        <v>1091.8800000000001</v>
      </c>
      <c r="F745">
        <v>18</v>
      </c>
      <c r="G745">
        <v>327.56</v>
      </c>
      <c r="H745">
        <v>0</v>
      </c>
      <c r="I745" t="s">
        <v>2014</v>
      </c>
      <c r="J745" t="s">
        <v>54</v>
      </c>
      <c r="K745" t="s">
        <v>71</v>
      </c>
      <c r="L745" t="s">
        <v>25</v>
      </c>
      <c r="M745" t="s">
        <v>26</v>
      </c>
      <c r="N745" t="s">
        <v>3966</v>
      </c>
      <c r="P745">
        <f t="shared" si="11"/>
        <v>0.29999633659376485</v>
      </c>
    </row>
    <row r="746" spans="1:16" x14ac:dyDescent="0.25">
      <c r="A746" t="s">
        <v>2015</v>
      </c>
      <c r="B746" s="1">
        <v>45781</v>
      </c>
      <c r="C746" t="s">
        <v>2016</v>
      </c>
      <c r="D746" t="s">
        <v>29</v>
      </c>
      <c r="E746">
        <v>1419.81</v>
      </c>
      <c r="F746">
        <v>6</v>
      </c>
      <c r="G746">
        <v>425.94</v>
      </c>
      <c r="H746">
        <v>0.05</v>
      </c>
      <c r="I746" t="s">
        <v>2016</v>
      </c>
      <c r="J746" t="s">
        <v>2017</v>
      </c>
      <c r="K746" t="s">
        <v>31</v>
      </c>
      <c r="L746" t="s">
        <v>2018</v>
      </c>
      <c r="M746" t="s">
        <v>389</v>
      </c>
      <c r="N746" t="s">
        <v>3966</v>
      </c>
      <c r="P746">
        <f t="shared" si="11"/>
        <v>0.29999788704122382</v>
      </c>
    </row>
    <row r="747" spans="1:16" x14ac:dyDescent="0.25">
      <c r="A747" t="s">
        <v>2019</v>
      </c>
      <c r="B747" s="1">
        <v>45668</v>
      </c>
      <c r="C747" t="s">
        <v>2020</v>
      </c>
      <c r="D747" t="s">
        <v>22</v>
      </c>
      <c r="E747">
        <v>7200.9</v>
      </c>
      <c r="F747">
        <v>20</v>
      </c>
      <c r="G747">
        <v>2160.27</v>
      </c>
      <c r="H747">
        <v>0.1</v>
      </c>
      <c r="I747" t="s">
        <v>2020</v>
      </c>
      <c r="J747" t="s">
        <v>2021</v>
      </c>
      <c r="K747" t="s">
        <v>17</v>
      </c>
      <c r="L747" t="s">
        <v>25</v>
      </c>
      <c r="M747" t="s">
        <v>26</v>
      </c>
      <c r="N747" t="s">
        <v>3966</v>
      </c>
      <c r="P747">
        <f t="shared" si="11"/>
        <v>0.3</v>
      </c>
    </row>
    <row r="748" spans="1:16" x14ac:dyDescent="0.25">
      <c r="A748" t="s">
        <v>2022</v>
      </c>
      <c r="B748" s="1">
        <v>45402</v>
      </c>
      <c r="C748" t="s">
        <v>2023</v>
      </c>
      <c r="D748" t="s">
        <v>36</v>
      </c>
      <c r="E748">
        <v>1504.61</v>
      </c>
      <c r="F748">
        <v>5</v>
      </c>
      <c r="G748">
        <v>451.38</v>
      </c>
      <c r="H748">
        <v>0.05</v>
      </c>
      <c r="I748" t="s">
        <v>2023</v>
      </c>
      <c r="J748" t="s">
        <v>2024</v>
      </c>
      <c r="K748" t="s">
        <v>24</v>
      </c>
      <c r="L748" t="s">
        <v>143</v>
      </c>
      <c r="M748" t="s">
        <v>144</v>
      </c>
      <c r="N748" t="s">
        <v>3967</v>
      </c>
      <c r="P748">
        <f t="shared" si="11"/>
        <v>0.29999800612783378</v>
      </c>
    </row>
    <row r="749" spans="1:16" x14ac:dyDescent="0.25">
      <c r="A749" t="s">
        <v>2025</v>
      </c>
      <c r="B749" s="1">
        <v>45768</v>
      </c>
      <c r="C749" t="s">
        <v>2023</v>
      </c>
      <c r="D749" t="s">
        <v>41</v>
      </c>
      <c r="E749">
        <v>124.33</v>
      </c>
      <c r="F749">
        <v>1</v>
      </c>
      <c r="G749">
        <v>37.299999999999997</v>
      </c>
      <c r="H749">
        <v>0.05</v>
      </c>
      <c r="I749" t="s">
        <v>2023</v>
      </c>
      <c r="J749" t="s">
        <v>2024</v>
      </c>
      <c r="K749" t="s">
        <v>24</v>
      </c>
      <c r="L749" t="s">
        <v>143</v>
      </c>
      <c r="M749" t="s">
        <v>144</v>
      </c>
      <c r="N749" t="s">
        <v>3967</v>
      </c>
      <c r="P749">
        <f t="shared" si="11"/>
        <v>0.30000804311107532</v>
      </c>
    </row>
    <row r="750" spans="1:16" x14ac:dyDescent="0.25">
      <c r="A750" t="s">
        <v>2026</v>
      </c>
      <c r="B750" s="1">
        <v>45273</v>
      </c>
      <c r="C750" t="s">
        <v>2027</v>
      </c>
      <c r="D750" t="s">
        <v>91</v>
      </c>
      <c r="E750">
        <v>1244.3</v>
      </c>
      <c r="F750">
        <v>11</v>
      </c>
      <c r="G750">
        <v>373.29</v>
      </c>
      <c r="H750">
        <v>0.15</v>
      </c>
      <c r="I750" t="s">
        <v>2027</v>
      </c>
      <c r="J750" t="s">
        <v>2028</v>
      </c>
      <c r="K750" t="s">
        <v>38</v>
      </c>
      <c r="L750" t="s">
        <v>774</v>
      </c>
      <c r="M750" t="s">
        <v>44</v>
      </c>
      <c r="N750" t="s">
        <v>3966</v>
      </c>
      <c r="P750">
        <f t="shared" si="11"/>
        <v>0.30000000000000004</v>
      </c>
    </row>
    <row r="751" spans="1:16" x14ac:dyDescent="0.25">
      <c r="A751" t="s">
        <v>2029</v>
      </c>
      <c r="B751" s="1">
        <v>45536</v>
      </c>
      <c r="C751" t="s">
        <v>2030</v>
      </c>
      <c r="D751" t="s">
        <v>36</v>
      </c>
      <c r="E751">
        <v>6429.28</v>
      </c>
      <c r="F751">
        <v>16</v>
      </c>
      <c r="G751">
        <v>1928.78</v>
      </c>
      <c r="H751">
        <v>0</v>
      </c>
      <c r="I751" t="s">
        <v>2030</v>
      </c>
      <c r="J751" t="s">
        <v>215</v>
      </c>
      <c r="K751" t="s">
        <v>17</v>
      </c>
      <c r="L751" t="s">
        <v>2031</v>
      </c>
      <c r="M751" t="s">
        <v>144</v>
      </c>
      <c r="N751" t="s">
        <v>3966</v>
      </c>
      <c r="P751">
        <f t="shared" si="11"/>
        <v>0.29999937784635294</v>
      </c>
    </row>
    <row r="752" spans="1:16" x14ac:dyDescent="0.25">
      <c r="A752" t="s">
        <v>2032</v>
      </c>
      <c r="B752" s="1">
        <v>45329</v>
      </c>
      <c r="C752" t="s">
        <v>2030</v>
      </c>
      <c r="D752" t="s">
        <v>36</v>
      </c>
      <c r="E752">
        <v>5249.56</v>
      </c>
      <c r="F752">
        <v>13</v>
      </c>
      <c r="G752">
        <v>1574.87</v>
      </c>
      <c r="H752">
        <v>0.1</v>
      </c>
      <c r="I752" t="s">
        <v>2030</v>
      </c>
      <c r="J752" t="s">
        <v>215</v>
      </c>
      <c r="K752" t="s">
        <v>17</v>
      </c>
      <c r="L752" t="s">
        <v>2031</v>
      </c>
      <c r="M752" t="s">
        <v>144</v>
      </c>
      <c r="N752" t="s">
        <v>3966</v>
      </c>
      <c r="P752">
        <f t="shared" si="11"/>
        <v>0.30000038098431103</v>
      </c>
    </row>
    <row r="753" spans="1:16" x14ac:dyDescent="0.25">
      <c r="A753" t="s">
        <v>2033</v>
      </c>
      <c r="B753" s="1">
        <v>45406</v>
      </c>
      <c r="C753" t="s">
        <v>2034</v>
      </c>
      <c r="D753" t="s">
        <v>91</v>
      </c>
      <c r="E753">
        <v>688.37</v>
      </c>
      <c r="F753">
        <v>19</v>
      </c>
      <c r="G753">
        <v>206.51</v>
      </c>
      <c r="H753">
        <v>0</v>
      </c>
      <c r="I753" t="s">
        <v>2034</v>
      </c>
      <c r="J753" t="s">
        <v>887</v>
      </c>
      <c r="K753" t="s">
        <v>31</v>
      </c>
      <c r="L753" t="s">
        <v>481</v>
      </c>
      <c r="M753" t="s">
        <v>123</v>
      </c>
      <c r="N753" t="s">
        <v>3966</v>
      </c>
      <c r="P753">
        <f t="shared" si="11"/>
        <v>0.29999854729288028</v>
      </c>
    </row>
    <row r="754" spans="1:16" x14ac:dyDescent="0.25">
      <c r="A754" t="s">
        <v>1199</v>
      </c>
      <c r="B754" s="1">
        <v>45180</v>
      </c>
      <c r="C754" t="s">
        <v>1200</v>
      </c>
      <c r="D754" t="s">
        <v>36</v>
      </c>
      <c r="E754">
        <v>1592.78</v>
      </c>
      <c r="F754">
        <v>14</v>
      </c>
      <c r="G754">
        <v>477.83</v>
      </c>
      <c r="H754">
        <v>0</v>
      </c>
      <c r="I754" t="s">
        <v>1200</v>
      </c>
      <c r="J754" t="s">
        <v>2035</v>
      </c>
      <c r="K754" t="s">
        <v>71</v>
      </c>
      <c r="L754" t="s">
        <v>1225</v>
      </c>
      <c r="M754" t="s">
        <v>111</v>
      </c>
      <c r="N754" t="s">
        <v>3966</v>
      </c>
      <c r="P754">
        <f t="shared" si="11"/>
        <v>0.29999748866761261</v>
      </c>
    </row>
    <row r="755" spans="1:16" x14ac:dyDescent="0.25">
      <c r="A755" t="s">
        <v>1203</v>
      </c>
      <c r="B755" s="1">
        <v>45330</v>
      </c>
      <c r="C755" t="s">
        <v>1200</v>
      </c>
      <c r="D755" t="s">
        <v>48</v>
      </c>
      <c r="E755">
        <v>1497.38</v>
      </c>
      <c r="F755">
        <v>11</v>
      </c>
      <c r="G755">
        <v>449.21</v>
      </c>
      <c r="H755">
        <v>0.1</v>
      </c>
      <c r="I755" t="s">
        <v>1200</v>
      </c>
      <c r="J755" t="s">
        <v>2035</v>
      </c>
      <c r="K755" t="s">
        <v>71</v>
      </c>
      <c r="L755" t="s">
        <v>1225</v>
      </c>
      <c r="M755" t="s">
        <v>111</v>
      </c>
      <c r="N755" t="s">
        <v>3967</v>
      </c>
      <c r="P755">
        <f t="shared" si="11"/>
        <v>0.29999732866740569</v>
      </c>
    </row>
    <row r="756" spans="1:16" x14ac:dyDescent="0.25">
      <c r="A756" t="s">
        <v>2036</v>
      </c>
      <c r="B756" s="1">
        <v>45817</v>
      </c>
      <c r="C756" t="s">
        <v>2037</v>
      </c>
      <c r="D756" t="s">
        <v>41</v>
      </c>
      <c r="E756">
        <v>179.2</v>
      </c>
      <c r="F756">
        <v>2</v>
      </c>
      <c r="G756">
        <v>53.76</v>
      </c>
      <c r="H756">
        <v>0</v>
      </c>
      <c r="I756" t="s">
        <v>2037</v>
      </c>
      <c r="J756" t="s">
        <v>2028</v>
      </c>
      <c r="K756" t="s">
        <v>38</v>
      </c>
      <c r="L756" t="s">
        <v>574</v>
      </c>
      <c r="M756" t="s">
        <v>165</v>
      </c>
      <c r="N756" t="s">
        <v>3966</v>
      </c>
      <c r="P756">
        <f t="shared" si="11"/>
        <v>0.3</v>
      </c>
    </row>
    <row r="757" spans="1:16" x14ac:dyDescent="0.25">
      <c r="A757" t="s">
        <v>2038</v>
      </c>
      <c r="B757" s="1">
        <v>45814</v>
      </c>
      <c r="C757" t="s">
        <v>2039</v>
      </c>
      <c r="D757" t="s">
        <v>29</v>
      </c>
      <c r="E757">
        <v>999.4</v>
      </c>
      <c r="F757">
        <v>3</v>
      </c>
      <c r="G757">
        <v>299.82</v>
      </c>
      <c r="H757">
        <v>0.15</v>
      </c>
      <c r="I757" t="s">
        <v>2039</v>
      </c>
      <c r="J757" t="s">
        <v>1542</v>
      </c>
      <c r="K757" t="s">
        <v>17</v>
      </c>
      <c r="L757" t="s">
        <v>72</v>
      </c>
      <c r="M757" t="s">
        <v>26</v>
      </c>
      <c r="N757" t="s">
        <v>3967</v>
      </c>
      <c r="P757">
        <f t="shared" si="11"/>
        <v>0.3</v>
      </c>
    </row>
    <row r="758" spans="1:16" x14ac:dyDescent="0.25">
      <c r="A758" t="s">
        <v>2040</v>
      </c>
      <c r="B758" s="1">
        <v>45649</v>
      </c>
      <c r="C758" t="s">
        <v>2041</v>
      </c>
      <c r="D758" t="s">
        <v>36</v>
      </c>
      <c r="E758">
        <v>3770.37</v>
      </c>
      <c r="F758">
        <v>10</v>
      </c>
      <c r="G758">
        <v>1131.1099999999999</v>
      </c>
      <c r="H758">
        <v>0.1</v>
      </c>
      <c r="I758" t="s">
        <v>2041</v>
      </c>
      <c r="J758" t="s">
        <v>1909</v>
      </c>
      <c r="K758" t="s">
        <v>24</v>
      </c>
      <c r="L758" t="s">
        <v>99</v>
      </c>
      <c r="M758" t="s">
        <v>56</v>
      </c>
      <c r="N758" t="s">
        <v>3966</v>
      </c>
      <c r="P758">
        <f t="shared" si="11"/>
        <v>0.29999973477404074</v>
      </c>
    </row>
    <row r="759" spans="1:16" x14ac:dyDescent="0.25">
      <c r="A759" t="s">
        <v>2042</v>
      </c>
      <c r="B759" s="1">
        <v>45657</v>
      </c>
      <c r="C759" t="s">
        <v>2043</v>
      </c>
      <c r="D759" t="s">
        <v>41</v>
      </c>
      <c r="E759">
        <v>8607.15</v>
      </c>
      <c r="F759">
        <v>15</v>
      </c>
      <c r="G759">
        <v>2582.15</v>
      </c>
      <c r="H759">
        <v>0</v>
      </c>
      <c r="I759" t="s">
        <v>2043</v>
      </c>
      <c r="J759" t="s">
        <v>2044</v>
      </c>
      <c r="K759" t="s">
        <v>17</v>
      </c>
      <c r="L759" t="s">
        <v>746</v>
      </c>
      <c r="M759" t="s">
        <v>19</v>
      </c>
      <c r="N759" t="s">
        <v>3966</v>
      </c>
      <c r="P759">
        <f t="shared" si="11"/>
        <v>0.30000058091238102</v>
      </c>
    </row>
    <row r="760" spans="1:16" x14ac:dyDescent="0.25">
      <c r="A760" t="s">
        <v>2045</v>
      </c>
      <c r="B760" s="1">
        <v>45165</v>
      </c>
      <c r="C760" t="s">
        <v>2043</v>
      </c>
      <c r="D760" t="s">
        <v>48</v>
      </c>
      <c r="E760">
        <v>3637.08</v>
      </c>
      <c r="F760">
        <v>12</v>
      </c>
      <c r="G760">
        <v>1091.1199999999999</v>
      </c>
      <c r="H760">
        <v>0</v>
      </c>
      <c r="I760" t="s">
        <v>2043</v>
      </c>
      <c r="J760" t="s">
        <v>2044</v>
      </c>
      <c r="K760" t="s">
        <v>17</v>
      </c>
      <c r="L760" t="s">
        <v>746</v>
      </c>
      <c r="M760" t="s">
        <v>19</v>
      </c>
      <c r="N760" t="s">
        <v>3967</v>
      </c>
      <c r="P760">
        <f t="shared" si="11"/>
        <v>0.29999890021665732</v>
      </c>
    </row>
    <row r="761" spans="1:16" x14ac:dyDescent="0.25">
      <c r="A761" t="s">
        <v>2046</v>
      </c>
      <c r="B761" s="1">
        <v>44935</v>
      </c>
      <c r="C761" t="s">
        <v>2047</v>
      </c>
      <c r="D761" t="s">
        <v>48</v>
      </c>
      <c r="E761">
        <v>1889.55</v>
      </c>
      <c r="F761">
        <v>10</v>
      </c>
      <c r="G761">
        <v>566.87</v>
      </c>
      <c r="H761">
        <v>0.1</v>
      </c>
      <c r="I761" t="s">
        <v>2047</v>
      </c>
      <c r="J761" t="s">
        <v>2048</v>
      </c>
      <c r="K761" t="s">
        <v>17</v>
      </c>
      <c r="L761" t="s">
        <v>55</v>
      </c>
      <c r="M761" t="s">
        <v>56</v>
      </c>
      <c r="N761" t="s">
        <v>3967</v>
      </c>
      <c r="P761">
        <f t="shared" si="11"/>
        <v>0.30000264613267708</v>
      </c>
    </row>
    <row r="762" spans="1:16" x14ac:dyDescent="0.25">
      <c r="A762" t="s">
        <v>2049</v>
      </c>
      <c r="B762" s="1">
        <v>45769</v>
      </c>
      <c r="C762" t="s">
        <v>2050</v>
      </c>
      <c r="D762" t="s">
        <v>15</v>
      </c>
      <c r="E762">
        <v>2042.14</v>
      </c>
      <c r="F762">
        <v>8</v>
      </c>
      <c r="G762">
        <v>612.64</v>
      </c>
      <c r="H762">
        <v>0.1</v>
      </c>
      <c r="I762" t="s">
        <v>2050</v>
      </c>
      <c r="J762" t="s">
        <v>2051</v>
      </c>
      <c r="K762" t="s">
        <v>17</v>
      </c>
      <c r="L762" t="s">
        <v>25</v>
      </c>
      <c r="M762" t="s">
        <v>26</v>
      </c>
      <c r="N762" t="s">
        <v>3966</v>
      </c>
      <c r="P762">
        <f t="shared" si="11"/>
        <v>0.299999020635216</v>
      </c>
    </row>
    <row r="763" spans="1:16" x14ac:dyDescent="0.25">
      <c r="A763" t="s">
        <v>2052</v>
      </c>
      <c r="B763" s="1">
        <v>45175</v>
      </c>
      <c r="C763" t="s">
        <v>2053</v>
      </c>
      <c r="D763" t="s">
        <v>22</v>
      </c>
      <c r="E763">
        <v>115.67</v>
      </c>
      <c r="F763">
        <v>7</v>
      </c>
      <c r="G763">
        <v>34.700000000000003</v>
      </c>
      <c r="H763">
        <v>0.1</v>
      </c>
      <c r="I763" t="s">
        <v>2053</v>
      </c>
      <c r="J763" t="s">
        <v>2054</v>
      </c>
      <c r="K763" t="s">
        <v>24</v>
      </c>
      <c r="L763" t="s">
        <v>82</v>
      </c>
      <c r="M763" t="s">
        <v>83</v>
      </c>
      <c r="N763" t="s">
        <v>3967</v>
      </c>
      <c r="P763">
        <f t="shared" si="11"/>
        <v>0.29999135471600247</v>
      </c>
    </row>
    <row r="764" spans="1:16" x14ac:dyDescent="0.25">
      <c r="A764" t="s">
        <v>2055</v>
      </c>
      <c r="B764" s="1">
        <v>44947</v>
      </c>
      <c r="C764" t="s">
        <v>2056</v>
      </c>
      <c r="D764" t="s">
        <v>48</v>
      </c>
      <c r="E764">
        <v>3850.58</v>
      </c>
      <c r="F764">
        <v>9</v>
      </c>
      <c r="G764">
        <v>1155.17</v>
      </c>
      <c r="H764">
        <v>0.1</v>
      </c>
      <c r="I764" t="s">
        <v>2056</v>
      </c>
      <c r="J764" t="s">
        <v>2057</v>
      </c>
      <c r="K764" t="s">
        <v>17</v>
      </c>
      <c r="L764" t="s">
        <v>663</v>
      </c>
      <c r="M764" t="s">
        <v>160</v>
      </c>
      <c r="N764" t="s">
        <v>3966</v>
      </c>
      <c r="P764">
        <f t="shared" si="11"/>
        <v>0.29999896119545627</v>
      </c>
    </row>
    <row r="765" spans="1:16" x14ac:dyDescent="0.25">
      <c r="A765" t="s">
        <v>2058</v>
      </c>
      <c r="B765" s="1">
        <v>45179</v>
      </c>
      <c r="C765" t="s">
        <v>2059</v>
      </c>
      <c r="D765" t="s">
        <v>41</v>
      </c>
      <c r="E765">
        <v>1163.03</v>
      </c>
      <c r="F765">
        <v>4</v>
      </c>
      <c r="G765">
        <v>348.91</v>
      </c>
      <c r="H765">
        <v>0.05</v>
      </c>
      <c r="I765" t="s">
        <v>2059</v>
      </c>
      <c r="J765" t="s">
        <v>2060</v>
      </c>
      <c r="K765" t="s">
        <v>38</v>
      </c>
      <c r="L765" t="s">
        <v>2061</v>
      </c>
      <c r="M765" t="s">
        <v>26</v>
      </c>
      <c r="N765" t="s">
        <v>3967</v>
      </c>
      <c r="P765">
        <f t="shared" si="11"/>
        <v>0.30000085982304847</v>
      </c>
    </row>
    <row r="766" spans="1:16" x14ac:dyDescent="0.25">
      <c r="A766" t="s">
        <v>2062</v>
      </c>
      <c r="B766" s="1">
        <v>45408</v>
      </c>
      <c r="C766" t="s">
        <v>2059</v>
      </c>
      <c r="D766" t="s">
        <v>36</v>
      </c>
      <c r="E766">
        <v>7103.04</v>
      </c>
      <c r="F766">
        <v>12</v>
      </c>
      <c r="G766">
        <v>2130.91</v>
      </c>
      <c r="H766">
        <v>0</v>
      </c>
      <c r="I766" t="s">
        <v>2059</v>
      </c>
      <c r="J766" t="s">
        <v>2060</v>
      </c>
      <c r="K766" t="s">
        <v>38</v>
      </c>
      <c r="L766" t="s">
        <v>2061</v>
      </c>
      <c r="M766" t="s">
        <v>26</v>
      </c>
      <c r="N766" t="s">
        <v>3967</v>
      </c>
      <c r="P766">
        <f t="shared" si="11"/>
        <v>0.2999997184304185</v>
      </c>
    </row>
    <row r="767" spans="1:16" x14ac:dyDescent="0.25">
      <c r="A767" t="s">
        <v>2063</v>
      </c>
      <c r="B767" s="1">
        <v>45104</v>
      </c>
      <c r="C767" t="s">
        <v>2064</v>
      </c>
      <c r="D767" t="s">
        <v>22</v>
      </c>
      <c r="E767">
        <v>619.98</v>
      </c>
      <c r="F767">
        <v>7</v>
      </c>
      <c r="G767">
        <v>185.99</v>
      </c>
      <c r="H767">
        <v>0.05</v>
      </c>
      <c r="I767" t="s">
        <v>2064</v>
      </c>
      <c r="J767" t="s">
        <v>2017</v>
      </c>
      <c r="K767" t="s">
        <v>31</v>
      </c>
      <c r="L767" t="s">
        <v>555</v>
      </c>
      <c r="M767" t="s">
        <v>244</v>
      </c>
      <c r="N767" t="s">
        <v>3967</v>
      </c>
      <c r="P767">
        <f t="shared" si="11"/>
        <v>0.2999935481789735</v>
      </c>
    </row>
    <row r="768" spans="1:16" x14ac:dyDescent="0.25">
      <c r="A768" t="s">
        <v>2065</v>
      </c>
      <c r="B768" s="1">
        <v>44927</v>
      </c>
      <c r="C768" t="s">
        <v>2066</v>
      </c>
      <c r="D768" t="s">
        <v>91</v>
      </c>
      <c r="E768">
        <v>4480.6499999999996</v>
      </c>
      <c r="F768">
        <v>15</v>
      </c>
      <c r="G768">
        <v>1344.2</v>
      </c>
      <c r="H768">
        <v>0</v>
      </c>
      <c r="I768" t="s">
        <v>2066</v>
      </c>
      <c r="J768" t="s">
        <v>2067</v>
      </c>
      <c r="K768" t="s">
        <v>17</v>
      </c>
      <c r="L768" t="s">
        <v>1722</v>
      </c>
      <c r="M768" t="s">
        <v>1435</v>
      </c>
      <c r="N768" t="s">
        <v>3967</v>
      </c>
      <c r="P768">
        <f t="shared" si="11"/>
        <v>0.30000111590952211</v>
      </c>
    </row>
    <row r="769" spans="1:16" x14ac:dyDescent="0.25">
      <c r="A769" t="s">
        <v>2068</v>
      </c>
      <c r="B769" s="1">
        <v>45290</v>
      </c>
      <c r="C769" t="s">
        <v>2069</v>
      </c>
      <c r="D769" t="s">
        <v>91</v>
      </c>
      <c r="E769">
        <v>667.72</v>
      </c>
      <c r="F769">
        <v>15</v>
      </c>
      <c r="G769">
        <v>200.32</v>
      </c>
      <c r="H769">
        <v>0.15</v>
      </c>
      <c r="I769" t="s">
        <v>2069</v>
      </c>
      <c r="J769" t="s">
        <v>151</v>
      </c>
      <c r="K769" t="s">
        <v>71</v>
      </c>
      <c r="L769" t="s">
        <v>1067</v>
      </c>
      <c r="M769" t="s">
        <v>26</v>
      </c>
      <c r="N769" t="s">
        <v>3967</v>
      </c>
      <c r="P769">
        <f t="shared" si="11"/>
        <v>0.30000599053495475</v>
      </c>
    </row>
    <row r="770" spans="1:16" x14ac:dyDescent="0.25">
      <c r="A770" t="s">
        <v>2070</v>
      </c>
      <c r="B770" s="1">
        <v>44948</v>
      </c>
      <c r="C770" t="s">
        <v>2071</v>
      </c>
      <c r="D770" t="s">
        <v>22</v>
      </c>
      <c r="E770">
        <v>562.63</v>
      </c>
      <c r="F770">
        <v>6</v>
      </c>
      <c r="G770">
        <v>168.79</v>
      </c>
      <c r="H770">
        <v>0.1</v>
      </c>
      <c r="I770" t="s">
        <v>2071</v>
      </c>
      <c r="J770" t="s">
        <v>1037</v>
      </c>
      <c r="K770" t="s">
        <v>38</v>
      </c>
      <c r="L770" t="s">
        <v>2072</v>
      </c>
      <c r="M770" t="s">
        <v>67</v>
      </c>
      <c r="N770" t="s">
        <v>3967</v>
      </c>
      <c r="P770">
        <f t="shared" si="11"/>
        <v>0.3000017773670085</v>
      </c>
    </row>
    <row r="771" spans="1:16" x14ac:dyDescent="0.25">
      <c r="A771" t="s">
        <v>2073</v>
      </c>
      <c r="B771" s="1">
        <v>45500</v>
      </c>
      <c r="C771" t="s">
        <v>2074</v>
      </c>
      <c r="D771" t="s">
        <v>15</v>
      </c>
      <c r="E771">
        <v>3747.48</v>
      </c>
      <c r="F771">
        <v>8</v>
      </c>
      <c r="G771">
        <v>1124.25</v>
      </c>
      <c r="H771">
        <v>0.05</v>
      </c>
      <c r="I771" t="s">
        <v>2074</v>
      </c>
      <c r="J771" t="s">
        <v>463</v>
      </c>
      <c r="K771" t="s">
        <v>24</v>
      </c>
      <c r="L771" t="s">
        <v>2075</v>
      </c>
      <c r="M771" t="s">
        <v>67</v>
      </c>
      <c r="N771" t="s">
        <v>3966</v>
      </c>
      <c r="P771">
        <f t="shared" ref="P771:P834" si="12">G771/E771</f>
        <v>0.300001601075923</v>
      </c>
    </row>
    <row r="772" spans="1:16" x14ac:dyDescent="0.25">
      <c r="A772" t="s">
        <v>2076</v>
      </c>
      <c r="B772" s="1">
        <v>45306</v>
      </c>
      <c r="C772" t="s">
        <v>2077</v>
      </c>
      <c r="D772" t="s">
        <v>36</v>
      </c>
      <c r="E772">
        <v>1749.48</v>
      </c>
      <c r="F772">
        <v>6</v>
      </c>
      <c r="G772">
        <v>524.84</v>
      </c>
      <c r="H772">
        <v>0</v>
      </c>
      <c r="I772" t="s">
        <v>2077</v>
      </c>
      <c r="J772" t="s">
        <v>2078</v>
      </c>
      <c r="K772" t="s">
        <v>24</v>
      </c>
      <c r="L772" t="s">
        <v>243</v>
      </c>
      <c r="M772" t="s">
        <v>111</v>
      </c>
      <c r="N772" t="s">
        <v>3967</v>
      </c>
      <c r="P772">
        <f t="shared" si="12"/>
        <v>0.29999771360632876</v>
      </c>
    </row>
    <row r="773" spans="1:16" x14ac:dyDescent="0.25">
      <c r="A773" t="s">
        <v>2079</v>
      </c>
      <c r="B773" s="1">
        <v>45295</v>
      </c>
      <c r="C773" t="s">
        <v>2080</v>
      </c>
      <c r="D773" t="s">
        <v>91</v>
      </c>
      <c r="E773">
        <v>103.13</v>
      </c>
      <c r="F773">
        <v>1</v>
      </c>
      <c r="G773">
        <v>30.94</v>
      </c>
      <c r="H773">
        <v>0</v>
      </c>
      <c r="I773" t="s">
        <v>2080</v>
      </c>
      <c r="J773" t="s">
        <v>2081</v>
      </c>
      <c r="K773" t="s">
        <v>71</v>
      </c>
      <c r="L773" t="s">
        <v>2082</v>
      </c>
      <c r="M773" t="s">
        <v>645</v>
      </c>
      <c r="N773" t="s">
        <v>3967</v>
      </c>
      <c r="P773">
        <f t="shared" si="12"/>
        <v>0.30000969649956366</v>
      </c>
    </row>
    <row r="774" spans="1:16" x14ac:dyDescent="0.25">
      <c r="A774" t="s">
        <v>1270</v>
      </c>
      <c r="B774" s="1">
        <v>44966</v>
      </c>
      <c r="C774" t="s">
        <v>1271</v>
      </c>
      <c r="D774" t="s">
        <v>48</v>
      </c>
      <c r="E774">
        <v>514.80999999999995</v>
      </c>
      <c r="F774">
        <v>1</v>
      </c>
      <c r="G774">
        <v>154.44</v>
      </c>
      <c r="H774">
        <v>0.05</v>
      </c>
      <c r="I774" t="s">
        <v>1271</v>
      </c>
      <c r="J774" t="s">
        <v>2083</v>
      </c>
      <c r="K774" t="s">
        <v>17</v>
      </c>
      <c r="L774" t="s">
        <v>1137</v>
      </c>
      <c r="M774" t="s">
        <v>44</v>
      </c>
      <c r="N774" t="s">
        <v>3967</v>
      </c>
      <c r="P774">
        <f t="shared" si="12"/>
        <v>0.29999417260736971</v>
      </c>
    </row>
    <row r="775" spans="1:16" x14ac:dyDescent="0.25">
      <c r="A775" t="s">
        <v>1272</v>
      </c>
      <c r="B775" s="1">
        <v>45823</v>
      </c>
      <c r="C775" t="s">
        <v>1271</v>
      </c>
      <c r="D775" t="s">
        <v>29</v>
      </c>
      <c r="E775">
        <v>26.22</v>
      </c>
      <c r="F775">
        <v>5</v>
      </c>
      <c r="G775">
        <v>7.87</v>
      </c>
      <c r="H775">
        <v>0.05</v>
      </c>
      <c r="I775" t="s">
        <v>1271</v>
      </c>
      <c r="J775" t="s">
        <v>2083</v>
      </c>
      <c r="K775" t="s">
        <v>17</v>
      </c>
      <c r="L775" t="s">
        <v>1137</v>
      </c>
      <c r="M775" t="s">
        <v>44</v>
      </c>
      <c r="N775" t="s">
        <v>3967</v>
      </c>
      <c r="P775">
        <f t="shared" si="12"/>
        <v>0.30015255530129675</v>
      </c>
    </row>
    <row r="776" spans="1:16" x14ac:dyDescent="0.25">
      <c r="A776" t="s">
        <v>2084</v>
      </c>
      <c r="B776" s="1">
        <v>45463</v>
      </c>
      <c r="C776" t="s">
        <v>2085</v>
      </c>
      <c r="D776" t="s">
        <v>22</v>
      </c>
      <c r="E776">
        <v>3000.59</v>
      </c>
      <c r="F776">
        <v>11</v>
      </c>
      <c r="G776">
        <v>900.18</v>
      </c>
      <c r="H776">
        <v>0.1</v>
      </c>
      <c r="I776" t="s">
        <v>2085</v>
      </c>
      <c r="J776" t="s">
        <v>1371</v>
      </c>
      <c r="K776" t="s">
        <v>31</v>
      </c>
      <c r="L776" t="s">
        <v>243</v>
      </c>
      <c r="M776" t="s">
        <v>111</v>
      </c>
      <c r="N776" t="s">
        <v>3967</v>
      </c>
      <c r="P776">
        <f t="shared" si="12"/>
        <v>0.30000099980337197</v>
      </c>
    </row>
    <row r="777" spans="1:16" x14ac:dyDescent="0.25">
      <c r="A777" t="s">
        <v>2086</v>
      </c>
      <c r="B777" s="1">
        <v>44978</v>
      </c>
      <c r="C777" t="s">
        <v>2087</v>
      </c>
      <c r="D777" t="s">
        <v>29</v>
      </c>
      <c r="E777">
        <v>645.91</v>
      </c>
      <c r="F777">
        <v>11</v>
      </c>
      <c r="G777">
        <v>193.77</v>
      </c>
      <c r="H777">
        <v>0.05</v>
      </c>
      <c r="I777" t="s">
        <v>2087</v>
      </c>
      <c r="J777" t="s">
        <v>1770</v>
      </c>
      <c r="K777" t="s">
        <v>38</v>
      </c>
      <c r="L777" t="s">
        <v>143</v>
      </c>
      <c r="M777" t="s">
        <v>144</v>
      </c>
      <c r="N777" t="s">
        <v>3967</v>
      </c>
      <c r="P777">
        <f t="shared" si="12"/>
        <v>0.29999535539006983</v>
      </c>
    </row>
    <row r="778" spans="1:16" x14ac:dyDescent="0.25">
      <c r="A778" t="s">
        <v>2088</v>
      </c>
      <c r="B778" s="1">
        <v>45154</v>
      </c>
      <c r="C778" t="s">
        <v>2089</v>
      </c>
      <c r="D778" t="s">
        <v>29</v>
      </c>
      <c r="E778">
        <v>2557.08</v>
      </c>
      <c r="F778">
        <v>8</v>
      </c>
      <c r="G778">
        <v>767.12</v>
      </c>
      <c r="H778">
        <v>0.1</v>
      </c>
      <c r="I778" t="s">
        <v>2089</v>
      </c>
      <c r="J778" t="s">
        <v>2090</v>
      </c>
      <c r="K778" t="s">
        <v>38</v>
      </c>
      <c r="L778" t="s">
        <v>1002</v>
      </c>
      <c r="M778" t="s">
        <v>165</v>
      </c>
      <c r="N778" t="s">
        <v>3966</v>
      </c>
      <c r="P778">
        <f t="shared" si="12"/>
        <v>0.29999843571573825</v>
      </c>
    </row>
    <row r="779" spans="1:16" x14ac:dyDescent="0.25">
      <c r="A779" t="s">
        <v>2091</v>
      </c>
      <c r="B779" s="1">
        <v>45233</v>
      </c>
      <c r="C779" t="s">
        <v>2092</v>
      </c>
      <c r="D779" t="s">
        <v>48</v>
      </c>
      <c r="E779">
        <v>1186.42</v>
      </c>
      <c r="F779">
        <v>11</v>
      </c>
      <c r="G779">
        <v>355.92</v>
      </c>
      <c r="H779">
        <v>0.1</v>
      </c>
      <c r="I779" t="s">
        <v>2092</v>
      </c>
      <c r="J779" t="s">
        <v>209</v>
      </c>
      <c r="K779" t="s">
        <v>71</v>
      </c>
      <c r="L779" t="s">
        <v>265</v>
      </c>
      <c r="M779" t="s">
        <v>266</v>
      </c>
      <c r="N779" t="s">
        <v>3968</v>
      </c>
      <c r="P779">
        <f t="shared" si="12"/>
        <v>0.29999494276900251</v>
      </c>
    </row>
    <row r="780" spans="1:16" x14ac:dyDescent="0.25">
      <c r="A780" t="s">
        <v>2093</v>
      </c>
      <c r="B780" s="1">
        <v>45408</v>
      </c>
      <c r="C780" t="s">
        <v>2094</v>
      </c>
      <c r="D780" t="s">
        <v>15</v>
      </c>
      <c r="E780">
        <v>4838.46</v>
      </c>
      <c r="F780">
        <v>16</v>
      </c>
      <c r="G780">
        <v>1451.54</v>
      </c>
      <c r="H780">
        <v>0.05</v>
      </c>
      <c r="I780" t="s">
        <v>2094</v>
      </c>
      <c r="J780" t="s">
        <v>760</v>
      </c>
      <c r="K780" t="s">
        <v>24</v>
      </c>
      <c r="L780" t="s">
        <v>82</v>
      </c>
      <c r="M780" t="s">
        <v>83</v>
      </c>
      <c r="N780" t="s">
        <v>3968</v>
      </c>
      <c r="P780">
        <f t="shared" si="12"/>
        <v>0.30000041335466243</v>
      </c>
    </row>
    <row r="781" spans="1:16" x14ac:dyDescent="0.25">
      <c r="A781" t="s">
        <v>2095</v>
      </c>
      <c r="B781" s="1">
        <v>45573</v>
      </c>
      <c r="C781" t="s">
        <v>2096</v>
      </c>
      <c r="D781" t="s">
        <v>29</v>
      </c>
      <c r="E781">
        <v>3415.65</v>
      </c>
      <c r="F781">
        <v>9</v>
      </c>
      <c r="G781">
        <v>1024.69</v>
      </c>
      <c r="H781">
        <v>0.15</v>
      </c>
      <c r="I781" t="s">
        <v>2096</v>
      </c>
      <c r="J781" t="s">
        <v>163</v>
      </c>
      <c r="K781" t="s">
        <v>24</v>
      </c>
      <c r="L781" t="s">
        <v>143</v>
      </c>
      <c r="M781" t="s">
        <v>144</v>
      </c>
      <c r="N781" t="s">
        <v>3968</v>
      </c>
      <c r="P781">
        <f t="shared" si="12"/>
        <v>0.29999853614978117</v>
      </c>
    </row>
    <row r="782" spans="1:16" x14ac:dyDescent="0.25">
      <c r="A782" t="s">
        <v>2097</v>
      </c>
      <c r="B782" s="1">
        <v>44935</v>
      </c>
      <c r="C782" t="s">
        <v>2098</v>
      </c>
      <c r="D782" t="s">
        <v>29</v>
      </c>
      <c r="E782">
        <v>3727.01</v>
      </c>
      <c r="F782">
        <v>16</v>
      </c>
      <c r="G782">
        <v>1118.0999999999999</v>
      </c>
      <c r="H782">
        <v>0.1</v>
      </c>
      <c r="I782" t="s">
        <v>2098</v>
      </c>
      <c r="J782" t="s">
        <v>2099</v>
      </c>
      <c r="K782" t="s">
        <v>24</v>
      </c>
      <c r="L782" t="s">
        <v>289</v>
      </c>
      <c r="M782" t="s">
        <v>160</v>
      </c>
      <c r="N782" t="s">
        <v>3968</v>
      </c>
      <c r="P782">
        <f t="shared" si="12"/>
        <v>0.29999919506521311</v>
      </c>
    </row>
    <row r="783" spans="1:16" x14ac:dyDescent="0.25">
      <c r="A783" t="s">
        <v>2100</v>
      </c>
      <c r="B783" s="1">
        <v>45285</v>
      </c>
      <c r="C783" t="s">
        <v>2101</v>
      </c>
      <c r="D783" t="s">
        <v>41</v>
      </c>
      <c r="E783">
        <v>2331.41</v>
      </c>
      <c r="F783">
        <v>9</v>
      </c>
      <c r="G783">
        <v>699.42</v>
      </c>
      <c r="H783">
        <v>0.05</v>
      </c>
      <c r="I783" t="s">
        <v>2101</v>
      </c>
      <c r="J783" t="s">
        <v>2060</v>
      </c>
      <c r="K783" t="s">
        <v>31</v>
      </c>
      <c r="L783" t="s">
        <v>396</v>
      </c>
      <c r="M783" t="s">
        <v>56</v>
      </c>
      <c r="N783" t="s">
        <v>3966</v>
      </c>
      <c r="P783">
        <f t="shared" si="12"/>
        <v>0.29999871322504407</v>
      </c>
    </row>
    <row r="784" spans="1:16" x14ac:dyDescent="0.25">
      <c r="A784" t="s">
        <v>2102</v>
      </c>
      <c r="B784" s="1">
        <v>45423</v>
      </c>
      <c r="C784" t="s">
        <v>2103</v>
      </c>
      <c r="D784" t="s">
        <v>48</v>
      </c>
      <c r="E784">
        <v>5265.24</v>
      </c>
      <c r="F784">
        <v>12</v>
      </c>
      <c r="G784">
        <v>1579.57</v>
      </c>
      <c r="H784">
        <v>0</v>
      </c>
      <c r="I784" t="s">
        <v>2103</v>
      </c>
      <c r="J784" t="s">
        <v>302</v>
      </c>
      <c r="K784" t="s">
        <v>38</v>
      </c>
      <c r="L784" t="s">
        <v>143</v>
      </c>
      <c r="M784" t="s">
        <v>144</v>
      </c>
      <c r="N784" t="s">
        <v>3966</v>
      </c>
      <c r="P784">
        <f t="shared" si="12"/>
        <v>0.29999962015026854</v>
      </c>
    </row>
    <row r="785" spans="1:16" x14ac:dyDescent="0.25">
      <c r="A785" t="s">
        <v>2104</v>
      </c>
      <c r="B785" s="1">
        <v>45253</v>
      </c>
      <c r="C785" t="s">
        <v>2105</v>
      </c>
      <c r="D785" t="s">
        <v>91</v>
      </c>
      <c r="E785">
        <v>4817.34</v>
      </c>
      <c r="F785">
        <v>18</v>
      </c>
      <c r="G785">
        <v>1445.2</v>
      </c>
      <c r="H785">
        <v>0</v>
      </c>
      <c r="I785" t="s">
        <v>2105</v>
      </c>
      <c r="J785" t="s">
        <v>2106</v>
      </c>
      <c r="K785" t="s">
        <v>71</v>
      </c>
      <c r="L785" t="s">
        <v>143</v>
      </c>
      <c r="M785" t="s">
        <v>144</v>
      </c>
      <c r="N785" t="s">
        <v>3966</v>
      </c>
      <c r="P785">
        <f t="shared" si="12"/>
        <v>0.29999958483312367</v>
      </c>
    </row>
    <row r="786" spans="1:16" x14ac:dyDescent="0.25">
      <c r="A786" t="s">
        <v>2107</v>
      </c>
      <c r="B786" s="1">
        <v>45270</v>
      </c>
      <c r="C786" t="s">
        <v>2108</v>
      </c>
      <c r="D786" t="s">
        <v>41</v>
      </c>
      <c r="E786">
        <v>660.86</v>
      </c>
      <c r="F786">
        <v>6</v>
      </c>
      <c r="G786">
        <v>198.26</v>
      </c>
      <c r="H786">
        <v>0.05</v>
      </c>
      <c r="I786" t="s">
        <v>2108</v>
      </c>
      <c r="J786" t="s">
        <v>2109</v>
      </c>
      <c r="K786" t="s">
        <v>38</v>
      </c>
      <c r="L786" t="s">
        <v>868</v>
      </c>
      <c r="M786" t="s">
        <v>26</v>
      </c>
      <c r="N786" t="s">
        <v>3966</v>
      </c>
      <c r="P786">
        <f t="shared" si="12"/>
        <v>0.30000302635959203</v>
      </c>
    </row>
    <row r="787" spans="1:16" x14ac:dyDescent="0.25">
      <c r="A787" t="s">
        <v>2110</v>
      </c>
      <c r="B787" s="1">
        <v>45325</v>
      </c>
      <c r="C787" t="s">
        <v>2111</v>
      </c>
      <c r="D787" t="s">
        <v>41</v>
      </c>
      <c r="E787">
        <v>5239.82</v>
      </c>
      <c r="F787">
        <v>19</v>
      </c>
      <c r="G787">
        <v>1571.95</v>
      </c>
      <c r="H787">
        <v>0</v>
      </c>
      <c r="I787" t="s">
        <v>2111</v>
      </c>
      <c r="J787" t="s">
        <v>2112</v>
      </c>
      <c r="K787" t="s">
        <v>31</v>
      </c>
      <c r="L787" t="s">
        <v>99</v>
      </c>
      <c r="M787" t="s">
        <v>56</v>
      </c>
      <c r="N787" t="s">
        <v>3967</v>
      </c>
      <c r="P787">
        <f t="shared" si="12"/>
        <v>0.30000076338500181</v>
      </c>
    </row>
    <row r="788" spans="1:16" x14ac:dyDescent="0.25">
      <c r="A788" t="s">
        <v>2113</v>
      </c>
      <c r="B788" s="1">
        <v>45620</v>
      </c>
      <c r="C788" t="s">
        <v>2114</v>
      </c>
      <c r="D788" t="s">
        <v>36</v>
      </c>
      <c r="E788">
        <v>3071.16</v>
      </c>
      <c r="F788">
        <v>12</v>
      </c>
      <c r="G788">
        <v>921.35</v>
      </c>
      <c r="H788">
        <v>0</v>
      </c>
      <c r="I788" t="s">
        <v>2114</v>
      </c>
      <c r="J788" t="s">
        <v>2115</v>
      </c>
      <c r="K788" t="s">
        <v>38</v>
      </c>
      <c r="L788" t="s">
        <v>923</v>
      </c>
      <c r="M788" t="s">
        <v>160</v>
      </c>
      <c r="N788" t="s">
        <v>3966</v>
      </c>
      <c r="P788">
        <f t="shared" si="12"/>
        <v>0.30000065121973457</v>
      </c>
    </row>
    <row r="789" spans="1:16" x14ac:dyDescent="0.25">
      <c r="A789" t="s">
        <v>2116</v>
      </c>
      <c r="B789" s="1">
        <v>45357</v>
      </c>
      <c r="C789" t="s">
        <v>2117</v>
      </c>
      <c r="D789" t="s">
        <v>22</v>
      </c>
      <c r="E789">
        <v>324.02999999999997</v>
      </c>
      <c r="F789">
        <v>1</v>
      </c>
      <c r="G789">
        <v>97.21</v>
      </c>
      <c r="H789">
        <v>0.15</v>
      </c>
      <c r="I789" t="s">
        <v>2117</v>
      </c>
      <c r="J789" t="s">
        <v>2118</v>
      </c>
      <c r="K789" t="s">
        <v>71</v>
      </c>
      <c r="L789" t="s">
        <v>1376</v>
      </c>
      <c r="M789" t="s">
        <v>26</v>
      </c>
      <c r="N789" t="s">
        <v>3966</v>
      </c>
      <c r="P789">
        <f t="shared" si="12"/>
        <v>0.30000308613399995</v>
      </c>
    </row>
    <row r="790" spans="1:16" x14ac:dyDescent="0.25">
      <c r="A790" t="s">
        <v>2119</v>
      </c>
      <c r="B790" s="1">
        <v>45689</v>
      </c>
      <c r="C790" t="s">
        <v>2120</v>
      </c>
      <c r="D790" t="s">
        <v>29</v>
      </c>
      <c r="E790">
        <v>162.47999999999999</v>
      </c>
      <c r="F790">
        <v>5</v>
      </c>
      <c r="G790">
        <v>48.74</v>
      </c>
      <c r="H790">
        <v>0.15</v>
      </c>
      <c r="I790" t="s">
        <v>2120</v>
      </c>
      <c r="J790" t="s">
        <v>1283</v>
      </c>
      <c r="K790" t="s">
        <v>24</v>
      </c>
      <c r="L790" t="s">
        <v>265</v>
      </c>
      <c r="M790" t="s">
        <v>266</v>
      </c>
      <c r="N790" t="s">
        <v>3966</v>
      </c>
      <c r="P790">
        <f t="shared" si="12"/>
        <v>0.29997538158542592</v>
      </c>
    </row>
    <row r="791" spans="1:16" x14ac:dyDescent="0.25">
      <c r="A791" t="s">
        <v>2121</v>
      </c>
      <c r="B791" s="1">
        <v>45447</v>
      </c>
      <c r="C791" t="s">
        <v>2122</v>
      </c>
      <c r="D791" t="s">
        <v>15</v>
      </c>
      <c r="E791">
        <v>1581.02</v>
      </c>
      <c r="F791">
        <v>7</v>
      </c>
      <c r="G791">
        <v>474.31</v>
      </c>
      <c r="H791">
        <v>0</v>
      </c>
      <c r="I791" t="s">
        <v>2122</v>
      </c>
      <c r="J791" t="s">
        <v>49</v>
      </c>
      <c r="K791" t="s">
        <v>38</v>
      </c>
      <c r="L791" t="s">
        <v>1344</v>
      </c>
      <c r="M791" t="s">
        <v>186</v>
      </c>
      <c r="N791" t="s">
        <v>3966</v>
      </c>
      <c r="P791">
        <f t="shared" si="12"/>
        <v>0.30000253001227056</v>
      </c>
    </row>
    <row r="792" spans="1:16" x14ac:dyDescent="0.25">
      <c r="A792" t="s">
        <v>2123</v>
      </c>
      <c r="B792" s="1">
        <v>45144</v>
      </c>
      <c r="C792" t="s">
        <v>2124</v>
      </c>
      <c r="D792" t="s">
        <v>29</v>
      </c>
      <c r="E792">
        <v>4164.95</v>
      </c>
      <c r="F792">
        <v>8</v>
      </c>
      <c r="G792">
        <v>1249.49</v>
      </c>
      <c r="H792">
        <v>0.05</v>
      </c>
      <c r="I792" t="s">
        <v>2124</v>
      </c>
      <c r="J792" t="s">
        <v>973</v>
      </c>
      <c r="K792" t="s">
        <v>38</v>
      </c>
      <c r="L792" t="s">
        <v>50</v>
      </c>
      <c r="M792" t="s">
        <v>51</v>
      </c>
      <c r="N792" t="s">
        <v>3966</v>
      </c>
      <c r="P792">
        <f t="shared" si="12"/>
        <v>0.30000120049460377</v>
      </c>
    </row>
    <row r="793" spans="1:16" x14ac:dyDescent="0.25">
      <c r="A793" t="s">
        <v>2125</v>
      </c>
      <c r="B793" s="1">
        <v>45107</v>
      </c>
      <c r="C793" t="s">
        <v>2126</v>
      </c>
      <c r="D793" t="s">
        <v>41</v>
      </c>
      <c r="E793">
        <v>8298.6299999999992</v>
      </c>
      <c r="F793">
        <v>18</v>
      </c>
      <c r="G793">
        <v>2489.59</v>
      </c>
      <c r="H793">
        <v>0.05</v>
      </c>
      <c r="I793" t="s">
        <v>2126</v>
      </c>
      <c r="J793" t="s">
        <v>2127</v>
      </c>
      <c r="K793" t="s">
        <v>71</v>
      </c>
      <c r="L793" t="s">
        <v>2128</v>
      </c>
      <c r="M793" t="s">
        <v>266</v>
      </c>
      <c r="N793" t="s">
        <v>3966</v>
      </c>
      <c r="P793">
        <f t="shared" si="12"/>
        <v>0.30000012050181779</v>
      </c>
    </row>
    <row r="794" spans="1:16" x14ac:dyDescent="0.25">
      <c r="A794" t="s">
        <v>2129</v>
      </c>
      <c r="B794" s="1">
        <v>44972</v>
      </c>
      <c r="C794" t="s">
        <v>2130</v>
      </c>
      <c r="D794" t="s">
        <v>41</v>
      </c>
      <c r="E794">
        <v>7084.7</v>
      </c>
      <c r="F794">
        <v>19</v>
      </c>
      <c r="G794">
        <v>2125.41</v>
      </c>
      <c r="H794">
        <v>0.1</v>
      </c>
      <c r="I794" t="s">
        <v>2130</v>
      </c>
      <c r="J794" t="s">
        <v>174</v>
      </c>
      <c r="K794" t="s">
        <v>71</v>
      </c>
      <c r="L794" t="s">
        <v>814</v>
      </c>
      <c r="M794" t="s">
        <v>56</v>
      </c>
      <c r="N794" t="s">
        <v>3966</v>
      </c>
      <c r="P794">
        <f t="shared" si="12"/>
        <v>0.3</v>
      </c>
    </row>
    <row r="795" spans="1:16" x14ac:dyDescent="0.25">
      <c r="A795" t="s">
        <v>2131</v>
      </c>
      <c r="B795" s="1">
        <v>45314</v>
      </c>
      <c r="C795" t="s">
        <v>2132</v>
      </c>
      <c r="D795" t="s">
        <v>41</v>
      </c>
      <c r="E795">
        <v>385.47</v>
      </c>
      <c r="F795">
        <v>8</v>
      </c>
      <c r="G795">
        <v>115.64</v>
      </c>
      <c r="H795">
        <v>0.05</v>
      </c>
      <c r="I795" t="s">
        <v>2132</v>
      </c>
      <c r="J795" t="s">
        <v>947</v>
      </c>
      <c r="K795" t="s">
        <v>31</v>
      </c>
      <c r="L795" t="s">
        <v>1932</v>
      </c>
      <c r="M795" t="s">
        <v>710</v>
      </c>
      <c r="N795" t="s">
        <v>3966</v>
      </c>
      <c r="P795">
        <f t="shared" si="12"/>
        <v>0.29999740576439149</v>
      </c>
    </row>
    <row r="796" spans="1:16" x14ac:dyDescent="0.25">
      <c r="A796" t="s">
        <v>2133</v>
      </c>
      <c r="B796" s="1">
        <v>45596</v>
      </c>
      <c r="C796" t="s">
        <v>2134</v>
      </c>
      <c r="D796" t="s">
        <v>91</v>
      </c>
      <c r="E796">
        <v>1203.1099999999999</v>
      </c>
      <c r="F796">
        <v>17</v>
      </c>
      <c r="G796">
        <v>360.93</v>
      </c>
      <c r="H796">
        <v>0.15</v>
      </c>
      <c r="I796" t="s">
        <v>2134</v>
      </c>
      <c r="J796" t="s">
        <v>2135</v>
      </c>
      <c r="K796" t="s">
        <v>31</v>
      </c>
      <c r="L796" t="s">
        <v>72</v>
      </c>
      <c r="M796" t="s">
        <v>26</v>
      </c>
      <c r="N796" t="s">
        <v>3966</v>
      </c>
      <c r="P796">
        <f t="shared" si="12"/>
        <v>0.29999750646241824</v>
      </c>
    </row>
    <row r="797" spans="1:16" x14ac:dyDescent="0.25">
      <c r="A797" t="s">
        <v>2136</v>
      </c>
      <c r="B797" s="1">
        <v>45279</v>
      </c>
      <c r="C797" t="s">
        <v>2137</v>
      </c>
      <c r="D797" t="s">
        <v>29</v>
      </c>
      <c r="E797">
        <v>881.45</v>
      </c>
      <c r="F797">
        <v>20</v>
      </c>
      <c r="G797">
        <v>264.44</v>
      </c>
      <c r="H797">
        <v>0.15</v>
      </c>
      <c r="I797" t="s">
        <v>2137</v>
      </c>
      <c r="J797" t="s">
        <v>2138</v>
      </c>
      <c r="K797" t="s">
        <v>38</v>
      </c>
      <c r="L797" t="s">
        <v>741</v>
      </c>
      <c r="M797" t="s">
        <v>19</v>
      </c>
      <c r="N797" t="s">
        <v>3966</v>
      </c>
      <c r="P797">
        <f t="shared" si="12"/>
        <v>0.30000567247149579</v>
      </c>
    </row>
    <row r="798" spans="1:16" x14ac:dyDescent="0.25">
      <c r="A798" t="s">
        <v>1043</v>
      </c>
      <c r="B798" s="1">
        <v>45111</v>
      </c>
      <c r="C798" t="s">
        <v>1044</v>
      </c>
      <c r="D798" t="s">
        <v>91</v>
      </c>
      <c r="E798">
        <v>1396.61</v>
      </c>
      <c r="F798">
        <v>12</v>
      </c>
      <c r="G798">
        <v>418.98</v>
      </c>
      <c r="H798">
        <v>0.05</v>
      </c>
      <c r="I798" t="s">
        <v>1044</v>
      </c>
      <c r="J798" t="s">
        <v>2139</v>
      </c>
      <c r="K798" t="s">
        <v>24</v>
      </c>
      <c r="L798" t="s">
        <v>243</v>
      </c>
      <c r="M798" t="s">
        <v>244</v>
      </c>
      <c r="N798" t="s">
        <v>3967</v>
      </c>
      <c r="P798">
        <f t="shared" si="12"/>
        <v>0.29999785194148693</v>
      </c>
    </row>
    <row r="799" spans="1:16" x14ac:dyDescent="0.25">
      <c r="A799" t="s">
        <v>1046</v>
      </c>
      <c r="B799" s="1">
        <v>45774</v>
      </c>
      <c r="C799" t="s">
        <v>1044</v>
      </c>
      <c r="D799" t="s">
        <v>41</v>
      </c>
      <c r="E799">
        <v>4481.74</v>
      </c>
      <c r="F799">
        <v>16</v>
      </c>
      <c r="G799">
        <v>1344.52</v>
      </c>
      <c r="H799">
        <v>0.15</v>
      </c>
      <c r="I799" t="s">
        <v>1044</v>
      </c>
      <c r="J799" t="s">
        <v>2139</v>
      </c>
      <c r="K799" t="s">
        <v>24</v>
      </c>
      <c r="L799" t="s">
        <v>243</v>
      </c>
      <c r="M799" t="s">
        <v>244</v>
      </c>
      <c r="N799" t="s">
        <v>3967</v>
      </c>
      <c r="P799">
        <f t="shared" si="12"/>
        <v>0.29999955374475096</v>
      </c>
    </row>
    <row r="800" spans="1:16" x14ac:dyDescent="0.25">
      <c r="A800" t="s">
        <v>2140</v>
      </c>
      <c r="B800" s="1">
        <v>45428</v>
      </c>
      <c r="C800" t="s">
        <v>2141</v>
      </c>
      <c r="D800" t="s">
        <v>15</v>
      </c>
      <c r="E800">
        <v>2076.92</v>
      </c>
      <c r="F800">
        <v>11</v>
      </c>
      <c r="G800">
        <v>623.07000000000005</v>
      </c>
      <c r="H800">
        <v>0.15</v>
      </c>
      <c r="I800" t="s">
        <v>2141</v>
      </c>
      <c r="J800" t="s">
        <v>477</v>
      </c>
      <c r="K800" t="s">
        <v>17</v>
      </c>
      <c r="L800" t="s">
        <v>155</v>
      </c>
      <c r="M800" t="s">
        <v>111</v>
      </c>
      <c r="N800" t="s">
        <v>3967</v>
      </c>
      <c r="P800">
        <f t="shared" si="12"/>
        <v>0.2999971111068313</v>
      </c>
    </row>
    <row r="801" spans="1:16" x14ac:dyDescent="0.25">
      <c r="A801" t="s">
        <v>2142</v>
      </c>
      <c r="B801" s="1">
        <v>45185</v>
      </c>
      <c r="C801" t="s">
        <v>2143</v>
      </c>
      <c r="D801" t="s">
        <v>48</v>
      </c>
      <c r="E801">
        <v>1638.72</v>
      </c>
      <c r="F801">
        <v>8</v>
      </c>
      <c r="G801">
        <v>491.62</v>
      </c>
      <c r="H801">
        <v>0</v>
      </c>
      <c r="I801" t="s">
        <v>2143</v>
      </c>
      <c r="J801" t="s">
        <v>760</v>
      </c>
      <c r="K801" t="s">
        <v>31</v>
      </c>
      <c r="L801" t="s">
        <v>155</v>
      </c>
      <c r="M801" t="s">
        <v>111</v>
      </c>
      <c r="N801" t="s">
        <v>3966</v>
      </c>
      <c r="P801">
        <f t="shared" si="12"/>
        <v>0.30000244092950595</v>
      </c>
    </row>
    <row r="802" spans="1:16" x14ac:dyDescent="0.25">
      <c r="A802" t="s">
        <v>2144</v>
      </c>
      <c r="B802" s="1">
        <v>45618</v>
      </c>
      <c r="C802" t="s">
        <v>2145</v>
      </c>
      <c r="D802" t="s">
        <v>36</v>
      </c>
      <c r="E802">
        <v>1610.91</v>
      </c>
      <c r="F802">
        <v>3</v>
      </c>
      <c r="G802">
        <v>483.27</v>
      </c>
      <c r="H802">
        <v>0</v>
      </c>
      <c r="I802" t="s">
        <v>2145</v>
      </c>
      <c r="J802" t="s">
        <v>1678</v>
      </c>
      <c r="K802" t="s">
        <v>17</v>
      </c>
      <c r="L802" t="s">
        <v>82</v>
      </c>
      <c r="M802" t="s">
        <v>83</v>
      </c>
      <c r="N802" t="s">
        <v>3967</v>
      </c>
      <c r="P802">
        <f t="shared" si="12"/>
        <v>0.29999813769856787</v>
      </c>
    </row>
    <row r="803" spans="1:16" x14ac:dyDescent="0.25">
      <c r="A803" t="s">
        <v>2146</v>
      </c>
      <c r="B803" s="1">
        <v>45786</v>
      </c>
      <c r="C803" t="s">
        <v>2147</v>
      </c>
      <c r="D803" t="s">
        <v>36</v>
      </c>
      <c r="E803">
        <v>2878.07</v>
      </c>
      <c r="F803">
        <v>13</v>
      </c>
      <c r="G803">
        <v>863.42</v>
      </c>
      <c r="H803">
        <v>0</v>
      </c>
      <c r="I803" t="s">
        <v>2147</v>
      </c>
      <c r="J803" t="s">
        <v>367</v>
      </c>
      <c r="K803" t="s">
        <v>71</v>
      </c>
      <c r="L803" t="s">
        <v>25</v>
      </c>
      <c r="M803" t="s">
        <v>26</v>
      </c>
      <c r="N803" t="s">
        <v>3967</v>
      </c>
      <c r="P803">
        <f t="shared" si="12"/>
        <v>0.2999996525449346</v>
      </c>
    </row>
    <row r="804" spans="1:16" x14ac:dyDescent="0.25">
      <c r="A804" t="s">
        <v>2148</v>
      </c>
      <c r="B804" s="1">
        <v>45395</v>
      </c>
      <c r="C804" t="s">
        <v>2147</v>
      </c>
      <c r="D804" t="s">
        <v>36</v>
      </c>
      <c r="E804">
        <v>7465.64</v>
      </c>
      <c r="F804">
        <v>15</v>
      </c>
      <c r="G804">
        <v>2239.69</v>
      </c>
      <c r="H804">
        <v>0.1</v>
      </c>
      <c r="I804" t="s">
        <v>2147</v>
      </c>
      <c r="J804" t="s">
        <v>367</v>
      </c>
      <c r="K804" t="s">
        <v>71</v>
      </c>
      <c r="L804" t="s">
        <v>25</v>
      </c>
      <c r="M804" t="s">
        <v>26</v>
      </c>
      <c r="N804" t="s">
        <v>3967</v>
      </c>
      <c r="P804">
        <f t="shared" si="12"/>
        <v>0.29999973210602171</v>
      </c>
    </row>
    <row r="805" spans="1:16" x14ac:dyDescent="0.25">
      <c r="A805" t="s">
        <v>2149</v>
      </c>
      <c r="B805" s="1">
        <v>45473</v>
      </c>
      <c r="C805" t="s">
        <v>2150</v>
      </c>
      <c r="D805" t="s">
        <v>36</v>
      </c>
      <c r="E805">
        <v>5126.76</v>
      </c>
      <c r="F805">
        <v>20</v>
      </c>
      <c r="G805">
        <v>1538.03</v>
      </c>
      <c r="H805">
        <v>0.1</v>
      </c>
      <c r="I805" t="s">
        <v>2150</v>
      </c>
      <c r="J805" t="s">
        <v>2151</v>
      </c>
      <c r="K805" t="s">
        <v>24</v>
      </c>
      <c r="L805" t="s">
        <v>289</v>
      </c>
      <c r="M805" t="s">
        <v>160</v>
      </c>
      <c r="N805" t="s">
        <v>3967</v>
      </c>
      <c r="P805">
        <f t="shared" si="12"/>
        <v>0.30000039010993296</v>
      </c>
    </row>
    <row r="806" spans="1:16" x14ac:dyDescent="0.25">
      <c r="A806" t="s">
        <v>2152</v>
      </c>
      <c r="B806" s="1">
        <v>45533</v>
      </c>
      <c r="C806" t="s">
        <v>2153</v>
      </c>
      <c r="D806" t="s">
        <v>29</v>
      </c>
      <c r="E806">
        <v>8015.21</v>
      </c>
      <c r="F806">
        <v>18</v>
      </c>
      <c r="G806">
        <v>2404.56</v>
      </c>
      <c r="H806">
        <v>0.15</v>
      </c>
      <c r="I806" t="s">
        <v>2153</v>
      </c>
      <c r="J806" t="s">
        <v>2154</v>
      </c>
      <c r="K806" t="s">
        <v>31</v>
      </c>
      <c r="L806" t="s">
        <v>2155</v>
      </c>
      <c r="M806" t="s">
        <v>186</v>
      </c>
      <c r="N806" t="s">
        <v>3966</v>
      </c>
      <c r="P806">
        <f t="shared" si="12"/>
        <v>0.29999962571161576</v>
      </c>
    </row>
    <row r="807" spans="1:16" x14ac:dyDescent="0.25">
      <c r="A807" t="s">
        <v>2156</v>
      </c>
      <c r="B807" s="1">
        <v>45286</v>
      </c>
      <c r="C807" t="s">
        <v>2157</v>
      </c>
      <c r="D807" t="s">
        <v>29</v>
      </c>
      <c r="E807">
        <v>626.75</v>
      </c>
      <c r="F807">
        <v>3</v>
      </c>
      <c r="G807">
        <v>188.03</v>
      </c>
      <c r="H807">
        <v>0.1</v>
      </c>
      <c r="I807" t="s">
        <v>2157</v>
      </c>
      <c r="J807" t="s">
        <v>2158</v>
      </c>
      <c r="K807" t="s">
        <v>38</v>
      </c>
      <c r="L807" t="s">
        <v>265</v>
      </c>
      <c r="M807" t="s">
        <v>645</v>
      </c>
      <c r="N807" t="s">
        <v>3966</v>
      </c>
      <c r="P807">
        <f t="shared" si="12"/>
        <v>0.30000797766254489</v>
      </c>
    </row>
    <row r="808" spans="1:16" x14ac:dyDescent="0.25">
      <c r="A808" t="s">
        <v>2159</v>
      </c>
      <c r="B808" s="1">
        <v>45687</v>
      </c>
      <c r="C808" t="s">
        <v>2160</v>
      </c>
      <c r="D808" t="s">
        <v>22</v>
      </c>
      <c r="E808">
        <v>2743.6</v>
      </c>
      <c r="F808">
        <v>17</v>
      </c>
      <c r="G808">
        <v>823.08</v>
      </c>
      <c r="H808">
        <v>0.1</v>
      </c>
      <c r="I808" t="s">
        <v>2160</v>
      </c>
      <c r="J808" t="s">
        <v>2139</v>
      </c>
      <c r="K808" t="s">
        <v>31</v>
      </c>
      <c r="L808" t="s">
        <v>2161</v>
      </c>
      <c r="M808" t="s">
        <v>632</v>
      </c>
      <c r="N808" t="s">
        <v>3966</v>
      </c>
      <c r="P808">
        <f t="shared" si="12"/>
        <v>0.30000000000000004</v>
      </c>
    </row>
    <row r="809" spans="1:16" x14ac:dyDescent="0.25">
      <c r="A809" t="s">
        <v>2162</v>
      </c>
      <c r="B809" s="1">
        <v>45063</v>
      </c>
      <c r="C809" t="s">
        <v>2163</v>
      </c>
      <c r="D809" t="s">
        <v>36</v>
      </c>
      <c r="E809">
        <v>336.9</v>
      </c>
      <c r="F809">
        <v>1</v>
      </c>
      <c r="G809">
        <v>101.07</v>
      </c>
      <c r="H809">
        <v>0.15</v>
      </c>
      <c r="I809" t="s">
        <v>2163</v>
      </c>
      <c r="J809" t="s">
        <v>2164</v>
      </c>
      <c r="K809" t="s">
        <v>24</v>
      </c>
      <c r="L809" t="s">
        <v>2165</v>
      </c>
      <c r="M809" t="s">
        <v>56</v>
      </c>
      <c r="N809" t="s">
        <v>3966</v>
      </c>
      <c r="P809">
        <f t="shared" si="12"/>
        <v>0.3</v>
      </c>
    </row>
    <row r="810" spans="1:16" x14ac:dyDescent="0.25">
      <c r="A810" t="s">
        <v>2166</v>
      </c>
      <c r="B810" s="1">
        <v>45318</v>
      </c>
      <c r="C810" t="s">
        <v>2167</v>
      </c>
      <c r="D810" t="s">
        <v>29</v>
      </c>
      <c r="E810">
        <v>1659.74</v>
      </c>
      <c r="F810">
        <v>17</v>
      </c>
      <c r="G810">
        <v>497.92</v>
      </c>
      <c r="H810">
        <v>0.1</v>
      </c>
      <c r="I810" t="s">
        <v>2167</v>
      </c>
      <c r="J810" t="s">
        <v>42</v>
      </c>
      <c r="K810" t="s">
        <v>38</v>
      </c>
      <c r="L810" t="s">
        <v>2018</v>
      </c>
      <c r="M810" t="s">
        <v>389</v>
      </c>
      <c r="N810" t="s">
        <v>3966</v>
      </c>
      <c r="P810">
        <f t="shared" si="12"/>
        <v>0.29999879499198673</v>
      </c>
    </row>
    <row r="811" spans="1:16" x14ac:dyDescent="0.25">
      <c r="A811" t="s">
        <v>2168</v>
      </c>
      <c r="B811" s="1">
        <v>45803</v>
      </c>
      <c r="C811" t="s">
        <v>2169</v>
      </c>
      <c r="D811" t="s">
        <v>41</v>
      </c>
      <c r="E811">
        <v>1347.03</v>
      </c>
      <c r="F811">
        <v>10</v>
      </c>
      <c r="G811">
        <v>404.11</v>
      </c>
      <c r="H811">
        <v>0.1</v>
      </c>
      <c r="I811" t="s">
        <v>2169</v>
      </c>
      <c r="J811" t="s">
        <v>426</v>
      </c>
      <c r="K811" t="s">
        <v>17</v>
      </c>
      <c r="L811" t="s">
        <v>50</v>
      </c>
      <c r="M811" t="s">
        <v>51</v>
      </c>
      <c r="N811" t="s">
        <v>3966</v>
      </c>
      <c r="P811">
        <f t="shared" si="12"/>
        <v>0.30000074237396346</v>
      </c>
    </row>
    <row r="812" spans="1:16" x14ac:dyDescent="0.25">
      <c r="A812" t="s">
        <v>2170</v>
      </c>
      <c r="B812" s="1">
        <v>45256</v>
      </c>
      <c r="C812" t="s">
        <v>2171</v>
      </c>
      <c r="D812" t="s">
        <v>15</v>
      </c>
      <c r="E812">
        <v>4736.34</v>
      </c>
      <c r="F812">
        <v>9</v>
      </c>
      <c r="G812">
        <v>1420.9</v>
      </c>
      <c r="H812">
        <v>0</v>
      </c>
      <c r="I812" t="s">
        <v>2171</v>
      </c>
      <c r="J812" t="s">
        <v>2172</v>
      </c>
      <c r="K812" t="s">
        <v>31</v>
      </c>
      <c r="L812" t="s">
        <v>2173</v>
      </c>
      <c r="M812" t="s">
        <v>412</v>
      </c>
      <c r="N812" t="s">
        <v>3966</v>
      </c>
      <c r="P812">
        <f t="shared" si="12"/>
        <v>0.2999995777330175</v>
      </c>
    </row>
    <row r="813" spans="1:16" x14ac:dyDescent="0.25">
      <c r="A813" t="s">
        <v>2174</v>
      </c>
      <c r="B813" s="1">
        <v>45725</v>
      </c>
      <c r="C813" t="s">
        <v>2171</v>
      </c>
      <c r="D813" t="s">
        <v>22</v>
      </c>
      <c r="E813">
        <v>506.41</v>
      </c>
      <c r="F813">
        <v>1</v>
      </c>
      <c r="G813">
        <v>151.91999999999999</v>
      </c>
      <c r="H813">
        <v>0</v>
      </c>
      <c r="I813" t="s">
        <v>2171</v>
      </c>
      <c r="J813" t="s">
        <v>2172</v>
      </c>
      <c r="K813" t="s">
        <v>31</v>
      </c>
      <c r="L813" t="s">
        <v>2173</v>
      </c>
      <c r="M813" t="s">
        <v>412</v>
      </c>
      <c r="N813" t="s">
        <v>3966</v>
      </c>
      <c r="P813">
        <f t="shared" si="12"/>
        <v>0.29999407594636751</v>
      </c>
    </row>
    <row r="814" spans="1:16" x14ac:dyDescent="0.25">
      <c r="A814" t="s">
        <v>2175</v>
      </c>
      <c r="B814" s="1">
        <v>45344</v>
      </c>
      <c r="C814" t="s">
        <v>2176</v>
      </c>
      <c r="D814" t="s">
        <v>91</v>
      </c>
      <c r="E814">
        <v>1764.09</v>
      </c>
      <c r="F814">
        <v>6</v>
      </c>
      <c r="G814">
        <v>529.23</v>
      </c>
      <c r="H814">
        <v>0.15</v>
      </c>
      <c r="I814" t="s">
        <v>2176</v>
      </c>
      <c r="J814" t="s">
        <v>109</v>
      </c>
      <c r="K814" t="s">
        <v>71</v>
      </c>
      <c r="L814" t="s">
        <v>314</v>
      </c>
      <c r="M814" t="s">
        <v>56</v>
      </c>
      <c r="N814" t="s">
        <v>3966</v>
      </c>
      <c r="P814">
        <f t="shared" si="12"/>
        <v>0.30000170059350717</v>
      </c>
    </row>
    <row r="815" spans="1:16" x14ac:dyDescent="0.25">
      <c r="A815" t="s">
        <v>2177</v>
      </c>
      <c r="B815" s="1">
        <v>45691</v>
      </c>
      <c r="C815" t="s">
        <v>2178</v>
      </c>
      <c r="D815" t="s">
        <v>91</v>
      </c>
      <c r="E815">
        <v>4361.01</v>
      </c>
      <c r="F815">
        <v>15</v>
      </c>
      <c r="G815">
        <v>1308.3</v>
      </c>
      <c r="H815">
        <v>0.15</v>
      </c>
      <c r="I815" t="s">
        <v>2178</v>
      </c>
      <c r="J815" t="s">
        <v>2179</v>
      </c>
      <c r="K815" t="s">
        <v>17</v>
      </c>
      <c r="L815" t="s">
        <v>143</v>
      </c>
      <c r="M815" t="s">
        <v>144</v>
      </c>
      <c r="N815" t="s">
        <v>3966</v>
      </c>
      <c r="P815">
        <f t="shared" si="12"/>
        <v>0.2999993120859617</v>
      </c>
    </row>
    <row r="816" spans="1:16" x14ac:dyDescent="0.25">
      <c r="A816" t="s">
        <v>2180</v>
      </c>
      <c r="B816" s="1">
        <v>45300</v>
      </c>
      <c r="C816" t="s">
        <v>2181</v>
      </c>
      <c r="D816" t="s">
        <v>41</v>
      </c>
      <c r="E816">
        <v>4231</v>
      </c>
      <c r="F816">
        <v>11</v>
      </c>
      <c r="G816">
        <v>1269.3</v>
      </c>
      <c r="H816">
        <v>0.05</v>
      </c>
      <c r="I816" t="s">
        <v>2181</v>
      </c>
      <c r="J816" t="s">
        <v>418</v>
      </c>
      <c r="K816" t="s">
        <v>38</v>
      </c>
      <c r="L816" t="s">
        <v>2182</v>
      </c>
      <c r="M816" t="s">
        <v>160</v>
      </c>
      <c r="N816" t="s">
        <v>3966</v>
      </c>
      <c r="P816">
        <f t="shared" si="12"/>
        <v>0.3</v>
      </c>
    </row>
    <row r="817" spans="1:16" x14ac:dyDescent="0.25">
      <c r="A817" t="s">
        <v>2183</v>
      </c>
      <c r="B817" s="1">
        <v>45782</v>
      </c>
      <c r="C817" t="s">
        <v>2184</v>
      </c>
      <c r="D817" t="s">
        <v>29</v>
      </c>
      <c r="E817">
        <v>2500.5300000000002</v>
      </c>
      <c r="F817">
        <v>9</v>
      </c>
      <c r="G817">
        <v>750.16</v>
      </c>
      <c r="H817">
        <v>0.05</v>
      </c>
      <c r="I817" t="s">
        <v>2184</v>
      </c>
      <c r="J817" t="s">
        <v>1172</v>
      </c>
      <c r="K817" t="s">
        <v>31</v>
      </c>
      <c r="L817" t="s">
        <v>774</v>
      </c>
      <c r="M817" t="s">
        <v>33</v>
      </c>
      <c r="N817" t="s">
        <v>3967</v>
      </c>
      <c r="P817">
        <f t="shared" si="12"/>
        <v>0.30000039991521793</v>
      </c>
    </row>
    <row r="818" spans="1:16" x14ac:dyDescent="0.25">
      <c r="A818" t="s">
        <v>2185</v>
      </c>
      <c r="B818" s="1">
        <v>45033</v>
      </c>
      <c r="C818" t="s">
        <v>2186</v>
      </c>
      <c r="D818" t="s">
        <v>29</v>
      </c>
      <c r="E818">
        <v>2463.89</v>
      </c>
      <c r="F818">
        <v>5</v>
      </c>
      <c r="G818">
        <v>739.17</v>
      </c>
      <c r="H818">
        <v>0.1</v>
      </c>
      <c r="I818" t="s">
        <v>2186</v>
      </c>
      <c r="J818" t="s">
        <v>2118</v>
      </c>
      <c r="K818" t="s">
        <v>38</v>
      </c>
      <c r="L818" t="s">
        <v>459</v>
      </c>
      <c r="M818" t="s">
        <v>129</v>
      </c>
      <c r="N818" t="s">
        <v>3966</v>
      </c>
      <c r="P818">
        <f t="shared" si="12"/>
        <v>0.30000121758682408</v>
      </c>
    </row>
    <row r="819" spans="1:16" x14ac:dyDescent="0.25">
      <c r="A819" t="s">
        <v>2187</v>
      </c>
      <c r="B819" s="1">
        <v>45664</v>
      </c>
      <c r="C819" t="s">
        <v>2188</v>
      </c>
      <c r="D819" t="s">
        <v>36</v>
      </c>
      <c r="E819">
        <v>3420.71</v>
      </c>
      <c r="F819">
        <v>15</v>
      </c>
      <c r="G819">
        <v>1026.21</v>
      </c>
      <c r="H819">
        <v>0.05</v>
      </c>
      <c r="I819" t="s">
        <v>2188</v>
      </c>
      <c r="J819" t="s">
        <v>121</v>
      </c>
      <c r="K819" t="s">
        <v>24</v>
      </c>
      <c r="L819" t="s">
        <v>82</v>
      </c>
      <c r="M819" t="s">
        <v>83</v>
      </c>
      <c r="N819" t="s">
        <v>3966</v>
      </c>
      <c r="P819">
        <f t="shared" si="12"/>
        <v>0.29999912298908704</v>
      </c>
    </row>
    <row r="820" spans="1:16" x14ac:dyDescent="0.25">
      <c r="A820" t="s">
        <v>2189</v>
      </c>
      <c r="B820" s="1">
        <v>45459</v>
      </c>
      <c r="C820" t="s">
        <v>2188</v>
      </c>
      <c r="D820" t="s">
        <v>29</v>
      </c>
      <c r="E820">
        <v>4186.5600000000004</v>
      </c>
      <c r="F820">
        <v>12</v>
      </c>
      <c r="G820">
        <v>1255.97</v>
      </c>
      <c r="H820">
        <v>0</v>
      </c>
      <c r="I820" t="s">
        <v>2188</v>
      </c>
      <c r="J820" t="s">
        <v>121</v>
      </c>
      <c r="K820" t="s">
        <v>24</v>
      </c>
      <c r="L820" t="s">
        <v>82</v>
      </c>
      <c r="M820" t="s">
        <v>83</v>
      </c>
      <c r="N820" t="s">
        <v>3966</v>
      </c>
      <c r="P820">
        <f t="shared" si="12"/>
        <v>0.30000047771917754</v>
      </c>
    </row>
    <row r="821" spans="1:16" x14ac:dyDescent="0.25">
      <c r="A821" t="s">
        <v>2190</v>
      </c>
      <c r="B821" s="1">
        <v>45597</v>
      </c>
      <c r="C821" t="s">
        <v>2191</v>
      </c>
      <c r="D821" t="s">
        <v>22</v>
      </c>
      <c r="E821">
        <v>7290.45</v>
      </c>
      <c r="F821">
        <v>15</v>
      </c>
      <c r="G821">
        <v>2187.14</v>
      </c>
      <c r="H821">
        <v>0</v>
      </c>
      <c r="I821" t="s">
        <v>2191</v>
      </c>
      <c r="J821" t="s">
        <v>2192</v>
      </c>
      <c r="K821" t="s">
        <v>24</v>
      </c>
      <c r="L821" t="s">
        <v>25</v>
      </c>
      <c r="M821" t="s">
        <v>26</v>
      </c>
      <c r="N821" t="s">
        <v>3966</v>
      </c>
      <c r="P821">
        <f t="shared" si="12"/>
        <v>0.30000068582872114</v>
      </c>
    </row>
    <row r="822" spans="1:16" x14ac:dyDescent="0.25">
      <c r="A822" t="s">
        <v>2193</v>
      </c>
      <c r="B822" s="1">
        <v>45251</v>
      </c>
      <c r="C822" t="s">
        <v>2194</v>
      </c>
      <c r="D822" t="s">
        <v>41</v>
      </c>
      <c r="E822">
        <v>147.4</v>
      </c>
      <c r="F822">
        <v>1</v>
      </c>
      <c r="G822">
        <v>44.22</v>
      </c>
      <c r="H822">
        <v>0</v>
      </c>
      <c r="I822" t="s">
        <v>2194</v>
      </c>
      <c r="J822" t="s">
        <v>1733</v>
      </c>
      <c r="K822" t="s">
        <v>17</v>
      </c>
      <c r="L822" t="s">
        <v>99</v>
      </c>
      <c r="M822" t="s">
        <v>56</v>
      </c>
      <c r="N822" t="s">
        <v>3966</v>
      </c>
      <c r="P822">
        <f t="shared" si="12"/>
        <v>0.3</v>
      </c>
    </row>
    <row r="823" spans="1:16" x14ac:dyDescent="0.25">
      <c r="A823" t="s">
        <v>2195</v>
      </c>
      <c r="B823" s="1">
        <v>45695</v>
      </c>
      <c r="C823" t="s">
        <v>2194</v>
      </c>
      <c r="D823" t="s">
        <v>91</v>
      </c>
      <c r="E823">
        <v>1893.17</v>
      </c>
      <c r="F823">
        <v>14</v>
      </c>
      <c r="G823">
        <v>567.95000000000005</v>
      </c>
      <c r="H823">
        <v>0.15</v>
      </c>
      <c r="I823" t="s">
        <v>2194</v>
      </c>
      <c r="J823" t="s">
        <v>1733</v>
      </c>
      <c r="K823" t="s">
        <v>17</v>
      </c>
      <c r="L823" t="s">
        <v>99</v>
      </c>
      <c r="M823" t="s">
        <v>56</v>
      </c>
      <c r="N823" t="s">
        <v>3966</v>
      </c>
      <c r="P823">
        <f t="shared" si="12"/>
        <v>0.29999947178541814</v>
      </c>
    </row>
    <row r="824" spans="1:16" x14ac:dyDescent="0.25">
      <c r="A824" t="s">
        <v>2196</v>
      </c>
      <c r="B824" s="1">
        <v>45620</v>
      </c>
      <c r="C824" t="s">
        <v>2197</v>
      </c>
      <c r="D824" t="s">
        <v>48</v>
      </c>
      <c r="E824">
        <v>1772.66</v>
      </c>
      <c r="F824">
        <v>12</v>
      </c>
      <c r="G824">
        <v>531.79999999999995</v>
      </c>
      <c r="H824">
        <v>0.15</v>
      </c>
      <c r="I824" t="s">
        <v>2197</v>
      </c>
      <c r="J824" t="s">
        <v>2198</v>
      </c>
      <c r="K824" t="s">
        <v>24</v>
      </c>
      <c r="L824" t="s">
        <v>2199</v>
      </c>
      <c r="M824" t="s">
        <v>144</v>
      </c>
      <c r="N824" t="s">
        <v>3966</v>
      </c>
      <c r="P824">
        <f t="shared" si="12"/>
        <v>0.30000112824794373</v>
      </c>
    </row>
    <row r="825" spans="1:16" x14ac:dyDescent="0.25">
      <c r="A825" t="s">
        <v>1095</v>
      </c>
      <c r="B825" s="1">
        <v>45405</v>
      </c>
      <c r="C825" t="s">
        <v>1096</v>
      </c>
      <c r="D825" t="s">
        <v>48</v>
      </c>
      <c r="E825">
        <v>5716.75</v>
      </c>
      <c r="F825">
        <v>13</v>
      </c>
      <c r="G825">
        <v>1715.03</v>
      </c>
      <c r="H825">
        <v>0</v>
      </c>
      <c r="I825" t="s">
        <v>1096</v>
      </c>
      <c r="J825" t="s">
        <v>1506</v>
      </c>
      <c r="K825" t="s">
        <v>38</v>
      </c>
      <c r="L825" t="s">
        <v>143</v>
      </c>
      <c r="M825" t="s">
        <v>144</v>
      </c>
      <c r="N825" t="s">
        <v>3966</v>
      </c>
      <c r="P825">
        <f t="shared" si="12"/>
        <v>0.30000087462281888</v>
      </c>
    </row>
    <row r="826" spans="1:16" x14ac:dyDescent="0.25">
      <c r="A826" t="s">
        <v>1097</v>
      </c>
      <c r="B826" s="1">
        <v>45687</v>
      </c>
      <c r="C826" t="s">
        <v>1096</v>
      </c>
      <c r="D826" t="s">
        <v>36</v>
      </c>
      <c r="E826">
        <v>4699.21</v>
      </c>
      <c r="F826">
        <v>16</v>
      </c>
      <c r="G826">
        <v>1409.76</v>
      </c>
      <c r="H826">
        <v>0.15</v>
      </c>
      <c r="I826" t="s">
        <v>1096</v>
      </c>
      <c r="J826" t="s">
        <v>1506</v>
      </c>
      <c r="K826" t="s">
        <v>38</v>
      </c>
      <c r="L826" t="s">
        <v>143</v>
      </c>
      <c r="M826" t="s">
        <v>144</v>
      </c>
      <c r="N826" t="s">
        <v>3966</v>
      </c>
      <c r="P826">
        <f t="shared" si="12"/>
        <v>0.29999936159482127</v>
      </c>
    </row>
    <row r="827" spans="1:16" x14ac:dyDescent="0.25">
      <c r="A827" t="s">
        <v>2200</v>
      </c>
      <c r="B827" s="1">
        <v>45467</v>
      </c>
      <c r="C827" t="s">
        <v>2201</v>
      </c>
      <c r="D827" t="s">
        <v>15</v>
      </c>
      <c r="E827">
        <v>2269.4299999999998</v>
      </c>
      <c r="F827">
        <v>9</v>
      </c>
      <c r="G827">
        <v>680.83</v>
      </c>
      <c r="H827">
        <v>0.05</v>
      </c>
      <c r="I827" t="s">
        <v>2201</v>
      </c>
      <c r="J827" t="s">
        <v>2202</v>
      </c>
      <c r="K827" t="s">
        <v>17</v>
      </c>
      <c r="L827" t="s">
        <v>2203</v>
      </c>
      <c r="M827" t="s">
        <v>44</v>
      </c>
      <c r="N827" t="s">
        <v>3966</v>
      </c>
      <c r="P827">
        <f t="shared" si="12"/>
        <v>0.3000004406392795</v>
      </c>
    </row>
    <row r="828" spans="1:16" x14ac:dyDescent="0.25">
      <c r="A828" t="s">
        <v>2204</v>
      </c>
      <c r="B828" s="1">
        <v>45809</v>
      </c>
      <c r="C828" t="s">
        <v>2205</v>
      </c>
      <c r="D828" t="s">
        <v>48</v>
      </c>
      <c r="E828">
        <v>3135.02</v>
      </c>
      <c r="F828">
        <v>12</v>
      </c>
      <c r="G828">
        <v>940.51</v>
      </c>
      <c r="H828">
        <v>0.1</v>
      </c>
      <c r="I828" t="s">
        <v>2205</v>
      </c>
      <c r="J828" t="s">
        <v>228</v>
      </c>
      <c r="K828" t="s">
        <v>71</v>
      </c>
      <c r="L828" t="s">
        <v>2206</v>
      </c>
      <c r="M828" t="s">
        <v>26</v>
      </c>
      <c r="N828" t="s">
        <v>3966</v>
      </c>
      <c r="P828">
        <f t="shared" si="12"/>
        <v>0.30000127590892561</v>
      </c>
    </row>
    <row r="829" spans="1:16" x14ac:dyDescent="0.25">
      <c r="A829" t="s">
        <v>2207</v>
      </c>
      <c r="B829" s="1">
        <v>45694</v>
      </c>
      <c r="C829" t="s">
        <v>2208</v>
      </c>
      <c r="D829" t="s">
        <v>41</v>
      </c>
      <c r="E829">
        <v>1800.86</v>
      </c>
      <c r="F829">
        <v>4</v>
      </c>
      <c r="G829">
        <v>540.26</v>
      </c>
      <c r="H829">
        <v>0.05</v>
      </c>
      <c r="I829" t="s">
        <v>2208</v>
      </c>
      <c r="J829" t="s">
        <v>773</v>
      </c>
      <c r="K829" t="s">
        <v>71</v>
      </c>
      <c r="L829" t="s">
        <v>72</v>
      </c>
      <c r="M829" t="s">
        <v>26</v>
      </c>
      <c r="N829" t="s">
        <v>3966</v>
      </c>
      <c r="P829">
        <f t="shared" si="12"/>
        <v>0.30000111058050044</v>
      </c>
    </row>
    <row r="830" spans="1:16" x14ac:dyDescent="0.25">
      <c r="A830" t="s">
        <v>2209</v>
      </c>
      <c r="B830" s="1">
        <v>44997</v>
      </c>
      <c r="C830" t="s">
        <v>2208</v>
      </c>
      <c r="D830" t="s">
        <v>91</v>
      </c>
      <c r="E830">
        <v>532.20000000000005</v>
      </c>
      <c r="F830">
        <v>6</v>
      </c>
      <c r="G830">
        <v>159.66</v>
      </c>
      <c r="H830">
        <v>0</v>
      </c>
      <c r="I830" t="s">
        <v>2208</v>
      </c>
      <c r="J830" t="s">
        <v>773</v>
      </c>
      <c r="K830" t="s">
        <v>71</v>
      </c>
      <c r="L830" t="s">
        <v>72</v>
      </c>
      <c r="M830" t="s">
        <v>26</v>
      </c>
      <c r="N830" t="s">
        <v>3966</v>
      </c>
      <c r="P830">
        <f t="shared" si="12"/>
        <v>0.3</v>
      </c>
    </row>
    <row r="831" spans="1:16" x14ac:dyDescent="0.25">
      <c r="A831" t="s">
        <v>2210</v>
      </c>
      <c r="B831" s="1">
        <v>45607</v>
      </c>
      <c r="C831" t="s">
        <v>2211</v>
      </c>
      <c r="D831" t="s">
        <v>29</v>
      </c>
      <c r="E831">
        <v>479.38</v>
      </c>
      <c r="F831">
        <v>2</v>
      </c>
      <c r="G831">
        <v>143.81</v>
      </c>
      <c r="H831">
        <v>0</v>
      </c>
      <c r="I831" t="s">
        <v>2211</v>
      </c>
      <c r="J831" t="s">
        <v>1704</v>
      </c>
      <c r="K831" t="s">
        <v>38</v>
      </c>
      <c r="L831" t="s">
        <v>171</v>
      </c>
      <c r="M831" t="s">
        <v>176</v>
      </c>
      <c r="N831" t="s">
        <v>3966</v>
      </c>
      <c r="P831">
        <f t="shared" si="12"/>
        <v>0.29999165588885646</v>
      </c>
    </row>
    <row r="832" spans="1:16" x14ac:dyDescent="0.25">
      <c r="A832" t="s">
        <v>2212</v>
      </c>
      <c r="B832" s="1">
        <v>45582</v>
      </c>
      <c r="C832" t="s">
        <v>2213</v>
      </c>
      <c r="D832" t="s">
        <v>91</v>
      </c>
      <c r="E832">
        <v>286.49</v>
      </c>
      <c r="F832">
        <v>8</v>
      </c>
      <c r="G832">
        <v>85.95</v>
      </c>
      <c r="H832">
        <v>0.1</v>
      </c>
      <c r="I832" t="s">
        <v>2213</v>
      </c>
      <c r="J832" t="s">
        <v>1244</v>
      </c>
      <c r="K832" t="s">
        <v>38</v>
      </c>
      <c r="L832" t="s">
        <v>50</v>
      </c>
      <c r="M832" t="s">
        <v>51</v>
      </c>
      <c r="N832" t="s">
        <v>3966</v>
      </c>
      <c r="P832">
        <f t="shared" si="12"/>
        <v>0.3000104715696883</v>
      </c>
    </row>
    <row r="833" spans="1:16" x14ac:dyDescent="0.25">
      <c r="A833" t="s">
        <v>2214</v>
      </c>
      <c r="B833" s="1">
        <v>45056</v>
      </c>
      <c r="C833" t="s">
        <v>2215</v>
      </c>
      <c r="D833" t="s">
        <v>41</v>
      </c>
      <c r="E833">
        <v>3536.28</v>
      </c>
      <c r="F833">
        <v>18</v>
      </c>
      <c r="G833">
        <v>1060.8800000000001</v>
      </c>
      <c r="H833">
        <v>0.05</v>
      </c>
      <c r="I833" t="s">
        <v>2215</v>
      </c>
      <c r="J833" t="s">
        <v>2216</v>
      </c>
      <c r="K833" t="s">
        <v>17</v>
      </c>
      <c r="L833" t="s">
        <v>143</v>
      </c>
      <c r="M833" t="s">
        <v>144</v>
      </c>
      <c r="N833" t="s">
        <v>3966</v>
      </c>
      <c r="P833">
        <f t="shared" si="12"/>
        <v>0.29999886886784982</v>
      </c>
    </row>
    <row r="834" spans="1:16" x14ac:dyDescent="0.25">
      <c r="A834" t="s">
        <v>2217</v>
      </c>
      <c r="B834" s="1">
        <v>45136</v>
      </c>
      <c r="C834" t="s">
        <v>2218</v>
      </c>
      <c r="D834" t="s">
        <v>15</v>
      </c>
      <c r="E834">
        <v>3164.58</v>
      </c>
      <c r="F834">
        <v>18</v>
      </c>
      <c r="G834">
        <v>949.37</v>
      </c>
      <c r="H834">
        <v>0</v>
      </c>
      <c r="I834" t="s">
        <v>2218</v>
      </c>
      <c r="J834" t="s">
        <v>2219</v>
      </c>
      <c r="K834" t="s">
        <v>17</v>
      </c>
      <c r="L834" t="s">
        <v>25</v>
      </c>
      <c r="M834" t="s">
        <v>26</v>
      </c>
      <c r="N834" t="s">
        <v>3966</v>
      </c>
      <c r="P834">
        <f t="shared" si="12"/>
        <v>0.29999873600920185</v>
      </c>
    </row>
    <row r="835" spans="1:16" x14ac:dyDescent="0.25">
      <c r="A835" t="s">
        <v>2220</v>
      </c>
      <c r="B835" s="1">
        <v>45164</v>
      </c>
      <c r="C835" t="s">
        <v>2221</v>
      </c>
      <c r="D835" t="s">
        <v>22</v>
      </c>
      <c r="E835">
        <v>6513.58</v>
      </c>
      <c r="F835">
        <v>14</v>
      </c>
      <c r="G835">
        <v>1954.08</v>
      </c>
      <c r="H835">
        <v>0.15</v>
      </c>
      <c r="I835" t="s">
        <v>2221</v>
      </c>
      <c r="J835" t="s">
        <v>2222</v>
      </c>
      <c r="K835" t="s">
        <v>38</v>
      </c>
      <c r="L835" t="s">
        <v>82</v>
      </c>
      <c r="M835" t="s">
        <v>83</v>
      </c>
      <c r="N835" t="s">
        <v>3967</v>
      </c>
      <c r="P835">
        <f t="shared" ref="P835:P898" si="13">G835/E835</f>
        <v>0.30000092115242311</v>
      </c>
    </row>
    <row r="836" spans="1:16" x14ac:dyDescent="0.25">
      <c r="A836" t="s">
        <v>2223</v>
      </c>
      <c r="B836" s="1">
        <v>45288</v>
      </c>
      <c r="C836" t="s">
        <v>2224</v>
      </c>
      <c r="D836" t="s">
        <v>15</v>
      </c>
      <c r="E836">
        <v>6765.14</v>
      </c>
      <c r="F836">
        <v>19</v>
      </c>
      <c r="G836">
        <v>2029.54</v>
      </c>
      <c r="H836">
        <v>0.05</v>
      </c>
      <c r="I836" t="s">
        <v>2224</v>
      </c>
      <c r="J836" t="s">
        <v>1741</v>
      </c>
      <c r="K836" t="s">
        <v>17</v>
      </c>
      <c r="L836" t="s">
        <v>143</v>
      </c>
      <c r="M836" t="s">
        <v>144</v>
      </c>
      <c r="N836" t="s">
        <v>3967</v>
      </c>
      <c r="P836">
        <f t="shared" si="13"/>
        <v>0.29999970436679801</v>
      </c>
    </row>
    <row r="837" spans="1:16" x14ac:dyDescent="0.25">
      <c r="A837" t="s">
        <v>2225</v>
      </c>
      <c r="B837" s="1">
        <v>45726</v>
      </c>
      <c r="C837" t="s">
        <v>2226</v>
      </c>
      <c r="D837" t="s">
        <v>91</v>
      </c>
      <c r="E837">
        <v>3884.21</v>
      </c>
      <c r="F837">
        <v>9</v>
      </c>
      <c r="G837">
        <v>1165.26</v>
      </c>
      <c r="H837">
        <v>0.15</v>
      </c>
      <c r="I837" t="s">
        <v>2226</v>
      </c>
      <c r="J837" t="s">
        <v>2227</v>
      </c>
      <c r="K837" t="s">
        <v>31</v>
      </c>
      <c r="L837" t="s">
        <v>143</v>
      </c>
      <c r="M837" t="s">
        <v>144</v>
      </c>
      <c r="N837" t="s">
        <v>3967</v>
      </c>
      <c r="P837">
        <f t="shared" si="13"/>
        <v>0.29999922764217174</v>
      </c>
    </row>
    <row r="838" spans="1:16" x14ac:dyDescent="0.25">
      <c r="A838" t="s">
        <v>2228</v>
      </c>
      <c r="B838" s="1">
        <v>45210</v>
      </c>
      <c r="C838" t="s">
        <v>2229</v>
      </c>
      <c r="D838" t="s">
        <v>22</v>
      </c>
      <c r="E838">
        <v>1388.15</v>
      </c>
      <c r="F838">
        <v>4</v>
      </c>
      <c r="G838">
        <v>416.45</v>
      </c>
      <c r="H838">
        <v>0.15</v>
      </c>
      <c r="I838" t="s">
        <v>2229</v>
      </c>
      <c r="J838" t="s">
        <v>2230</v>
      </c>
      <c r="K838" t="s">
        <v>38</v>
      </c>
      <c r="L838" t="s">
        <v>1091</v>
      </c>
      <c r="M838" t="s">
        <v>51</v>
      </c>
      <c r="N838" t="s">
        <v>3966</v>
      </c>
      <c r="P838">
        <f t="shared" si="13"/>
        <v>0.30000360191621939</v>
      </c>
    </row>
    <row r="839" spans="1:16" x14ac:dyDescent="0.25">
      <c r="A839" t="s">
        <v>2231</v>
      </c>
      <c r="B839" s="1">
        <v>45178</v>
      </c>
      <c r="C839" t="s">
        <v>2229</v>
      </c>
      <c r="D839" t="s">
        <v>29</v>
      </c>
      <c r="E839">
        <v>190.03</v>
      </c>
      <c r="F839">
        <v>1</v>
      </c>
      <c r="G839">
        <v>57.01</v>
      </c>
      <c r="H839">
        <v>0.15</v>
      </c>
      <c r="I839" t="s">
        <v>2229</v>
      </c>
      <c r="J839" t="s">
        <v>2230</v>
      </c>
      <c r="K839" t="s">
        <v>38</v>
      </c>
      <c r="L839" t="s">
        <v>1091</v>
      </c>
      <c r="M839" t="s">
        <v>51</v>
      </c>
      <c r="N839" t="s">
        <v>3968</v>
      </c>
      <c r="P839">
        <f t="shared" si="13"/>
        <v>0.30000526232700098</v>
      </c>
    </row>
    <row r="840" spans="1:16" x14ac:dyDescent="0.25">
      <c r="A840" t="s">
        <v>2232</v>
      </c>
      <c r="B840" s="1">
        <v>45074</v>
      </c>
      <c r="C840" t="s">
        <v>2233</v>
      </c>
      <c r="D840" t="s">
        <v>91</v>
      </c>
      <c r="E840">
        <v>529.69000000000005</v>
      </c>
      <c r="F840">
        <v>2</v>
      </c>
      <c r="G840">
        <v>158.91</v>
      </c>
      <c r="H840">
        <v>0.1</v>
      </c>
      <c r="I840" t="s">
        <v>2233</v>
      </c>
      <c r="J840" t="s">
        <v>724</v>
      </c>
      <c r="K840" t="s">
        <v>31</v>
      </c>
      <c r="L840" t="s">
        <v>265</v>
      </c>
      <c r="M840" t="s">
        <v>645</v>
      </c>
      <c r="N840" t="s">
        <v>3967</v>
      </c>
      <c r="P840">
        <f t="shared" si="13"/>
        <v>0.30000566369008286</v>
      </c>
    </row>
    <row r="841" spans="1:16" x14ac:dyDescent="0.25">
      <c r="A841" t="s">
        <v>2234</v>
      </c>
      <c r="B841" s="1">
        <v>45798</v>
      </c>
      <c r="C841" t="s">
        <v>2235</v>
      </c>
      <c r="D841" t="s">
        <v>48</v>
      </c>
      <c r="E841">
        <v>271.57</v>
      </c>
      <c r="F841">
        <v>1</v>
      </c>
      <c r="G841">
        <v>81.47</v>
      </c>
      <c r="H841">
        <v>0.15</v>
      </c>
      <c r="I841" t="s">
        <v>2235</v>
      </c>
      <c r="J841" t="s">
        <v>2236</v>
      </c>
      <c r="K841" t="s">
        <v>71</v>
      </c>
      <c r="L841" t="s">
        <v>2237</v>
      </c>
      <c r="M841" t="s">
        <v>56</v>
      </c>
      <c r="N841" t="s">
        <v>3967</v>
      </c>
      <c r="P841">
        <f t="shared" si="13"/>
        <v>0.29999631770814156</v>
      </c>
    </row>
    <row r="842" spans="1:16" x14ac:dyDescent="0.25">
      <c r="A842" t="s">
        <v>2238</v>
      </c>
      <c r="B842" s="1">
        <v>45199</v>
      </c>
      <c r="C842" t="s">
        <v>2239</v>
      </c>
      <c r="D842" t="s">
        <v>15</v>
      </c>
      <c r="E842">
        <v>3244.67</v>
      </c>
      <c r="F842">
        <v>14</v>
      </c>
      <c r="G842">
        <v>973.4</v>
      </c>
      <c r="H842">
        <v>0.05</v>
      </c>
      <c r="I842" t="s">
        <v>2239</v>
      </c>
      <c r="J842" t="s">
        <v>333</v>
      </c>
      <c r="K842" t="s">
        <v>17</v>
      </c>
      <c r="L842" t="s">
        <v>72</v>
      </c>
      <c r="M842" t="s">
        <v>26</v>
      </c>
      <c r="N842" t="s">
        <v>3967</v>
      </c>
      <c r="P842">
        <f t="shared" si="13"/>
        <v>0.299999691802248</v>
      </c>
    </row>
    <row r="843" spans="1:16" x14ac:dyDescent="0.25">
      <c r="A843" t="s">
        <v>2240</v>
      </c>
      <c r="B843" s="1">
        <v>45573</v>
      </c>
      <c r="C843" t="s">
        <v>2241</v>
      </c>
      <c r="D843" t="s">
        <v>15</v>
      </c>
      <c r="E843">
        <v>261.79000000000002</v>
      </c>
      <c r="F843">
        <v>6</v>
      </c>
      <c r="G843">
        <v>78.540000000000006</v>
      </c>
      <c r="H843">
        <v>0.1</v>
      </c>
      <c r="I843" t="s">
        <v>2241</v>
      </c>
      <c r="J843" t="s">
        <v>689</v>
      </c>
      <c r="K843" t="s">
        <v>24</v>
      </c>
      <c r="L843" t="s">
        <v>624</v>
      </c>
      <c r="M843" t="s">
        <v>56</v>
      </c>
      <c r="N843" t="s">
        <v>3967</v>
      </c>
      <c r="P843">
        <f t="shared" si="13"/>
        <v>0.3000114595668284</v>
      </c>
    </row>
    <row r="844" spans="1:16" x14ac:dyDescent="0.25">
      <c r="A844" t="s">
        <v>2242</v>
      </c>
      <c r="B844" s="1">
        <v>45030</v>
      </c>
      <c r="C844" t="s">
        <v>2243</v>
      </c>
      <c r="D844" t="s">
        <v>15</v>
      </c>
      <c r="E844">
        <v>1749.4</v>
      </c>
      <c r="F844">
        <v>20</v>
      </c>
      <c r="G844">
        <v>524.82000000000005</v>
      </c>
      <c r="H844">
        <v>0</v>
      </c>
      <c r="I844" t="s">
        <v>2243</v>
      </c>
      <c r="J844" t="s">
        <v>1812</v>
      </c>
      <c r="K844" t="s">
        <v>17</v>
      </c>
      <c r="L844" t="s">
        <v>25</v>
      </c>
      <c r="M844" t="s">
        <v>26</v>
      </c>
      <c r="N844" t="s">
        <v>3967</v>
      </c>
      <c r="P844">
        <f t="shared" si="13"/>
        <v>0.3</v>
      </c>
    </row>
    <row r="845" spans="1:16" x14ac:dyDescent="0.25">
      <c r="A845" t="s">
        <v>2244</v>
      </c>
      <c r="B845" s="1">
        <v>44990</v>
      </c>
      <c r="C845" t="s">
        <v>2245</v>
      </c>
      <c r="D845" t="s">
        <v>48</v>
      </c>
      <c r="E845">
        <v>7123.68</v>
      </c>
      <c r="F845">
        <v>17</v>
      </c>
      <c r="G845">
        <v>2137.1</v>
      </c>
      <c r="H845">
        <v>0.1</v>
      </c>
      <c r="I845" t="s">
        <v>2245</v>
      </c>
      <c r="J845" t="s">
        <v>2246</v>
      </c>
      <c r="K845" t="s">
        <v>24</v>
      </c>
      <c r="L845" t="s">
        <v>25</v>
      </c>
      <c r="M845" t="s">
        <v>26</v>
      </c>
      <c r="N845" t="s">
        <v>3967</v>
      </c>
      <c r="P845">
        <f t="shared" si="13"/>
        <v>0.29999943849246452</v>
      </c>
    </row>
    <row r="846" spans="1:16" x14ac:dyDescent="0.25">
      <c r="A846" t="s">
        <v>2247</v>
      </c>
      <c r="B846" s="1">
        <v>45490</v>
      </c>
      <c r="C846" t="s">
        <v>2248</v>
      </c>
      <c r="D846" t="s">
        <v>29</v>
      </c>
      <c r="E846">
        <v>4511.99</v>
      </c>
      <c r="F846">
        <v>17</v>
      </c>
      <c r="G846">
        <v>1353.6</v>
      </c>
      <c r="H846">
        <v>0.05</v>
      </c>
      <c r="I846" t="s">
        <v>2248</v>
      </c>
      <c r="J846" t="s">
        <v>2249</v>
      </c>
      <c r="K846" t="s">
        <v>31</v>
      </c>
      <c r="L846" t="s">
        <v>143</v>
      </c>
      <c r="M846" t="s">
        <v>144</v>
      </c>
      <c r="N846" t="s">
        <v>3967</v>
      </c>
      <c r="P846">
        <f t="shared" si="13"/>
        <v>0.30000066489509064</v>
      </c>
    </row>
    <row r="847" spans="1:16" x14ac:dyDescent="0.25">
      <c r="A847" t="s">
        <v>2250</v>
      </c>
      <c r="B847" s="1">
        <v>45432</v>
      </c>
      <c r="C847" t="s">
        <v>2251</v>
      </c>
      <c r="D847" t="s">
        <v>91</v>
      </c>
      <c r="E847">
        <v>6158.59</v>
      </c>
      <c r="F847">
        <v>16</v>
      </c>
      <c r="G847">
        <v>1847.58</v>
      </c>
      <c r="H847">
        <v>0.1</v>
      </c>
      <c r="I847" t="s">
        <v>2251</v>
      </c>
      <c r="J847" t="s">
        <v>2202</v>
      </c>
      <c r="K847" t="s">
        <v>31</v>
      </c>
      <c r="L847" t="s">
        <v>265</v>
      </c>
      <c r="M847" t="s">
        <v>645</v>
      </c>
      <c r="N847" t="s">
        <v>3967</v>
      </c>
      <c r="P847">
        <f t="shared" si="13"/>
        <v>0.3000004871244879</v>
      </c>
    </row>
    <row r="848" spans="1:16" x14ac:dyDescent="0.25">
      <c r="A848" t="s">
        <v>2252</v>
      </c>
      <c r="B848" s="1">
        <v>45783</v>
      </c>
      <c r="C848" t="s">
        <v>2253</v>
      </c>
      <c r="D848" t="s">
        <v>15</v>
      </c>
      <c r="E848">
        <v>3803.36</v>
      </c>
      <c r="F848">
        <v>15</v>
      </c>
      <c r="G848">
        <v>1141.01</v>
      </c>
      <c r="H848">
        <v>0.1</v>
      </c>
      <c r="I848" t="s">
        <v>2253</v>
      </c>
      <c r="J848" t="s">
        <v>292</v>
      </c>
      <c r="K848" t="s">
        <v>31</v>
      </c>
      <c r="L848" t="s">
        <v>1316</v>
      </c>
      <c r="M848" t="s">
        <v>77</v>
      </c>
      <c r="N848" t="s">
        <v>3966</v>
      </c>
      <c r="P848">
        <f t="shared" si="13"/>
        <v>0.30000052585082665</v>
      </c>
    </row>
    <row r="849" spans="1:16" x14ac:dyDescent="0.25">
      <c r="A849" t="s">
        <v>2254</v>
      </c>
      <c r="B849" s="1">
        <v>44941</v>
      </c>
      <c r="C849" t="s">
        <v>2255</v>
      </c>
      <c r="D849" t="s">
        <v>29</v>
      </c>
      <c r="E849">
        <v>2775</v>
      </c>
      <c r="F849">
        <v>15</v>
      </c>
      <c r="G849">
        <v>832.5</v>
      </c>
      <c r="H849">
        <v>0</v>
      </c>
      <c r="I849" t="s">
        <v>2255</v>
      </c>
      <c r="J849" t="s">
        <v>1494</v>
      </c>
      <c r="K849" t="s">
        <v>31</v>
      </c>
      <c r="L849" t="s">
        <v>25</v>
      </c>
      <c r="M849" t="s">
        <v>26</v>
      </c>
      <c r="N849" t="s">
        <v>3966</v>
      </c>
      <c r="P849">
        <f t="shared" si="13"/>
        <v>0.3</v>
      </c>
    </row>
    <row r="850" spans="1:16" x14ac:dyDescent="0.25">
      <c r="A850" t="s">
        <v>2256</v>
      </c>
      <c r="B850" s="1">
        <v>45178</v>
      </c>
      <c r="C850" t="s">
        <v>2257</v>
      </c>
      <c r="D850" t="s">
        <v>36</v>
      </c>
      <c r="E850">
        <v>975.96</v>
      </c>
      <c r="F850">
        <v>12</v>
      </c>
      <c r="G850">
        <v>292.79000000000002</v>
      </c>
      <c r="H850">
        <v>0</v>
      </c>
      <c r="I850" t="s">
        <v>2257</v>
      </c>
      <c r="J850" t="s">
        <v>2164</v>
      </c>
      <c r="K850" t="s">
        <v>38</v>
      </c>
      <c r="L850" t="s">
        <v>2258</v>
      </c>
      <c r="M850" t="s">
        <v>26</v>
      </c>
      <c r="N850" t="s">
        <v>3966</v>
      </c>
      <c r="P850">
        <f t="shared" si="13"/>
        <v>0.30000204926431412</v>
      </c>
    </row>
    <row r="851" spans="1:16" x14ac:dyDescent="0.25">
      <c r="A851" t="s">
        <v>2259</v>
      </c>
      <c r="B851" s="1">
        <v>45300</v>
      </c>
      <c r="C851" t="s">
        <v>2257</v>
      </c>
      <c r="D851" t="s">
        <v>48</v>
      </c>
      <c r="E851">
        <v>6512.02</v>
      </c>
      <c r="F851">
        <v>19</v>
      </c>
      <c r="G851">
        <v>1953.61</v>
      </c>
      <c r="H851">
        <v>0.1</v>
      </c>
      <c r="I851" t="s">
        <v>2257</v>
      </c>
      <c r="J851" t="s">
        <v>2164</v>
      </c>
      <c r="K851" t="s">
        <v>38</v>
      </c>
      <c r="L851" t="s">
        <v>2258</v>
      </c>
      <c r="M851" t="s">
        <v>26</v>
      </c>
      <c r="N851" t="s">
        <v>3967</v>
      </c>
      <c r="P851">
        <f t="shared" si="13"/>
        <v>0.3000006142487277</v>
      </c>
    </row>
    <row r="852" spans="1:16" x14ac:dyDescent="0.25">
      <c r="A852" t="s">
        <v>2260</v>
      </c>
      <c r="B852" s="1">
        <v>45119</v>
      </c>
      <c r="C852" t="s">
        <v>2261</v>
      </c>
      <c r="D852" t="s">
        <v>36</v>
      </c>
      <c r="E852">
        <v>1512.56</v>
      </c>
      <c r="F852">
        <v>4</v>
      </c>
      <c r="G852">
        <v>453.77</v>
      </c>
      <c r="H852">
        <v>0.15</v>
      </c>
      <c r="I852" t="s">
        <v>2261</v>
      </c>
      <c r="J852" t="s">
        <v>673</v>
      </c>
      <c r="K852" t="s">
        <v>24</v>
      </c>
      <c r="L852" t="s">
        <v>427</v>
      </c>
      <c r="M852" t="s">
        <v>56</v>
      </c>
      <c r="N852" t="s">
        <v>3967</v>
      </c>
      <c r="P852">
        <f t="shared" si="13"/>
        <v>0.30000132226159626</v>
      </c>
    </row>
    <row r="853" spans="1:16" x14ac:dyDescent="0.25">
      <c r="A853" t="s">
        <v>2262</v>
      </c>
      <c r="B853" s="1">
        <v>45829</v>
      </c>
      <c r="C853" t="s">
        <v>2263</v>
      </c>
      <c r="D853" t="s">
        <v>36</v>
      </c>
      <c r="E853">
        <v>3928.75</v>
      </c>
      <c r="F853">
        <v>7</v>
      </c>
      <c r="G853">
        <v>1178.6300000000001</v>
      </c>
      <c r="H853">
        <v>0.05</v>
      </c>
      <c r="I853" t="s">
        <v>2263</v>
      </c>
      <c r="J853" t="s">
        <v>2264</v>
      </c>
      <c r="K853" t="s">
        <v>17</v>
      </c>
      <c r="L853" t="s">
        <v>82</v>
      </c>
      <c r="M853" t="s">
        <v>83</v>
      </c>
      <c r="N853" t="s">
        <v>3967</v>
      </c>
      <c r="P853">
        <f t="shared" si="13"/>
        <v>0.30000127266942417</v>
      </c>
    </row>
    <row r="854" spans="1:16" x14ac:dyDescent="0.25">
      <c r="A854" t="s">
        <v>2265</v>
      </c>
      <c r="B854" s="1">
        <v>45655</v>
      </c>
      <c r="C854" t="s">
        <v>2266</v>
      </c>
      <c r="D854" t="s">
        <v>41</v>
      </c>
      <c r="E854">
        <v>155.61000000000001</v>
      </c>
      <c r="F854">
        <v>5</v>
      </c>
      <c r="G854">
        <v>46.68</v>
      </c>
      <c r="H854">
        <v>0.1</v>
      </c>
      <c r="I854" t="s">
        <v>2266</v>
      </c>
      <c r="J854" t="s">
        <v>1140</v>
      </c>
      <c r="K854" t="s">
        <v>31</v>
      </c>
      <c r="L854" t="s">
        <v>2267</v>
      </c>
      <c r="M854" t="s">
        <v>705</v>
      </c>
      <c r="N854" t="s">
        <v>3966</v>
      </c>
      <c r="P854">
        <f t="shared" si="13"/>
        <v>0.2999807210333526</v>
      </c>
    </row>
    <row r="855" spans="1:16" x14ac:dyDescent="0.25">
      <c r="A855" t="s">
        <v>2268</v>
      </c>
      <c r="B855" s="1">
        <v>45069</v>
      </c>
      <c r="C855" t="s">
        <v>2269</v>
      </c>
      <c r="D855" t="s">
        <v>91</v>
      </c>
      <c r="E855">
        <v>3746.78</v>
      </c>
      <c r="F855">
        <v>9</v>
      </c>
      <c r="G855">
        <v>1124.03</v>
      </c>
      <c r="H855">
        <v>0.05</v>
      </c>
      <c r="I855" t="s">
        <v>2269</v>
      </c>
      <c r="J855" t="s">
        <v>2270</v>
      </c>
      <c r="K855" t="s">
        <v>71</v>
      </c>
      <c r="L855" t="s">
        <v>50</v>
      </c>
      <c r="M855" t="s">
        <v>51</v>
      </c>
      <c r="N855" t="s">
        <v>3966</v>
      </c>
      <c r="P855">
        <f t="shared" si="13"/>
        <v>0.29999893241663506</v>
      </c>
    </row>
    <row r="856" spans="1:16" x14ac:dyDescent="0.25">
      <c r="A856" t="s">
        <v>2271</v>
      </c>
      <c r="B856" s="1">
        <v>45385</v>
      </c>
      <c r="C856" t="s">
        <v>2272</v>
      </c>
      <c r="D856" t="s">
        <v>29</v>
      </c>
      <c r="E856">
        <v>382.1</v>
      </c>
      <c r="F856">
        <v>5</v>
      </c>
      <c r="G856">
        <v>114.63</v>
      </c>
      <c r="H856">
        <v>0.1</v>
      </c>
      <c r="I856" t="s">
        <v>2272</v>
      </c>
      <c r="J856" t="s">
        <v>446</v>
      </c>
      <c r="K856" t="s">
        <v>38</v>
      </c>
      <c r="L856" t="s">
        <v>72</v>
      </c>
      <c r="M856" t="s">
        <v>26</v>
      </c>
      <c r="N856" t="s">
        <v>3966</v>
      </c>
      <c r="P856">
        <f t="shared" si="13"/>
        <v>0.3</v>
      </c>
    </row>
    <row r="857" spans="1:16" x14ac:dyDescent="0.25">
      <c r="A857" t="s">
        <v>2273</v>
      </c>
      <c r="B857" s="1">
        <v>45308</v>
      </c>
      <c r="C857" t="s">
        <v>2274</v>
      </c>
      <c r="D857" t="s">
        <v>15</v>
      </c>
      <c r="E857">
        <v>2029.29</v>
      </c>
      <c r="F857">
        <v>7</v>
      </c>
      <c r="G857">
        <v>608.79</v>
      </c>
      <c r="H857">
        <v>0.1</v>
      </c>
      <c r="I857" t="s">
        <v>2274</v>
      </c>
      <c r="J857" t="s">
        <v>2275</v>
      </c>
      <c r="K857" t="s">
        <v>17</v>
      </c>
      <c r="L857" t="s">
        <v>155</v>
      </c>
      <c r="M857" t="s">
        <v>111</v>
      </c>
      <c r="N857" t="s">
        <v>3966</v>
      </c>
      <c r="P857">
        <f t="shared" si="13"/>
        <v>0.30000147834957053</v>
      </c>
    </row>
    <row r="858" spans="1:16" x14ac:dyDescent="0.25">
      <c r="A858" t="s">
        <v>2276</v>
      </c>
      <c r="B858" s="1">
        <v>45107</v>
      </c>
      <c r="C858" t="s">
        <v>2277</v>
      </c>
      <c r="D858" t="s">
        <v>48</v>
      </c>
      <c r="E858">
        <v>3217.44</v>
      </c>
      <c r="F858">
        <v>6</v>
      </c>
      <c r="G858">
        <v>965.23</v>
      </c>
      <c r="H858">
        <v>0</v>
      </c>
      <c r="I858" t="s">
        <v>2277</v>
      </c>
      <c r="J858" t="s">
        <v>2278</v>
      </c>
      <c r="K858" t="s">
        <v>38</v>
      </c>
      <c r="L858" t="s">
        <v>663</v>
      </c>
      <c r="M858" t="s">
        <v>160</v>
      </c>
      <c r="N858" t="s">
        <v>3966</v>
      </c>
      <c r="P858">
        <f t="shared" si="13"/>
        <v>0.29999937838778656</v>
      </c>
    </row>
    <row r="859" spans="1:16" x14ac:dyDescent="0.25">
      <c r="A859" t="s">
        <v>2279</v>
      </c>
      <c r="B859" s="1">
        <v>44955</v>
      </c>
      <c r="C859" t="s">
        <v>2277</v>
      </c>
      <c r="D859" t="s">
        <v>41</v>
      </c>
      <c r="E859">
        <v>1194.25</v>
      </c>
      <c r="F859">
        <v>10</v>
      </c>
      <c r="G859">
        <v>358.28</v>
      </c>
      <c r="H859">
        <v>0.15</v>
      </c>
      <c r="I859" t="s">
        <v>2277</v>
      </c>
      <c r="J859" t="s">
        <v>2278</v>
      </c>
      <c r="K859" t="s">
        <v>38</v>
      </c>
      <c r="L859" t="s">
        <v>663</v>
      </c>
      <c r="M859" t="s">
        <v>160</v>
      </c>
      <c r="N859" t="s">
        <v>3966</v>
      </c>
      <c r="P859">
        <f t="shared" si="13"/>
        <v>0.300004186728072</v>
      </c>
    </row>
    <row r="860" spans="1:16" x14ac:dyDescent="0.25">
      <c r="A860" t="s">
        <v>2280</v>
      </c>
      <c r="B860" s="1">
        <v>45139</v>
      </c>
      <c r="C860" t="s">
        <v>2277</v>
      </c>
      <c r="D860" t="s">
        <v>41</v>
      </c>
      <c r="E860">
        <v>1073.73</v>
      </c>
      <c r="F860">
        <v>8</v>
      </c>
      <c r="G860">
        <v>322.12</v>
      </c>
      <c r="H860">
        <v>0.05</v>
      </c>
      <c r="I860" t="s">
        <v>2277</v>
      </c>
      <c r="J860" t="s">
        <v>2278</v>
      </c>
      <c r="K860" t="s">
        <v>38</v>
      </c>
      <c r="L860" t="s">
        <v>663</v>
      </c>
      <c r="M860" t="s">
        <v>160</v>
      </c>
      <c r="N860" t="s">
        <v>3968</v>
      </c>
      <c r="P860">
        <f t="shared" si="13"/>
        <v>0.3000009313328304</v>
      </c>
    </row>
    <row r="861" spans="1:16" x14ac:dyDescent="0.25">
      <c r="A861" t="s">
        <v>2281</v>
      </c>
      <c r="B861" s="1">
        <v>45752</v>
      </c>
      <c r="C861" t="s">
        <v>2277</v>
      </c>
      <c r="D861" t="s">
        <v>48</v>
      </c>
      <c r="E861">
        <v>417.53</v>
      </c>
      <c r="F861">
        <v>2</v>
      </c>
      <c r="G861">
        <v>125.26</v>
      </c>
      <c r="H861">
        <v>0.1</v>
      </c>
      <c r="I861" t="s">
        <v>2277</v>
      </c>
      <c r="J861" t="s">
        <v>2278</v>
      </c>
      <c r="K861" t="s">
        <v>38</v>
      </c>
      <c r="L861" t="s">
        <v>663</v>
      </c>
      <c r="M861" t="s">
        <v>160</v>
      </c>
      <c r="N861" t="s">
        <v>3968</v>
      </c>
      <c r="P861">
        <f t="shared" si="13"/>
        <v>0.30000239503748238</v>
      </c>
    </row>
    <row r="862" spans="1:16" x14ac:dyDescent="0.25">
      <c r="A862" t="s">
        <v>2282</v>
      </c>
      <c r="B862" s="1">
        <v>45764</v>
      </c>
      <c r="C862" t="s">
        <v>2283</v>
      </c>
      <c r="D862" t="s">
        <v>36</v>
      </c>
      <c r="E862">
        <v>3086.39</v>
      </c>
      <c r="F862">
        <v>15</v>
      </c>
      <c r="G862">
        <v>925.92</v>
      </c>
      <c r="H862">
        <v>0.15</v>
      </c>
      <c r="I862" t="s">
        <v>2283</v>
      </c>
      <c r="J862" t="s">
        <v>734</v>
      </c>
      <c r="K862" t="s">
        <v>38</v>
      </c>
      <c r="L862" t="s">
        <v>2284</v>
      </c>
      <c r="M862" t="s">
        <v>83</v>
      </c>
      <c r="N862" t="s">
        <v>3966</v>
      </c>
      <c r="P862">
        <f t="shared" si="13"/>
        <v>0.30000097200937015</v>
      </c>
    </row>
    <row r="863" spans="1:16" x14ac:dyDescent="0.25">
      <c r="A863" t="s">
        <v>2285</v>
      </c>
      <c r="B863" s="1">
        <v>45577</v>
      </c>
      <c r="C863" t="s">
        <v>2286</v>
      </c>
      <c r="D863" t="s">
        <v>15</v>
      </c>
      <c r="E863">
        <v>91.24</v>
      </c>
      <c r="F863">
        <v>2</v>
      </c>
      <c r="G863">
        <v>27.37</v>
      </c>
      <c r="H863">
        <v>0.05</v>
      </c>
      <c r="I863" t="s">
        <v>2286</v>
      </c>
      <c r="J863" t="s">
        <v>1308</v>
      </c>
      <c r="K863" t="s">
        <v>38</v>
      </c>
      <c r="L863" t="s">
        <v>318</v>
      </c>
      <c r="M863" t="s">
        <v>134</v>
      </c>
      <c r="N863" t="s">
        <v>3966</v>
      </c>
      <c r="P863">
        <f t="shared" si="13"/>
        <v>0.29997807978956603</v>
      </c>
    </row>
    <row r="864" spans="1:16" x14ac:dyDescent="0.25">
      <c r="A864" t="s">
        <v>2287</v>
      </c>
      <c r="B864" s="1">
        <v>45500</v>
      </c>
      <c r="C864" t="s">
        <v>2288</v>
      </c>
      <c r="D864" t="s">
        <v>36</v>
      </c>
      <c r="E864">
        <v>480.85</v>
      </c>
      <c r="F864">
        <v>1</v>
      </c>
      <c r="G864">
        <v>144.26</v>
      </c>
      <c r="H864">
        <v>0.1</v>
      </c>
      <c r="I864" t="s">
        <v>2288</v>
      </c>
      <c r="J864" t="s">
        <v>1265</v>
      </c>
      <c r="K864" t="s">
        <v>38</v>
      </c>
      <c r="L864" t="s">
        <v>719</v>
      </c>
      <c r="M864" t="s">
        <v>33</v>
      </c>
      <c r="N864" t="s">
        <v>3967</v>
      </c>
      <c r="P864">
        <f t="shared" si="13"/>
        <v>0.30001039825309345</v>
      </c>
    </row>
    <row r="865" spans="1:16" x14ac:dyDescent="0.25">
      <c r="A865" t="s">
        <v>2289</v>
      </c>
      <c r="B865" s="1">
        <v>45667</v>
      </c>
      <c r="C865" t="s">
        <v>2290</v>
      </c>
      <c r="D865" t="s">
        <v>91</v>
      </c>
      <c r="E865">
        <v>250.28</v>
      </c>
      <c r="F865">
        <v>3</v>
      </c>
      <c r="G865">
        <v>75.08</v>
      </c>
      <c r="H865">
        <v>0.15</v>
      </c>
      <c r="I865" t="s">
        <v>2290</v>
      </c>
      <c r="J865" t="s">
        <v>970</v>
      </c>
      <c r="K865" t="s">
        <v>71</v>
      </c>
      <c r="L865" t="s">
        <v>2291</v>
      </c>
      <c r="M865" t="s">
        <v>160</v>
      </c>
      <c r="N865" t="s">
        <v>3967</v>
      </c>
      <c r="P865">
        <f t="shared" si="13"/>
        <v>0.29998401789995205</v>
      </c>
    </row>
    <row r="866" spans="1:16" x14ac:dyDescent="0.25">
      <c r="A866" t="s">
        <v>2292</v>
      </c>
      <c r="B866" s="1">
        <v>45498</v>
      </c>
      <c r="C866" t="s">
        <v>2293</v>
      </c>
      <c r="D866" t="s">
        <v>36</v>
      </c>
      <c r="E866">
        <v>705.09</v>
      </c>
      <c r="F866">
        <v>12</v>
      </c>
      <c r="G866">
        <v>211.53</v>
      </c>
      <c r="H866">
        <v>0.05</v>
      </c>
      <c r="I866" t="s">
        <v>2293</v>
      </c>
      <c r="J866" t="s">
        <v>978</v>
      </c>
      <c r="K866" t="s">
        <v>24</v>
      </c>
      <c r="L866" t="s">
        <v>143</v>
      </c>
      <c r="M866" t="s">
        <v>144</v>
      </c>
      <c r="N866" t="s">
        <v>3967</v>
      </c>
      <c r="P866">
        <f t="shared" si="13"/>
        <v>0.30000425477598602</v>
      </c>
    </row>
    <row r="867" spans="1:16" x14ac:dyDescent="0.25">
      <c r="A867" t="s">
        <v>2294</v>
      </c>
      <c r="B867" s="1">
        <v>45434</v>
      </c>
      <c r="C867" t="s">
        <v>2295</v>
      </c>
      <c r="D867" t="s">
        <v>91</v>
      </c>
      <c r="E867">
        <v>1449.04</v>
      </c>
      <c r="F867">
        <v>6</v>
      </c>
      <c r="G867">
        <v>434.71</v>
      </c>
      <c r="H867">
        <v>0.1</v>
      </c>
      <c r="I867" t="s">
        <v>2295</v>
      </c>
      <c r="J867" t="s">
        <v>2296</v>
      </c>
      <c r="K867" t="s">
        <v>71</v>
      </c>
      <c r="L867" t="s">
        <v>2297</v>
      </c>
      <c r="M867" t="s">
        <v>26</v>
      </c>
      <c r="N867" t="s">
        <v>3967</v>
      </c>
      <c r="P867">
        <f t="shared" si="13"/>
        <v>0.29999861977585157</v>
      </c>
    </row>
    <row r="868" spans="1:16" x14ac:dyDescent="0.25">
      <c r="A868" t="s">
        <v>2298</v>
      </c>
      <c r="B868" s="1">
        <v>45514</v>
      </c>
      <c r="C868" t="s">
        <v>2299</v>
      </c>
      <c r="D868" t="s">
        <v>29</v>
      </c>
      <c r="E868">
        <v>2010.31</v>
      </c>
      <c r="F868">
        <v>4</v>
      </c>
      <c r="G868">
        <v>603.09</v>
      </c>
      <c r="H868">
        <v>0.05</v>
      </c>
      <c r="I868" t="s">
        <v>2299</v>
      </c>
      <c r="J868" t="s">
        <v>2300</v>
      </c>
      <c r="K868" t="s">
        <v>38</v>
      </c>
      <c r="L868" t="s">
        <v>2301</v>
      </c>
      <c r="M868" t="s">
        <v>412</v>
      </c>
      <c r="N868" t="s">
        <v>3967</v>
      </c>
      <c r="P868">
        <f t="shared" si="13"/>
        <v>0.29999850769284342</v>
      </c>
    </row>
    <row r="869" spans="1:16" x14ac:dyDescent="0.25">
      <c r="A869" t="s">
        <v>2302</v>
      </c>
      <c r="B869" s="1">
        <v>45043</v>
      </c>
      <c r="C869" t="s">
        <v>2303</v>
      </c>
      <c r="D869" t="s">
        <v>91</v>
      </c>
      <c r="E869">
        <v>203.91</v>
      </c>
      <c r="F869">
        <v>2</v>
      </c>
      <c r="G869">
        <v>61.17</v>
      </c>
      <c r="H869">
        <v>0.05</v>
      </c>
      <c r="I869" t="s">
        <v>2303</v>
      </c>
      <c r="J869" t="s">
        <v>2304</v>
      </c>
      <c r="K869" t="s">
        <v>71</v>
      </c>
      <c r="L869" t="s">
        <v>2305</v>
      </c>
      <c r="M869" t="s">
        <v>632</v>
      </c>
      <c r="N869" t="s">
        <v>3967</v>
      </c>
      <c r="P869">
        <f t="shared" si="13"/>
        <v>0.29998528762689425</v>
      </c>
    </row>
    <row r="870" spans="1:16" x14ac:dyDescent="0.25">
      <c r="A870" t="s">
        <v>1230</v>
      </c>
      <c r="B870" s="1">
        <v>45098</v>
      </c>
      <c r="C870" t="s">
        <v>1231</v>
      </c>
      <c r="D870" t="s">
        <v>91</v>
      </c>
      <c r="E870">
        <v>475.91</v>
      </c>
      <c r="F870">
        <v>1</v>
      </c>
      <c r="G870">
        <v>142.77000000000001</v>
      </c>
      <c r="H870">
        <v>0.05</v>
      </c>
      <c r="I870" t="s">
        <v>1231</v>
      </c>
      <c r="J870" t="s">
        <v>1016</v>
      </c>
      <c r="K870" t="s">
        <v>24</v>
      </c>
      <c r="L870" t="s">
        <v>265</v>
      </c>
      <c r="M870" t="s">
        <v>266</v>
      </c>
      <c r="N870" t="s">
        <v>3967</v>
      </c>
      <c r="P870">
        <f t="shared" si="13"/>
        <v>0.29999369628711314</v>
      </c>
    </row>
    <row r="871" spans="1:16" x14ac:dyDescent="0.25">
      <c r="A871" t="s">
        <v>1233</v>
      </c>
      <c r="B871" s="1">
        <v>45741</v>
      </c>
      <c r="C871" t="s">
        <v>1231</v>
      </c>
      <c r="D871" t="s">
        <v>41</v>
      </c>
      <c r="E871">
        <v>965.79</v>
      </c>
      <c r="F871">
        <v>3</v>
      </c>
      <c r="G871">
        <v>289.74</v>
      </c>
      <c r="H871">
        <v>0.15</v>
      </c>
      <c r="I871" t="s">
        <v>1231</v>
      </c>
      <c r="J871" t="s">
        <v>1016</v>
      </c>
      <c r="K871" t="s">
        <v>24</v>
      </c>
      <c r="L871" t="s">
        <v>265</v>
      </c>
      <c r="M871" t="s">
        <v>266</v>
      </c>
      <c r="N871" t="s">
        <v>3968</v>
      </c>
      <c r="P871">
        <f t="shared" si="13"/>
        <v>0.30000310626533722</v>
      </c>
    </row>
    <row r="872" spans="1:16" x14ac:dyDescent="0.25">
      <c r="A872" t="s">
        <v>2306</v>
      </c>
      <c r="B872" s="1">
        <v>45576</v>
      </c>
      <c r="C872" t="s">
        <v>2307</v>
      </c>
      <c r="D872" t="s">
        <v>41</v>
      </c>
      <c r="E872">
        <v>8878.9500000000007</v>
      </c>
      <c r="F872">
        <v>17</v>
      </c>
      <c r="G872">
        <v>2663.68</v>
      </c>
      <c r="H872">
        <v>0.05</v>
      </c>
      <c r="I872" t="s">
        <v>2307</v>
      </c>
      <c r="J872" t="s">
        <v>2308</v>
      </c>
      <c r="K872" t="s">
        <v>71</v>
      </c>
      <c r="L872" t="s">
        <v>488</v>
      </c>
      <c r="M872" t="s">
        <v>26</v>
      </c>
      <c r="N872" t="s">
        <v>3968</v>
      </c>
      <c r="P872">
        <f t="shared" si="13"/>
        <v>0.29999943687035063</v>
      </c>
    </row>
    <row r="873" spans="1:16" x14ac:dyDescent="0.25">
      <c r="A873" t="s">
        <v>2309</v>
      </c>
      <c r="B873" s="1">
        <v>45683</v>
      </c>
      <c r="C873" t="s">
        <v>2310</v>
      </c>
      <c r="D873" t="s">
        <v>15</v>
      </c>
      <c r="E873">
        <v>166.75</v>
      </c>
      <c r="F873">
        <v>3</v>
      </c>
      <c r="G873">
        <v>50.03</v>
      </c>
      <c r="H873">
        <v>0.05</v>
      </c>
      <c r="I873" t="s">
        <v>2310</v>
      </c>
      <c r="J873" t="s">
        <v>1446</v>
      </c>
      <c r="K873" t="s">
        <v>31</v>
      </c>
      <c r="L873" t="s">
        <v>2311</v>
      </c>
      <c r="M873" t="s">
        <v>144</v>
      </c>
      <c r="N873" t="s">
        <v>3966</v>
      </c>
      <c r="P873">
        <f t="shared" si="13"/>
        <v>0.30002998500749628</v>
      </c>
    </row>
    <row r="874" spans="1:16" x14ac:dyDescent="0.25">
      <c r="A874" t="s">
        <v>2312</v>
      </c>
      <c r="B874" s="1">
        <v>45461</v>
      </c>
      <c r="C874" t="s">
        <v>2313</v>
      </c>
      <c r="D874" t="s">
        <v>36</v>
      </c>
      <c r="E874">
        <v>7712.42</v>
      </c>
      <c r="F874">
        <v>17</v>
      </c>
      <c r="G874">
        <v>2313.73</v>
      </c>
      <c r="H874">
        <v>0.1</v>
      </c>
      <c r="I874" t="s">
        <v>2313</v>
      </c>
      <c r="J874" t="s">
        <v>644</v>
      </c>
      <c r="K874" t="s">
        <v>24</v>
      </c>
      <c r="L874" t="s">
        <v>361</v>
      </c>
      <c r="M874" t="s">
        <v>56</v>
      </c>
      <c r="N874" t="s">
        <v>3966</v>
      </c>
      <c r="P874">
        <f t="shared" si="13"/>
        <v>0.3000005186439535</v>
      </c>
    </row>
    <row r="875" spans="1:16" x14ac:dyDescent="0.25">
      <c r="A875" t="s">
        <v>2314</v>
      </c>
      <c r="B875" s="1">
        <v>45798</v>
      </c>
      <c r="C875" t="s">
        <v>2315</v>
      </c>
      <c r="D875" t="s">
        <v>91</v>
      </c>
      <c r="E875">
        <v>1451.74</v>
      </c>
      <c r="F875">
        <v>12</v>
      </c>
      <c r="G875">
        <v>435.52</v>
      </c>
      <c r="H875">
        <v>0.1</v>
      </c>
      <c r="I875" t="s">
        <v>2315</v>
      </c>
      <c r="J875" t="s">
        <v>924</v>
      </c>
      <c r="K875" t="s">
        <v>17</v>
      </c>
      <c r="L875" t="s">
        <v>143</v>
      </c>
      <c r="M875" t="s">
        <v>144</v>
      </c>
      <c r="N875" t="s">
        <v>3966</v>
      </c>
      <c r="P875">
        <f t="shared" si="13"/>
        <v>0.29999862234284375</v>
      </c>
    </row>
    <row r="876" spans="1:16" x14ac:dyDescent="0.25">
      <c r="A876" t="s">
        <v>2316</v>
      </c>
      <c r="B876" s="1">
        <v>45826</v>
      </c>
      <c r="C876" t="s">
        <v>2315</v>
      </c>
      <c r="D876" t="s">
        <v>48</v>
      </c>
      <c r="E876">
        <v>7133.71</v>
      </c>
      <c r="F876">
        <v>17</v>
      </c>
      <c r="G876">
        <v>2140.11</v>
      </c>
      <c r="H876">
        <v>0</v>
      </c>
      <c r="I876" t="s">
        <v>2315</v>
      </c>
      <c r="J876" t="s">
        <v>924</v>
      </c>
      <c r="K876" t="s">
        <v>17</v>
      </c>
      <c r="L876" t="s">
        <v>143</v>
      </c>
      <c r="M876" t="s">
        <v>144</v>
      </c>
      <c r="N876" t="s">
        <v>3966</v>
      </c>
      <c r="P876">
        <f t="shared" si="13"/>
        <v>0.29999957946145833</v>
      </c>
    </row>
    <row r="877" spans="1:16" x14ac:dyDescent="0.25">
      <c r="A877" t="s">
        <v>2317</v>
      </c>
      <c r="B877" s="1">
        <v>45594</v>
      </c>
      <c r="C877" t="s">
        <v>2318</v>
      </c>
      <c r="D877" t="s">
        <v>15</v>
      </c>
      <c r="E877">
        <v>507.98</v>
      </c>
      <c r="F877">
        <v>2</v>
      </c>
      <c r="G877">
        <v>152.4</v>
      </c>
      <c r="H877">
        <v>0.05</v>
      </c>
      <c r="I877" t="s">
        <v>2318</v>
      </c>
      <c r="J877" t="s">
        <v>2158</v>
      </c>
      <c r="K877" t="s">
        <v>24</v>
      </c>
      <c r="L877" t="s">
        <v>99</v>
      </c>
      <c r="M877" t="s">
        <v>56</v>
      </c>
      <c r="N877" t="s">
        <v>3968</v>
      </c>
      <c r="P877">
        <f t="shared" si="13"/>
        <v>0.30001181148864131</v>
      </c>
    </row>
    <row r="878" spans="1:16" x14ac:dyDescent="0.25">
      <c r="A878" t="s">
        <v>2319</v>
      </c>
      <c r="B878" s="1">
        <v>45755</v>
      </c>
      <c r="C878" t="s">
        <v>2320</v>
      </c>
      <c r="D878" t="s">
        <v>22</v>
      </c>
      <c r="E878">
        <v>596.12</v>
      </c>
      <c r="F878">
        <v>2</v>
      </c>
      <c r="G878">
        <v>178.84</v>
      </c>
      <c r="H878">
        <v>0</v>
      </c>
      <c r="I878" t="s">
        <v>2320</v>
      </c>
      <c r="J878" t="s">
        <v>2321</v>
      </c>
      <c r="K878" t="s">
        <v>38</v>
      </c>
      <c r="L878" t="s">
        <v>488</v>
      </c>
      <c r="M878" t="s">
        <v>26</v>
      </c>
      <c r="N878" t="s">
        <v>3968</v>
      </c>
      <c r="P878">
        <f t="shared" si="13"/>
        <v>0.30000671005837753</v>
      </c>
    </row>
    <row r="879" spans="1:16" x14ac:dyDescent="0.25">
      <c r="A879" t="s">
        <v>2322</v>
      </c>
      <c r="B879" s="1">
        <v>44957</v>
      </c>
      <c r="C879" t="s">
        <v>2323</v>
      </c>
      <c r="D879" t="s">
        <v>91</v>
      </c>
      <c r="E879">
        <v>1642.18</v>
      </c>
      <c r="F879">
        <v>13</v>
      </c>
      <c r="G879">
        <v>492.65</v>
      </c>
      <c r="H879">
        <v>0.05</v>
      </c>
      <c r="I879" t="s">
        <v>2323</v>
      </c>
      <c r="J879" t="s">
        <v>810</v>
      </c>
      <c r="K879" t="s">
        <v>38</v>
      </c>
      <c r="L879" t="s">
        <v>2324</v>
      </c>
      <c r="M879" t="s">
        <v>61</v>
      </c>
      <c r="N879" t="s">
        <v>3968</v>
      </c>
      <c r="P879">
        <f t="shared" si="13"/>
        <v>0.29999756421342361</v>
      </c>
    </row>
    <row r="880" spans="1:16" x14ac:dyDescent="0.25">
      <c r="A880" t="s">
        <v>2325</v>
      </c>
      <c r="B880" s="1">
        <v>45366</v>
      </c>
      <c r="C880" t="s">
        <v>2326</v>
      </c>
      <c r="D880" t="s">
        <v>36</v>
      </c>
      <c r="E880">
        <v>6001.13</v>
      </c>
      <c r="F880">
        <v>14</v>
      </c>
      <c r="G880">
        <v>1800.34</v>
      </c>
      <c r="H880">
        <v>0.1</v>
      </c>
      <c r="I880" t="s">
        <v>2326</v>
      </c>
      <c r="J880" t="s">
        <v>2327</v>
      </c>
      <c r="K880" t="s">
        <v>71</v>
      </c>
      <c r="L880" t="s">
        <v>741</v>
      </c>
      <c r="M880" t="s">
        <v>19</v>
      </c>
      <c r="N880" t="s">
        <v>3968</v>
      </c>
      <c r="P880">
        <f t="shared" si="13"/>
        <v>0.30000016663528367</v>
      </c>
    </row>
    <row r="881" spans="1:16" x14ac:dyDescent="0.25">
      <c r="A881" t="s">
        <v>1810</v>
      </c>
      <c r="B881" s="1">
        <v>45133</v>
      </c>
      <c r="C881" t="s">
        <v>1811</v>
      </c>
      <c r="D881" t="s">
        <v>15</v>
      </c>
      <c r="E881">
        <v>7076.65</v>
      </c>
      <c r="F881">
        <v>18</v>
      </c>
      <c r="G881">
        <v>2122.9899999999998</v>
      </c>
      <c r="H881">
        <v>0.1</v>
      </c>
      <c r="I881" t="s">
        <v>1811</v>
      </c>
      <c r="J881" t="s">
        <v>446</v>
      </c>
      <c r="K881" t="s">
        <v>31</v>
      </c>
      <c r="L881" t="s">
        <v>2328</v>
      </c>
      <c r="M881" t="s">
        <v>51</v>
      </c>
      <c r="N881" t="s">
        <v>3968</v>
      </c>
      <c r="P881">
        <f t="shared" si="13"/>
        <v>0.2999992934509973</v>
      </c>
    </row>
    <row r="882" spans="1:16" x14ac:dyDescent="0.25">
      <c r="A882" t="s">
        <v>1813</v>
      </c>
      <c r="B882" s="1">
        <v>45100</v>
      </c>
      <c r="C882" t="s">
        <v>1811</v>
      </c>
      <c r="D882" t="s">
        <v>91</v>
      </c>
      <c r="E882">
        <v>4482.18</v>
      </c>
      <c r="F882">
        <v>16</v>
      </c>
      <c r="G882">
        <v>1344.65</v>
      </c>
      <c r="H882">
        <v>0.05</v>
      </c>
      <c r="I882" t="s">
        <v>1811</v>
      </c>
      <c r="J882" t="s">
        <v>446</v>
      </c>
      <c r="K882" t="s">
        <v>31</v>
      </c>
      <c r="L882" t="s">
        <v>2328</v>
      </c>
      <c r="M882" t="s">
        <v>51</v>
      </c>
      <c r="N882" t="s">
        <v>3968</v>
      </c>
      <c r="P882">
        <f t="shared" si="13"/>
        <v>0.29999910757711651</v>
      </c>
    </row>
    <row r="883" spans="1:16" x14ac:dyDescent="0.25">
      <c r="A883" t="s">
        <v>1814</v>
      </c>
      <c r="B883" s="1">
        <v>45613</v>
      </c>
      <c r="C883" t="s">
        <v>1811</v>
      </c>
      <c r="D883" t="s">
        <v>48</v>
      </c>
      <c r="E883">
        <v>4528.62</v>
      </c>
      <c r="F883">
        <v>9</v>
      </c>
      <c r="G883">
        <v>1358.59</v>
      </c>
      <c r="H883">
        <v>0</v>
      </c>
      <c r="I883" t="s">
        <v>1811</v>
      </c>
      <c r="J883" t="s">
        <v>446</v>
      </c>
      <c r="K883" t="s">
        <v>31</v>
      </c>
      <c r="L883" t="s">
        <v>2328</v>
      </c>
      <c r="M883" t="s">
        <v>51</v>
      </c>
      <c r="N883" t="s">
        <v>3966</v>
      </c>
      <c r="P883">
        <f t="shared" si="13"/>
        <v>0.30000088327128349</v>
      </c>
    </row>
    <row r="884" spans="1:16" x14ac:dyDescent="0.25">
      <c r="A884" t="s">
        <v>2329</v>
      </c>
      <c r="B884" s="1">
        <v>45457</v>
      </c>
      <c r="C884" t="s">
        <v>2330</v>
      </c>
      <c r="D884" t="s">
        <v>48</v>
      </c>
      <c r="E884">
        <v>9625.8799999999992</v>
      </c>
      <c r="F884">
        <v>19</v>
      </c>
      <c r="G884">
        <v>2887.77</v>
      </c>
      <c r="H884">
        <v>0.15</v>
      </c>
      <c r="I884" t="s">
        <v>2330</v>
      </c>
      <c r="J884" t="s">
        <v>2331</v>
      </c>
      <c r="K884" t="s">
        <v>31</v>
      </c>
      <c r="L884" t="s">
        <v>597</v>
      </c>
      <c r="M884" t="s">
        <v>144</v>
      </c>
      <c r="N884" t="s">
        <v>3966</v>
      </c>
      <c r="P884">
        <f t="shared" si="13"/>
        <v>0.30000062331963417</v>
      </c>
    </row>
    <row r="885" spans="1:16" x14ac:dyDescent="0.25">
      <c r="A885" t="s">
        <v>2332</v>
      </c>
      <c r="B885" s="1">
        <v>45260</v>
      </c>
      <c r="C885" t="s">
        <v>2333</v>
      </c>
      <c r="D885" t="s">
        <v>29</v>
      </c>
      <c r="E885">
        <v>1094.4000000000001</v>
      </c>
      <c r="F885">
        <v>6</v>
      </c>
      <c r="G885">
        <v>328.32</v>
      </c>
      <c r="H885">
        <v>0</v>
      </c>
      <c r="I885" t="s">
        <v>2333</v>
      </c>
      <c r="J885" t="s">
        <v>2334</v>
      </c>
      <c r="K885" t="s">
        <v>71</v>
      </c>
      <c r="L885" t="s">
        <v>82</v>
      </c>
      <c r="M885" t="s">
        <v>83</v>
      </c>
      <c r="N885" t="s">
        <v>3968</v>
      </c>
      <c r="P885">
        <f t="shared" si="13"/>
        <v>0.3</v>
      </c>
    </row>
    <row r="886" spans="1:16" x14ac:dyDescent="0.25">
      <c r="A886" t="s">
        <v>2335</v>
      </c>
      <c r="B886" s="1">
        <v>45403</v>
      </c>
      <c r="C886" t="s">
        <v>2336</v>
      </c>
      <c r="D886" t="s">
        <v>15</v>
      </c>
      <c r="E886">
        <v>3809.03</v>
      </c>
      <c r="F886">
        <v>10</v>
      </c>
      <c r="G886">
        <v>1142.71</v>
      </c>
      <c r="H886">
        <v>0.05</v>
      </c>
      <c r="I886" t="s">
        <v>2336</v>
      </c>
      <c r="J886" t="s">
        <v>828</v>
      </c>
      <c r="K886" t="s">
        <v>31</v>
      </c>
      <c r="L886" t="s">
        <v>50</v>
      </c>
      <c r="M886" t="s">
        <v>51</v>
      </c>
      <c r="N886" t="s">
        <v>3966</v>
      </c>
      <c r="P886">
        <f t="shared" si="13"/>
        <v>0.30000026253403095</v>
      </c>
    </row>
    <row r="887" spans="1:16" x14ac:dyDescent="0.25">
      <c r="A887" t="s">
        <v>2337</v>
      </c>
      <c r="B887" s="1">
        <v>45144</v>
      </c>
      <c r="C887" t="s">
        <v>2338</v>
      </c>
      <c r="D887" t="s">
        <v>29</v>
      </c>
      <c r="E887">
        <v>2484.84</v>
      </c>
      <c r="F887">
        <v>7</v>
      </c>
      <c r="G887">
        <v>745.45</v>
      </c>
      <c r="H887">
        <v>0.05</v>
      </c>
      <c r="I887" t="s">
        <v>2338</v>
      </c>
      <c r="J887" t="s">
        <v>2339</v>
      </c>
      <c r="K887" t="s">
        <v>17</v>
      </c>
      <c r="L887" t="s">
        <v>50</v>
      </c>
      <c r="M887" t="s">
        <v>51</v>
      </c>
      <c r="N887" t="s">
        <v>3967</v>
      </c>
      <c r="P887">
        <f t="shared" si="13"/>
        <v>0.29999919511920287</v>
      </c>
    </row>
    <row r="888" spans="1:16" x14ac:dyDescent="0.25">
      <c r="A888" t="s">
        <v>2340</v>
      </c>
      <c r="B888" s="1">
        <v>45464</v>
      </c>
      <c r="C888" t="s">
        <v>2341</v>
      </c>
      <c r="D888" t="s">
        <v>29</v>
      </c>
      <c r="E888">
        <v>2116.1799999999998</v>
      </c>
      <c r="F888">
        <v>7</v>
      </c>
      <c r="G888">
        <v>634.85</v>
      </c>
      <c r="H888">
        <v>0.15</v>
      </c>
      <c r="I888" t="s">
        <v>2341</v>
      </c>
      <c r="J888" t="s">
        <v>1404</v>
      </c>
      <c r="K888" t="s">
        <v>71</v>
      </c>
      <c r="L888" t="s">
        <v>72</v>
      </c>
      <c r="M888" t="s">
        <v>26</v>
      </c>
      <c r="N888" t="s">
        <v>3966</v>
      </c>
      <c r="P888">
        <f t="shared" si="13"/>
        <v>0.29999810980162372</v>
      </c>
    </row>
    <row r="889" spans="1:16" x14ac:dyDescent="0.25">
      <c r="A889" t="s">
        <v>2342</v>
      </c>
      <c r="B889" s="1">
        <v>45732</v>
      </c>
      <c r="C889" t="s">
        <v>2343</v>
      </c>
      <c r="D889" t="s">
        <v>91</v>
      </c>
      <c r="E889">
        <v>2811.35</v>
      </c>
      <c r="F889">
        <v>12</v>
      </c>
      <c r="G889">
        <v>843.4</v>
      </c>
      <c r="H889">
        <v>0.1</v>
      </c>
      <c r="I889" t="s">
        <v>2343</v>
      </c>
      <c r="J889" t="s">
        <v>196</v>
      </c>
      <c r="K889" t="s">
        <v>31</v>
      </c>
      <c r="L889" t="s">
        <v>50</v>
      </c>
      <c r="M889" t="s">
        <v>51</v>
      </c>
      <c r="N889" t="s">
        <v>3968</v>
      </c>
      <c r="P889">
        <f t="shared" si="13"/>
        <v>0.29999822149501132</v>
      </c>
    </row>
    <row r="890" spans="1:16" x14ac:dyDescent="0.25">
      <c r="A890" t="s">
        <v>2344</v>
      </c>
      <c r="B890" s="1">
        <v>45402</v>
      </c>
      <c r="C890" t="s">
        <v>2345</v>
      </c>
      <c r="D890" t="s">
        <v>91</v>
      </c>
      <c r="E890">
        <v>3153.42</v>
      </c>
      <c r="F890">
        <v>10</v>
      </c>
      <c r="G890">
        <v>946.02</v>
      </c>
      <c r="H890">
        <v>0.15</v>
      </c>
      <c r="I890" t="s">
        <v>2345</v>
      </c>
      <c r="J890" t="s">
        <v>2346</v>
      </c>
      <c r="K890" t="s">
        <v>71</v>
      </c>
      <c r="L890" t="s">
        <v>143</v>
      </c>
      <c r="M890" t="s">
        <v>144</v>
      </c>
      <c r="N890" t="s">
        <v>3967</v>
      </c>
      <c r="P890">
        <f t="shared" si="13"/>
        <v>0.29999809730387961</v>
      </c>
    </row>
    <row r="891" spans="1:16" x14ac:dyDescent="0.25">
      <c r="A891" t="s">
        <v>2347</v>
      </c>
      <c r="B891" s="1">
        <v>45646</v>
      </c>
      <c r="C891" t="s">
        <v>2348</v>
      </c>
      <c r="D891" t="s">
        <v>15</v>
      </c>
      <c r="E891">
        <v>987.7</v>
      </c>
      <c r="F891">
        <v>2</v>
      </c>
      <c r="G891">
        <v>296.31</v>
      </c>
      <c r="H891">
        <v>0.1</v>
      </c>
      <c r="I891" t="s">
        <v>2348</v>
      </c>
      <c r="J891" t="s">
        <v>2349</v>
      </c>
      <c r="K891" t="s">
        <v>17</v>
      </c>
      <c r="L891" t="s">
        <v>82</v>
      </c>
      <c r="M891" t="s">
        <v>83</v>
      </c>
      <c r="N891" t="s">
        <v>3966</v>
      </c>
      <c r="P891">
        <f t="shared" si="13"/>
        <v>0.3</v>
      </c>
    </row>
    <row r="892" spans="1:16" x14ac:dyDescent="0.25">
      <c r="A892" t="s">
        <v>2350</v>
      </c>
      <c r="B892" s="1">
        <v>45160</v>
      </c>
      <c r="C892" t="s">
        <v>2351</v>
      </c>
      <c r="D892" t="s">
        <v>41</v>
      </c>
      <c r="E892">
        <v>2748.24</v>
      </c>
      <c r="F892">
        <v>8</v>
      </c>
      <c r="G892">
        <v>824.47</v>
      </c>
      <c r="H892">
        <v>0</v>
      </c>
      <c r="I892" t="s">
        <v>2351</v>
      </c>
      <c r="J892" t="s">
        <v>259</v>
      </c>
      <c r="K892" t="s">
        <v>31</v>
      </c>
      <c r="L892" t="s">
        <v>200</v>
      </c>
      <c r="M892" t="s">
        <v>201</v>
      </c>
      <c r="N892" t="s">
        <v>3966</v>
      </c>
      <c r="P892">
        <f t="shared" si="13"/>
        <v>0.29999927226152012</v>
      </c>
    </row>
    <row r="893" spans="1:16" x14ac:dyDescent="0.25">
      <c r="A893" t="s">
        <v>2352</v>
      </c>
      <c r="B893" s="1">
        <v>44989</v>
      </c>
      <c r="C893" t="s">
        <v>2353</v>
      </c>
      <c r="D893" t="s">
        <v>91</v>
      </c>
      <c r="E893">
        <v>5467.32</v>
      </c>
      <c r="F893">
        <v>13</v>
      </c>
      <c r="G893">
        <v>1640.2</v>
      </c>
      <c r="H893">
        <v>0.15</v>
      </c>
      <c r="I893" t="s">
        <v>2353</v>
      </c>
      <c r="J893" t="s">
        <v>1153</v>
      </c>
      <c r="K893" t="s">
        <v>31</v>
      </c>
      <c r="L893" t="s">
        <v>50</v>
      </c>
      <c r="M893" t="s">
        <v>51</v>
      </c>
      <c r="N893" t="s">
        <v>3968</v>
      </c>
      <c r="P893">
        <f t="shared" si="13"/>
        <v>0.30000073161987961</v>
      </c>
    </row>
    <row r="894" spans="1:16" x14ac:dyDescent="0.25">
      <c r="A894" t="s">
        <v>2354</v>
      </c>
      <c r="B894" s="1">
        <v>45467</v>
      </c>
      <c r="C894" t="s">
        <v>2355</v>
      </c>
      <c r="D894" t="s">
        <v>15</v>
      </c>
      <c r="E894">
        <v>296.62</v>
      </c>
      <c r="F894">
        <v>9</v>
      </c>
      <c r="G894">
        <v>88.99</v>
      </c>
      <c r="H894">
        <v>0.1</v>
      </c>
      <c r="I894" t="s">
        <v>2355</v>
      </c>
      <c r="J894" t="s">
        <v>2356</v>
      </c>
      <c r="K894" t="s">
        <v>31</v>
      </c>
      <c r="L894" t="s">
        <v>2357</v>
      </c>
      <c r="M894" t="s">
        <v>56</v>
      </c>
      <c r="N894" t="s">
        <v>3968</v>
      </c>
      <c r="P894">
        <f t="shared" si="13"/>
        <v>0.30001348526734539</v>
      </c>
    </row>
    <row r="895" spans="1:16" x14ac:dyDescent="0.25">
      <c r="A895" t="s">
        <v>2358</v>
      </c>
      <c r="B895" s="1">
        <v>45635</v>
      </c>
      <c r="C895" t="s">
        <v>2359</v>
      </c>
      <c r="D895" t="s">
        <v>91</v>
      </c>
      <c r="E895">
        <v>3026.8</v>
      </c>
      <c r="F895">
        <v>14</v>
      </c>
      <c r="G895">
        <v>908.04</v>
      </c>
      <c r="H895">
        <v>0</v>
      </c>
      <c r="I895" t="s">
        <v>2359</v>
      </c>
      <c r="J895" t="s">
        <v>995</v>
      </c>
      <c r="K895" t="s">
        <v>17</v>
      </c>
      <c r="L895" t="s">
        <v>25</v>
      </c>
      <c r="M895" t="s">
        <v>26</v>
      </c>
      <c r="N895" t="s">
        <v>3968</v>
      </c>
      <c r="P895">
        <f t="shared" si="13"/>
        <v>0.3</v>
      </c>
    </row>
    <row r="896" spans="1:16" x14ac:dyDescent="0.25">
      <c r="A896" t="s">
        <v>1260</v>
      </c>
      <c r="B896" s="1">
        <v>45477</v>
      </c>
      <c r="C896" t="s">
        <v>1261</v>
      </c>
      <c r="D896" t="s">
        <v>15</v>
      </c>
      <c r="E896">
        <v>1347.95</v>
      </c>
      <c r="F896">
        <v>11</v>
      </c>
      <c r="G896">
        <v>404.38</v>
      </c>
      <c r="H896">
        <v>0.05</v>
      </c>
      <c r="I896" t="s">
        <v>1261</v>
      </c>
      <c r="J896" t="s">
        <v>1491</v>
      </c>
      <c r="K896" t="s">
        <v>71</v>
      </c>
      <c r="L896" t="s">
        <v>878</v>
      </c>
      <c r="M896" t="s">
        <v>645</v>
      </c>
      <c r="N896" t="s">
        <v>3967</v>
      </c>
      <c r="P896">
        <f t="shared" si="13"/>
        <v>0.29999629066360028</v>
      </c>
    </row>
    <row r="897" spans="1:16" x14ac:dyDescent="0.25">
      <c r="A897" t="s">
        <v>1262</v>
      </c>
      <c r="B897" s="1">
        <v>45120</v>
      </c>
      <c r="C897" t="s">
        <v>1261</v>
      </c>
      <c r="D897" t="s">
        <v>48</v>
      </c>
      <c r="E897">
        <v>8133.44</v>
      </c>
      <c r="F897">
        <v>19</v>
      </c>
      <c r="G897">
        <v>2440.0300000000002</v>
      </c>
      <c r="H897">
        <v>0.1</v>
      </c>
      <c r="I897" t="s">
        <v>1261</v>
      </c>
      <c r="J897" t="s">
        <v>1491</v>
      </c>
      <c r="K897" t="s">
        <v>71</v>
      </c>
      <c r="L897" t="s">
        <v>878</v>
      </c>
      <c r="M897" t="s">
        <v>645</v>
      </c>
      <c r="N897" t="s">
        <v>3967</v>
      </c>
      <c r="P897">
        <f t="shared" si="13"/>
        <v>0.29999975410158558</v>
      </c>
    </row>
    <row r="898" spans="1:16" x14ac:dyDescent="0.25">
      <c r="A898" t="s">
        <v>2360</v>
      </c>
      <c r="B898" s="1">
        <v>45720</v>
      </c>
      <c r="C898" t="s">
        <v>2361</v>
      </c>
      <c r="D898" t="s">
        <v>22</v>
      </c>
      <c r="E898">
        <v>1712.08</v>
      </c>
      <c r="F898">
        <v>11</v>
      </c>
      <c r="G898">
        <v>513.62</v>
      </c>
      <c r="H898">
        <v>0.15</v>
      </c>
      <c r="I898" t="s">
        <v>2361</v>
      </c>
      <c r="J898" t="s">
        <v>799</v>
      </c>
      <c r="K898" t="s">
        <v>17</v>
      </c>
      <c r="L898" t="s">
        <v>25</v>
      </c>
      <c r="M898" t="s">
        <v>26</v>
      </c>
      <c r="N898" t="s">
        <v>3966</v>
      </c>
      <c r="P898">
        <f t="shared" si="13"/>
        <v>0.29999766366057662</v>
      </c>
    </row>
    <row r="899" spans="1:16" x14ac:dyDescent="0.25">
      <c r="A899" t="s">
        <v>2362</v>
      </c>
      <c r="B899" s="1">
        <v>45313</v>
      </c>
      <c r="C899" t="s">
        <v>2363</v>
      </c>
      <c r="D899" t="s">
        <v>41</v>
      </c>
      <c r="E899">
        <v>2904.58</v>
      </c>
      <c r="F899">
        <v>11</v>
      </c>
      <c r="G899">
        <v>871.37</v>
      </c>
      <c r="H899">
        <v>0.05</v>
      </c>
      <c r="I899" t="s">
        <v>2363</v>
      </c>
      <c r="J899" t="s">
        <v>2364</v>
      </c>
      <c r="K899" t="s">
        <v>17</v>
      </c>
      <c r="L899" t="s">
        <v>2365</v>
      </c>
      <c r="M899" t="s">
        <v>56</v>
      </c>
      <c r="N899" t="s">
        <v>3966</v>
      </c>
      <c r="P899">
        <f t="shared" ref="P899:P962" si="14">G899/E899</f>
        <v>0.2999986228645794</v>
      </c>
    </row>
    <row r="900" spans="1:16" x14ac:dyDescent="0.25">
      <c r="A900" t="s">
        <v>2366</v>
      </c>
      <c r="B900" s="1">
        <v>45728</v>
      </c>
      <c r="C900" t="s">
        <v>2367</v>
      </c>
      <c r="D900" t="s">
        <v>29</v>
      </c>
      <c r="E900">
        <v>7369.26</v>
      </c>
      <c r="F900">
        <v>14</v>
      </c>
      <c r="G900">
        <v>2210.7800000000002</v>
      </c>
      <c r="H900">
        <v>0.05</v>
      </c>
      <c r="I900" t="s">
        <v>2367</v>
      </c>
      <c r="J900" t="s">
        <v>2368</v>
      </c>
      <c r="K900" t="s">
        <v>17</v>
      </c>
      <c r="L900" t="s">
        <v>243</v>
      </c>
      <c r="M900" t="s">
        <v>111</v>
      </c>
      <c r="N900" t="s">
        <v>3967</v>
      </c>
      <c r="P900">
        <f t="shared" si="14"/>
        <v>0.30000027139767088</v>
      </c>
    </row>
    <row r="901" spans="1:16" x14ac:dyDescent="0.25">
      <c r="A901" t="s">
        <v>2369</v>
      </c>
      <c r="B901" s="1">
        <v>45716</v>
      </c>
      <c r="C901" t="s">
        <v>2370</v>
      </c>
      <c r="D901" t="s">
        <v>22</v>
      </c>
      <c r="E901">
        <v>332.31</v>
      </c>
      <c r="F901">
        <v>15</v>
      </c>
      <c r="G901">
        <v>99.69</v>
      </c>
      <c r="H901">
        <v>0.05</v>
      </c>
      <c r="I901" t="s">
        <v>2370</v>
      </c>
      <c r="J901" t="s">
        <v>1793</v>
      </c>
      <c r="K901" t="s">
        <v>38</v>
      </c>
      <c r="L901" t="s">
        <v>1344</v>
      </c>
      <c r="M901" t="s">
        <v>186</v>
      </c>
      <c r="N901" t="s">
        <v>3967</v>
      </c>
      <c r="P901">
        <f t="shared" si="14"/>
        <v>0.29999097228491467</v>
      </c>
    </row>
    <row r="902" spans="1:16" x14ac:dyDescent="0.25">
      <c r="A902" t="s">
        <v>2371</v>
      </c>
      <c r="B902" s="1">
        <v>45435</v>
      </c>
      <c r="C902" t="s">
        <v>2372</v>
      </c>
      <c r="D902" t="s">
        <v>29</v>
      </c>
      <c r="E902">
        <v>79.650000000000006</v>
      </c>
      <c r="F902">
        <v>4</v>
      </c>
      <c r="G902">
        <v>23.89</v>
      </c>
      <c r="H902">
        <v>0.05</v>
      </c>
      <c r="I902" t="s">
        <v>2372</v>
      </c>
      <c r="J902" t="s">
        <v>1269</v>
      </c>
      <c r="K902" t="s">
        <v>17</v>
      </c>
      <c r="L902" t="s">
        <v>143</v>
      </c>
      <c r="M902" t="s">
        <v>144</v>
      </c>
      <c r="N902" t="s">
        <v>3966</v>
      </c>
      <c r="P902">
        <f t="shared" si="14"/>
        <v>0.29993722536095418</v>
      </c>
    </row>
    <row r="903" spans="1:16" x14ac:dyDescent="0.25">
      <c r="A903" t="s">
        <v>2373</v>
      </c>
      <c r="B903" s="1">
        <v>45186</v>
      </c>
      <c r="C903" t="s">
        <v>2374</v>
      </c>
      <c r="D903" t="s">
        <v>29</v>
      </c>
      <c r="E903">
        <v>2262.16</v>
      </c>
      <c r="F903">
        <v>18</v>
      </c>
      <c r="G903">
        <v>678.65</v>
      </c>
      <c r="H903">
        <v>0.05</v>
      </c>
      <c r="I903" t="s">
        <v>2374</v>
      </c>
      <c r="J903" t="s">
        <v>1146</v>
      </c>
      <c r="K903" t="s">
        <v>31</v>
      </c>
      <c r="L903" t="s">
        <v>143</v>
      </c>
      <c r="M903" t="s">
        <v>144</v>
      </c>
      <c r="N903" t="s">
        <v>3966</v>
      </c>
      <c r="P903">
        <f t="shared" si="14"/>
        <v>0.30000088411076142</v>
      </c>
    </row>
    <row r="904" spans="1:16" x14ac:dyDescent="0.25">
      <c r="A904" t="s">
        <v>2375</v>
      </c>
      <c r="B904" s="1">
        <v>45090</v>
      </c>
      <c r="C904" t="s">
        <v>2376</v>
      </c>
      <c r="D904" t="s">
        <v>22</v>
      </c>
      <c r="E904">
        <v>3414.02</v>
      </c>
      <c r="F904">
        <v>19</v>
      </c>
      <c r="G904">
        <v>1024.2</v>
      </c>
      <c r="H904">
        <v>0.1</v>
      </c>
      <c r="I904" t="s">
        <v>2376</v>
      </c>
      <c r="J904" t="s">
        <v>2377</v>
      </c>
      <c r="K904" t="s">
        <v>17</v>
      </c>
      <c r="L904" t="s">
        <v>1591</v>
      </c>
      <c r="M904" t="s">
        <v>165</v>
      </c>
      <c r="N904" t="s">
        <v>3966</v>
      </c>
      <c r="P904">
        <f t="shared" si="14"/>
        <v>0.29999824254105134</v>
      </c>
    </row>
    <row r="905" spans="1:16" x14ac:dyDescent="0.25">
      <c r="A905" t="s">
        <v>2378</v>
      </c>
      <c r="B905" s="1">
        <v>45808</v>
      </c>
      <c r="C905" t="s">
        <v>2379</v>
      </c>
      <c r="D905" t="s">
        <v>22</v>
      </c>
      <c r="E905">
        <v>4912</v>
      </c>
      <c r="F905">
        <v>16</v>
      </c>
      <c r="G905">
        <v>1473.6</v>
      </c>
      <c r="H905">
        <v>0</v>
      </c>
      <c r="I905" t="s">
        <v>2379</v>
      </c>
      <c r="J905" t="s">
        <v>2380</v>
      </c>
      <c r="K905" t="s">
        <v>71</v>
      </c>
      <c r="L905" t="s">
        <v>2381</v>
      </c>
      <c r="M905" t="s">
        <v>56</v>
      </c>
      <c r="N905" t="s">
        <v>3966</v>
      </c>
      <c r="P905">
        <f t="shared" si="14"/>
        <v>0.3</v>
      </c>
    </row>
    <row r="906" spans="1:16" x14ac:dyDescent="0.25">
      <c r="A906" t="s">
        <v>2382</v>
      </c>
      <c r="B906" s="1">
        <v>45210</v>
      </c>
      <c r="C906" t="s">
        <v>2383</v>
      </c>
      <c r="D906" t="s">
        <v>91</v>
      </c>
      <c r="E906">
        <v>268.54000000000002</v>
      </c>
      <c r="F906">
        <v>1</v>
      </c>
      <c r="G906">
        <v>80.56</v>
      </c>
      <c r="H906">
        <v>0.15</v>
      </c>
      <c r="I906" t="s">
        <v>2383</v>
      </c>
      <c r="J906" t="s">
        <v>2384</v>
      </c>
      <c r="K906" t="s">
        <v>17</v>
      </c>
      <c r="L906" t="s">
        <v>1616</v>
      </c>
      <c r="M906" t="s">
        <v>51</v>
      </c>
      <c r="N906" t="s">
        <v>3966</v>
      </c>
      <c r="P906">
        <f t="shared" si="14"/>
        <v>0.29999255231995231</v>
      </c>
    </row>
    <row r="907" spans="1:16" x14ac:dyDescent="0.25">
      <c r="A907" t="s">
        <v>2385</v>
      </c>
      <c r="B907" s="1">
        <v>45145</v>
      </c>
      <c r="C907" t="s">
        <v>2386</v>
      </c>
      <c r="D907" t="s">
        <v>41</v>
      </c>
      <c r="E907">
        <v>2984.85</v>
      </c>
      <c r="F907">
        <v>5</v>
      </c>
      <c r="G907">
        <v>895.46</v>
      </c>
      <c r="H907">
        <v>0</v>
      </c>
      <c r="I907" t="s">
        <v>2386</v>
      </c>
      <c r="J907" t="s">
        <v>970</v>
      </c>
      <c r="K907" t="s">
        <v>71</v>
      </c>
      <c r="L907" t="s">
        <v>25</v>
      </c>
      <c r="M907" t="s">
        <v>26</v>
      </c>
      <c r="N907" t="s">
        <v>3966</v>
      </c>
      <c r="P907">
        <f t="shared" si="14"/>
        <v>0.30000167512605325</v>
      </c>
    </row>
    <row r="908" spans="1:16" x14ac:dyDescent="0.25">
      <c r="A908" t="s">
        <v>2387</v>
      </c>
      <c r="B908" s="1">
        <v>45263</v>
      </c>
      <c r="C908" t="s">
        <v>2388</v>
      </c>
      <c r="D908" t="s">
        <v>15</v>
      </c>
      <c r="E908">
        <v>6088.23</v>
      </c>
      <c r="F908">
        <v>17</v>
      </c>
      <c r="G908">
        <v>1826.47</v>
      </c>
      <c r="H908">
        <v>0.05</v>
      </c>
      <c r="I908" t="s">
        <v>2388</v>
      </c>
      <c r="J908" t="s">
        <v>2389</v>
      </c>
      <c r="K908" t="s">
        <v>31</v>
      </c>
      <c r="L908" t="s">
        <v>700</v>
      </c>
      <c r="M908" t="s">
        <v>111</v>
      </c>
      <c r="N908" t="s">
        <v>3966</v>
      </c>
      <c r="P908">
        <f t="shared" si="14"/>
        <v>0.30000016425135057</v>
      </c>
    </row>
    <row r="909" spans="1:16" x14ac:dyDescent="0.25">
      <c r="A909" t="s">
        <v>2390</v>
      </c>
      <c r="B909" s="1">
        <v>45505</v>
      </c>
      <c r="C909" t="s">
        <v>2391</v>
      </c>
      <c r="D909" t="s">
        <v>41</v>
      </c>
      <c r="E909">
        <v>1126.6600000000001</v>
      </c>
      <c r="F909">
        <v>6</v>
      </c>
      <c r="G909">
        <v>338</v>
      </c>
      <c r="H909">
        <v>0.1</v>
      </c>
      <c r="I909" t="s">
        <v>2391</v>
      </c>
      <c r="J909" t="s">
        <v>863</v>
      </c>
      <c r="K909" t="s">
        <v>38</v>
      </c>
      <c r="L909" t="s">
        <v>265</v>
      </c>
      <c r="M909" t="s">
        <v>266</v>
      </c>
      <c r="N909" t="s">
        <v>3966</v>
      </c>
      <c r="P909">
        <f t="shared" si="14"/>
        <v>0.30000177515843285</v>
      </c>
    </row>
    <row r="910" spans="1:16" x14ac:dyDescent="0.25">
      <c r="A910" t="s">
        <v>2392</v>
      </c>
      <c r="B910" s="1">
        <v>45005</v>
      </c>
      <c r="C910" t="s">
        <v>2393</v>
      </c>
      <c r="D910" t="s">
        <v>36</v>
      </c>
      <c r="E910">
        <v>2154.7399999999998</v>
      </c>
      <c r="F910">
        <v>7</v>
      </c>
      <c r="G910">
        <v>646.41999999999996</v>
      </c>
      <c r="H910">
        <v>0</v>
      </c>
      <c r="I910" t="s">
        <v>2393</v>
      </c>
      <c r="J910" t="s">
        <v>871</v>
      </c>
      <c r="K910" t="s">
        <v>17</v>
      </c>
      <c r="L910" t="s">
        <v>143</v>
      </c>
      <c r="M910" t="s">
        <v>144</v>
      </c>
      <c r="N910" t="s">
        <v>3966</v>
      </c>
      <c r="P910">
        <f t="shared" si="14"/>
        <v>0.29999907181376873</v>
      </c>
    </row>
    <row r="911" spans="1:16" x14ac:dyDescent="0.25">
      <c r="A911" t="s">
        <v>2394</v>
      </c>
      <c r="B911" s="1">
        <v>45838</v>
      </c>
      <c r="C911" t="s">
        <v>2395</v>
      </c>
      <c r="D911" t="s">
        <v>91</v>
      </c>
      <c r="E911">
        <v>4723.63</v>
      </c>
      <c r="F911">
        <v>13</v>
      </c>
      <c r="G911">
        <v>1417.09</v>
      </c>
      <c r="H911">
        <v>0.05</v>
      </c>
      <c r="I911" t="s">
        <v>2395</v>
      </c>
      <c r="J911" t="s">
        <v>2331</v>
      </c>
      <c r="K911" t="s">
        <v>38</v>
      </c>
      <c r="L911" t="s">
        <v>2396</v>
      </c>
      <c r="M911" t="s">
        <v>56</v>
      </c>
      <c r="N911" t="s">
        <v>3968</v>
      </c>
      <c r="P911">
        <f t="shared" si="14"/>
        <v>0.30000021170159386</v>
      </c>
    </row>
    <row r="912" spans="1:16" x14ac:dyDescent="0.25">
      <c r="A912" t="s">
        <v>2397</v>
      </c>
      <c r="B912" s="1">
        <v>45693</v>
      </c>
      <c r="C912" t="s">
        <v>2398</v>
      </c>
      <c r="D912" t="s">
        <v>29</v>
      </c>
      <c r="E912">
        <v>1692.27</v>
      </c>
      <c r="F912">
        <v>9</v>
      </c>
      <c r="G912">
        <v>507.68</v>
      </c>
      <c r="H912">
        <v>0</v>
      </c>
      <c r="I912" t="s">
        <v>2398</v>
      </c>
      <c r="J912" t="s">
        <v>1456</v>
      </c>
      <c r="K912" t="s">
        <v>24</v>
      </c>
      <c r="L912" t="s">
        <v>133</v>
      </c>
      <c r="M912" t="s">
        <v>134</v>
      </c>
      <c r="N912" t="s">
        <v>3968</v>
      </c>
      <c r="P912">
        <f t="shared" si="14"/>
        <v>0.29999940907774764</v>
      </c>
    </row>
    <row r="913" spans="1:16" x14ac:dyDescent="0.25">
      <c r="A913" t="s">
        <v>2399</v>
      </c>
      <c r="B913" s="1">
        <v>45431</v>
      </c>
      <c r="C913" t="s">
        <v>2400</v>
      </c>
      <c r="D913" t="s">
        <v>29</v>
      </c>
      <c r="E913">
        <v>3441.56</v>
      </c>
      <c r="F913">
        <v>17</v>
      </c>
      <c r="G913">
        <v>1032.47</v>
      </c>
      <c r="H913">
        <v>0.15</v>
      </c>
      <c r="I913" t="s">
        <v>2400</v>
      </c>
      <c r="J913" t="s">
        <v>967</v>
      </c>
      <c r="K913" t="s">
        <v>17</v>
      </c>
      <c r="L913" t="s">
        <v>2082</v>
      </c>
      <c r="M913" t="s">
        <v>176</v>
      </c>
      <c r="N913" t="s">
        <v>3968</v>
      </c>
      <c r="P913">
        <f t="shared" si="14"/>
        <v>0.30000058113181233</v>
      </c>
    </row>
    <row r="914" spans="1:16" x14ac:dyDescent="0.25">
      <c r="A914" t="s">
        <v>2401</v>
      </c>
      <c r="B914" s="1">
        <v>44989</v>
      </c>
      <c r="C914" t="s">
        <v>2402</v>
      </c>
      <c r="D914" t="s">
        <v>41</v>
      </c>
      <c r="E914">
        <v>4056.39</v>
      </c>
      <c r="F914">
        <v>10</v>
      </c>
      <c r="G914">
        <v>1216.92</v>
      </c>
      <c r="H914">
        <v>0.1</v>
      </c>
      <c r="I914" t="s">
        <v>2402</v>
      </c>
      <c r="J914" t="s">
        <v>1064</v>
      </c>
      <c r="K914" t="s">
        <v>31</v>
      </c>
      <c r="L914" t="s">
        <v>318</v>
      </c>
      <c r="M914" t="s">
        <v>134</v>
      </c>
      <c r="N914" t="s">
        <v>3968</v>
      </c>
      <c r="P914">
        <f t="shared" si="14"/>
        <v>0.30000073957385759</v>
      </c>
    </row>
    <row r="915" spans="1:16" x14ac:dyDescent="0.25">
      <c r="A915" t="s">
        <v>1521</v>
      </c>
      <c r="B915" s="1">
        <v>44948</v>
      </c>
      <c r="C915" t="s">
        <v>1522</v>
      </c>
      <c r="D915" t="s">
        <v>48</v>
      </c>
      <c r="E915">
        <v>744.05</v>
      </c>
      <c r="F915">
        <v>2</v>
      </c>
      <c r="G915">
        <v>223.21</v>
      </c>
      <c r="H915">
        <v>0.1</v>
      </c>
      <c r="I915" t="s">
        <v>1522</v>
      </c>
      <c r="J915" t="s">
        <v>541</v>
      </c>
      <c r="K915" t="s">
        <v>38</v>
      </c>
      <c r="L915" t="s">
        <v>25</v>
      </c>
      <c r="M915" t="s">
        <v>26</v>
      </c>
      <c r="N915" t="s">
        <v>3967</v>
      </c>
      <c r="P915">
        <f t="shared" si="14"/>
        <v>0.29999328002150394</v>
      </c>
    </row>
    <row r="916" spans="1:16" x14ac:dyDescent="0.25">
      <c r="A916" t="s">
        <v>1523</v>
      </c>
      <c r="B916" s="1">
        <v>45746</v>
      </c>
      <c r="C916" t="s">
        <v>1522</v>
      </c>
      <c r="D916" t="s">
        <v>22</v>
      </c>
      <c r="E916">
        <v>6261.85</v>
      </c>
      <c r="F916">
        <v>16</v>
      </c>
      <c r="G916">
        <v>1878.55</v>
      </c>
      <c r="H916">
        <v>0.15</v>
      </c>
      <c r="I916" t="s">
        <v>1522</v>
      </c>
      <c r="J916" t="s">
        <v>541</v>
      </c>
      <c r="K916" t="s">
        <v>38</v>
      </c>
      <c r="L916" t="s">
        <v>25</v>
      </c>
      <c r="M916" t="s">
        <v>26</v>
      </c>
      <c r="N916" t="s">
        <v>3967</v>
      </c>
      <c r="P916">
        <f t="shared" si="14"/>
        <v>0.29999920151392956</v>
      </c>
    </row>
    <row r="917" spans="1:16" x14ac:dyDescent="0.25">
      <c r="A917" t="s">
        <v>2403</v>
      </c>
      <c r="B917" s="1">
        <v>45005</v>
      </c>
      <c r="C917" t="s">
        <v>2404</v>
      </c>
      <c r="D917" t="s">
        <v>22</v>
      </c>
      <c r="E917">
        <v>9124.07</v>
      </c>
      <c r="F917">
        <v>20</v>
      </c>
      <c r="G917">
        <v>2737.22</v>
      </c>
      <c r="H917">
        <v>0.15</v>
      </c>
      <c r="I917" t="s">
        <v>2404</v>
      </c>
      <c r="J917" t="s">
        <v>2405</v>
      </c>
      <c r="K917" t="s">
        <v>24</v>
      </c>
      <c r="L917" t="s">
        <v>25</v>
      </c>
      <c r="M917" t="s">
        <v>26</v>
      </c>
      <c r="N917" t="s">
        <v>3967</v>
      </c>
      <c r="P917">
        <f t="shared" si="14"/>
        <v>0.29999989039978869</v>
      </c>
    </row>
    <row r="918" spans="1:16" x14ac:dyDescent="0.25">
      <c r="A918" t="s">
        <v>2406</v>
      </c>
      <c r="B918" s="1">
        <v>45448</v>
      </c>
      <c r="C918" t="s">
        <v>2407</v>
      </c>
      <c r="D918" t="s">
        <v>22</v>
      </c>
      <c r="E918">
        <v>980.5</v>
      </c>
      <c r="F918">
        <v>5</v>
      </c>
      <c r="G918">
        <v>294.14999999999998</v>
      </c>
      <c r="H918">
        <v>0.05</v>
      </c>
      <c r="I918" t="s">
        <v>2407</v>
      </c>
      <c r="J918" t="s">
        <v>2083</v>
      </c>
      <c r="K918" t="s">
        <v>71</v>
      </c>
      <c r="L918" t="s">
        <v>1716</v>
      </c>
      <c r="M918" t="s">
        <v>26</v>
      </c>
      <c r="N918" t="s">
        <v>3967</v>
      </c>
      <c r="P918">
        <f t="shared" si="14"/>
        <v>0.3</v>
      </c>
    </row>
    <row r="919" spans="1:16" x14ac:dyDescent="0.25">
      <c r="A919" t="s">
        <v>2408</v>
      </c>
      <c r="B919" s="1">
        <v>45482</v>
      </c>
      <c r="C919" t="s">
        <v>2409</v>
      </c>
      <c r="D919" t="s">
        <v>41</v>
      </c>
      <c r="E919">
        <v>873.22</v>
      </c>
      <c r="F919">
        <v>4</v>
      </c>
      <c r="G919">
        <v>261.97000000000003</v>
      </c>
      <c r="H919">
        <v>0.15</v>
      </c>
      <c r="I919" t="s">
        <v>2409</v>
      </c>
      <c r="J919" t="s">
        <v>2275</v>
      </c>
      <c r="K919" t="s">
        <v>17</v>
      </c>
      <c r="L919" t="s">
        <v>82</v>
      </c>
      <c r="M919" t="s">
        <v>83</v>
      </c>
      <c r="N919" t="s">
        <v>3967</v>
      </c>
      <c r="P919">
        <f t="shared" si="14"/>
        <v>0.30000458074711989</v>
      </c>
    </row>
    <row r="920" spans="1:16" x14ac:dyDescent="0.25">
      <c r="A920" t="s">
        <v>2410</v>
      </c>
      <c r="B920" s="1">
        <v>45709</v>
      </c>
      <c r="C920" t="s">
        <v>2411</v>
      </c>
      <c r="D920" t="s">
        <v>22</v>
      </c>
      <c r="E920">
        <v>1767.74</v>
      </c>
      <c r="F920">
        <v>13</v>
      </c>
      <c r="G920">
        <v>530.32000000000005</v>
      </c>
      <c r="H920">
        <v>0</v>
      </c>
      <c r="I920" t="s">
        <v>2411</v>
      </c>
      <c r="J920" t="s">
        <v>2078</v>
      </c>
      <c r="K920" t="s">
        <v>24</v>
      </c>
      <c r="L920" t="s">
        <v>122</v>
      </c>
      <c r="M920" t="s">
        <v>123</v>
      </c>
      <c r="N920" t="s">
        <v>3967</v>
      </c>
      <c r="P920">
        <f t="shared" si="14"/>
        <v>0.29999886861189995</v>
      </c>
    </row>
    <row r="921" spans="1:16" x14ac:dyDescent="0.25">
      <c r="A921" t="s">
        <v>2412</v>
      </c>
      <c r="B921" s="1">
        <v>45724</v>
      </c>
      <c r="C921" t="s">
        <v>2411</v>
      </c>
      <c r="D921" t="s">
        <v>48</v>
      </c>
      <c r="E921">
        <v>247.04</v>
      </c>
      <c r="F921">
        <v>1</v>
      </c>
      <c r="G921">
        <v>74.11</v>
      </c>
      <c r="H921">
        <v>0</v>
      </c>
      <c r="I921" t="s">
        <v>2411</v>
      </c>
      <c r="J921" t="s">
        <v>2078</v>
      </c>
      <c r="K921" t="s">
        <v>24</v>
      </c>
      <c r="L921" t="s">
        <v>122</v>
      </c>
      <c r="M921" t="s">
        <v>123</v>
      </c>
      <c r="N921" t="s">
        <v>3967</v>
      </c>
      <c r="P921">
        <f t="shared" si="14"/>
        <v>0.2999919041450777</v>
      </c>
    </row>
    <row r="922" spans="1:16" x14ac:dyDescent="0.25">
      <c r="A922" t="s">
        <v>2413</v>
      </c>
      <c r="B922" s="1">
        <v>45829</v>
      </c>
      <c r="C922" t="s">
        <v>2414</v>
      </c>
      <c r="D922" t="s">
        <v>91</v>
      </c>
      <c r="E922">
        <v>1487.62</v>
      </c>
      <c r="F922">
        <v>3</v>
      </c>
      <c r="G922">
        <v>446.29</v>
      </c>
      <c r="H922">
        <v>0.15</v>
      </c>
      <c r="I922" t="s">
        <v>2414</v>
      </c>
      <c r="J922" t="s">
        <v>224</v>
      </c>
      <c r="K922" t="s">
        <v>24</v>
      </c>
      <c r="L922" t="s">
        <v>143</v>
      </c>
      <c r="M922" t="s">
        <v>144</v>
      </c>
      <c r="N922" t="s">
        <v>3966</v>
      </c>
      <c r="P922">
        <f t="shared" si="14"/>
        <v>0.30000268885871395</v>
      </c>
    </row>
    <row r="923" spans="1:16" x14ac:dyDescent="0.25">
      <c r="A923" t="s">
        <v>2415</v>
      </c>
      <c r="B923" s="1">
        <v>45016</v>
      </c>
      <c r="C923" t="s">
        <v>2416</v>
      </c>
      <c r="D923" t="s">
        <v>91</v>
      </c>
      <c r="E923">
        <v>638.28</v>
      </c>
      <c r="F923">
        <v>9</v>
      </c>
      <c r="G923">
        <v>191.48</v>
      </c>
      <c r="H923">
        <v>0.1</v>
      </c>
      <c r="I923" t="s">
        <v>2416</v>
      </c>
      <c r="J923" t="s">
        <v>2417</v>
      </c>
      <c r="K923" t="s">
        <v>31</v>
      </c>
      <c r="L923" t="s">
        <v>2418</v>
      </c>
      <c r="M923" t="s">
        <v>51</v>
      </c>
      <c r="N923" t="s">
        <v>3966</v>
      </c>
      <c r="P923">
        <f t="shared" si="14"/>
        <v>0.29999373315786176</v>
      </c>
    </row>
    <row r="924" spans="1:16" x14ac:dyDescent="0.25">
      <c r="A924" t="s">
        <v>2419</v>
      </c>
      <c r="B924" s="1">
        <v>45836</v>
      </c>
      <c r="C924" t="s">
        <v>2416</v>
      </c>
      <c r="D924" t="s">
        <v>91</v>
      </c>
      <c r="E924">
        <v>3772.25</v>
      </c>
      <c r="F924">
        <v>13</v>
      </c>
      <c r="G924">
        <v>1131.67</v>
      </c>
      <c r="H924">
        <v>0.15</v>
      </c>
      <c r="I924" t="s">
        <v>2416</v>
      </c>
      <c r="J924" t="s">
        <v>2417</v>
      </c>
      <c r="K924" t="s">
        <v>31</v>
      </c>
      <c r="L924" t="s">
        <v>2418</v>
      </c>
      <c r="M924" t="s">
        <v>51</v>
      </c>
      <c r="N924" t="s">
        <v>3966</v>
      </c>
      <c r="P924">
        <f t="shared" si="14"/>
        <v>0.29999867453111539</v>
      </c>
    </row>
    <row r="925" spans="1:16" x14ac:dyDescent="0.25">
      <c r="A925" t="s">
        <v>2420</v>
      </c>
      <c r="B925" s="1">
        <v>45752</v>
      </c>
      <c r="C925" t="s">
        <v>2421</v>
      </c>
      <c r="D925" t="s">
        <v>36</v>
      </c>
      <c r="E925">
        <v>4312.53</v>
      </c>
      <c r="F925">
        <v>19</v>
      </c>
      <c r="G925">
        <v>1293.76</v>
      </c>
      <c r="H925">
        <v>0.15</v>
      </c>
      <c r="I925" t="s">
        <v>2421</v>
      </c>
      <c r="J925" t="s">
        <v>2422</v>
      </c>
      <c r="K925" t="s">
        <v>71</v>
      </c>
      <c r="L925" t="s">
        <v>25</v>
      </c>
      <c r="M925" t="s">
        <v>26</v>
      </c>
      <c r="N925" t="s">
        <v>3966</v>
      </c>
      <c r="P925">
        <f t="shared" si="14"/>
        <v>0.3000002318824449</v>
      </c>
    </row>
    <row r="926" spans="1:16" x14ac:dyDescent="0.25">
      <c r="A926" t="s">
        <v>2423</v>
      </c>
      <c r="B926" s="1">
        <v>45356</v>
      </c>
      <c r="C926" t="s">
        <v>2424</v>
      </c>
      <c r="D926" t="s">
        <v>41</v>
      </c>
      <c r="E926">
        <v>543.83000000000004</v>
      </c>
      <c r="F926">
        <v>7</v>
      </c>
      <c r="G926">
        <v>163.15</v>
      </c>
      <c r="H926">
        <v>0</v>
      </c>
      <c r="I926" t="s">
        <v>2424</v>
      </c>
      <c r="J926" t="s">
        <v>777</v>
      </c>
      <c r="K926" t="s">
        <v>24</v>
      </c>
      <c r="L926" t="s">
        <v>143</v>
      </c>
      <c r="M926" t="s">
        <v>144</v>
      </c>
      <c r="N926" t="s">
        <v>3967</v>
      </c>
      <c r="P926">
        <f t="shared" si="14"/>
        <v>0.30000183880992221</v>
      </c>
    </row>
    <row r="927" spans="1:16" x14ac:dyDescent="0.25">
      <c r="A927" t="s">
        <v>2425</v>
      </c>
      <c r="B927" s="1">
        <v>45360</v>
      </c>
      <c r="C927" t="s">
        <v>2426</v>
      </c>
      <c r="D927" t="s">
        <v>22</v>
      </c>
      <c r="E927">
        <v>6248.6</v>
      </c>
      <c r="F927">
        <v>20</v>
      </c>
      <c r="G927">
        <v>1874.58</v>
      </c>
      <c r="H927">
        <v>0</v>
      </c>
      <c r="I927" t="s">
        <v>2426</v>
      </c>
      <c r="J927" t="s">
        <v>2427</v>
      </c>
      <c r="K927" t="s">
        <v>17</v>
      </c>
      <c r="L927" t="s">
        <v>2428</v>
      </c>
      <c r="M927" t="s">
        <v>384</v>
      </c>
      <c r="N927" t="s">
        <v>3966</v>
      </c>
      <c r="P927">
        <f t="shared" si="14"/>
        <v>0.3</v>
      </c>
    </row>
    <row r="928" spans="1:16" x14ac:dyDescent="0.25">
      <c r="A928" t="s">
        <v>2429</v>
      </c>
      <c r="B928" s="1">
        <v>45181</v>
      </c>
      <c r="C928" t="s">
        <v>2430</v>
      </c>
      <c r="D928" t="s">
        <v>36</v>
      </c>
      <c r="E928">
        <v>3566.43</v>
      </c>
      <c r="F928">
        <v>10</v>
      </c>
      <c r="G928">
        <v>1069.93</v>
      </c>
      <c r="H928">
        <v>0.15</v>
      </c>
      <c r="I928" t="s">
        <v>2430</v>
      </c>
      <c r="J928" t="s">
        <v>1020</v>
      </c>
      <c r="K928" t="s">
        <v>38</v>
      </c>
      <c r="L928" t="s">
        <v>1118</v>
      </c>
      <c r="M928" t="s">
        <v>266</v>
      </c>
      <c r="N928" t="s">
        <v>3966</v>
      </c>
      <c r="P928">
        <f t="shared" si="14"/>
        <v>0.30000028039243731</v>
      </c>
    </row>
    <row r="929" spans="1:16" x14ac:dyDescent="0.25">
      <c r="A929" t="s">
        <v>2431</v>
      </c>
      <c r="B929" s="1">
        <v>45713</v>
      </c>
      <c r="C929" t="s">
        <v>2430</v>
      </c>
      <c r="D929" t="s">
        <v>48</v>
      </c>
      <c r="E929">
        <v>254.51</v>
      </c>
      <c r="F929">
        <v>19</v>
      </c>
      <c r="G929">
        <v>76.349999999999994</v>
      </c>
      <c r="H929">
        <v>0.05</v>
      </c>
      <c r="I929" t="s">
        <v>2430</v>
      </c>
      <c r="J929" t="s">
        <v>1020</v>
      </c>
      <c r="K929" t="s">
        <v>38</v>
      </c>
      <c r="L929" t="s">
        <v>1118</v>
      </c>
      <c r="M929" t="s">
        <v>266</v>
      </c>
      <c r="N929" t="s">
        <v>3968</v>
      </c>
      <c r="P929">
        <f t="shared" si="14"/>
        <v>0.29998821264390396</v>
      </c>
    </row>
    <row r="930" spans="1:16" x14ac:dyDescent="0.25">
      <c r="A930" t="s">
        <v>2432</v>
      </c>
      <c r="B930" s="1">
        <v>45612</v>
      </c>
      <c r="C930" t="s">
        <v>2433</v>
      </c>
      <c r="D930" t="s">
        <v>91</v>
      </c>
      <c r="E930">
        <v>4309.3</v>
      </c>
      <c r="F930">
        <v>17</v>
      </c>
      <c r="G930">
        <v>1292.79</v>
      </c>
      <c r="H930">
        <v>0.05</v>
      </c>
      <c r="I930" t="s">
        <v>2433</v>
      </c>
      <c r="J930" t="s">
        <v>259</v>
      </c>
      <c r="K930" t="s">
        <v>71</v>
      </c>
      <c r="L930" t="s">
        <v>1118</v>
      </c>
      <c r="M930" t="s">
        <v>266</v>
      </c>
      <c r="N930" t="s">
        <v>3968</v>
      </c>
      <c r="P930">
        <f t="shared" si="14"/>
        <v>0.3</v>
      </c>
    </row>
    <row r="931" spans="1:16" x14ac:dyDescent="0.25">
      <c r="A931" t="s">
        <v>2434</v>
      </c>
      <c r="B931" s="1">
        <v>45505</v>
      </c>
      <c r="C931" t="s">
        <v>2435</v>
      </c>
      <c r="D931" t="s">
        <v>41</v>
      </c>
      <c r="E931">
        <v>4714.09</v>
      </c>
      <c r="F931">
        <v>20</v>
      </c>
      <c r="G931">
        <v>1414.23</v>
      </c>
      <c r="H931">
        <v>0.05</v>
      </c>
      <c r="I931" t="s">
        <v>2435</v>
      </c>
      <c r="J931" t="s">
        <v>2436</v>
      </c>
      <c r="K931" t="s">
        <v>24</v>
      </c>
      <c r="L931" t="s">
        <v>2437</v>
      </c>
      <c r="M931" t="s">
        <v>221</v>
      </c>
      <c r="N931" t="s">
        <v>3966</v>
      </c>
      <c r="P931">
        <f t="shared" si="14"/>
        <v>0.3000006363900562</v>
      </c>
    </row>
    <row r="932" spans="1:16" x14ac:dyDescent="0.25">
      <c r="A932" t="s">
        <v>2022</v>
      </c>
      <c r="B932" s="1">
        <v>45402</v>
      </c>
      <c r="C932" t="s">
        <v>2023</v>
      </c>
      <c r="D932" t="s">
        <v>36</v>
      </c>
      <c r="E932">
        <v>1504.61</v>
      </c>
      <c r="F932">
        <v>5</v>
      </c>
      <c r="G932">
        <v>451.38</v>
      </c>
      <c r="H932">
        <v>0.05</v>
      </c>
      <c r="I932" t="s">
        <v>2023</v>
      </c>
      <c r="J932" t="s">
        <v>2438</v>
      </c>
      <c r="K932" t="s">
        <v>71</v>
      </c>
      <c r="L932" t="s">
        <v>51</v>
      </c>
      <c r="M932" t="s">
        <v>1627</v>
      </c>
      <c r="N932" t="s">
        <v>3966</v>
      </c>
      <c r="P932">
        <f t="shared" si="14"/>
        <v>0.29999800612783378</v>
      </c>
    </row>
    <row r="933" spans="1:16" x14ac:dyDescent="0.25">
      <c r="A933" t="s">
        <v>2025</v>
      </c>
      <c r="B933" s="1">
        <v>45768</v>
      </c>
      <c r="C933" t="s">
        <v>2023</v>
      </c>
      <c r="D933" t="s">
        <v>41</v>
      </c>
      <c r="E933">
        <v>124.33</v>
      </c>
      <c r="F933">
        <v>1</v>
      </c>
      <c r="G933">
        <v>37.299999999999997</v>
      </c>
      <c r="H933">
        <v>0.05</v>
      </c>
      <c r="I933" t="s">
        <v>2023</v>
      </c>
      <c r="J933" t="s">
        <v>2438</v>
      </c>
      <c r="K933" t="s">
        <v>71</v>
      </c>
      <c r="L933" t="s">
        <v>51</v>
      </c>
      <c r="M933" t="s">
        <v>1627</v>
      </c>
      <c r="N933" t="s">
        <v>3966</v>
      </c>
      <c r="P933">
        <f t="shared" si="14"/>
        <v>0.30000804311107532</v>
      </c>
    </row>
    <row r="934" spans="1:16" x14ac:dyDescent="0.25">
      <c r="A934" t="s">
        <v>2439</v>
      </c>
      <c r="B934" s="1">
        <v>45402</v>
      </c>
      <c r="C934" t="s">
        <v>2440</v>
      </c>
      <c r="D934" t="s">
        <v>15</v>
      </c>
      <c r="E934">
        <v>305.32</v>
      </c>
      <c r="F934">
        <v>2</v>
      </c>
      <c r="G934">
        <v>91.59</v>
      </c>
      <c r="H934">
        <v>0.1</v>
      </c>
      <c r="I934" t="s">
        <v>2440</v>
      </c>
      <c r="J934" t="s">
        <v>2441</v>
      </c>
      <c r="K934" t="s">
        <v>24</v>
      </c>
      <c r="L934" t="s">
        <v>2442</v>
      </c>
      <c r="M934" t="s">
        <v>111</v>
      </c>
      <c r="N934" t="s">
        <v>3966</v>
      </c>
      <c r="P934">
        <f t="shared" si="14"/>
        <v>0.29998034848683353</v>
      </c>
    </row>
    <row r="935" spans="1:16" x14ac:dyDescent="0.25">
      <c r="A935" t="s">
        <v>2443</v>
      </c>
      <c r="B935" s="1">
        <v>45191</v>
      </c>
      <c r="C935" t="s">
        <v>2444</v>
      </c>
      <c r="D935" t="s">
        <v>15</v>
      </c>
      <c r="E935">
        <v>571.39</v>
      </c>
      <c r="F935">
        <v>19</v>
      </c>
      <c r="G935">
        <v>171.42</v>
      </c>
      <c r="H935">
        <v>0.15</v>
      </c>
      <c r="I935" t="s">
        <v>2444</v>
      </c>
      <c r="J935" t="s">
        <v>415</v>
      </c>
      <c r="K935" t="s">
        <v>31</v>
      </c>
      <c r="L935" t="s">
        <v>50</v>
      </c>
      <c r="M935" t="s">
        <v>51</v>
      </c>
      <c r="N935" t="s">
        <v>3968</v>
      </c>
      <c r="P935">
        <f t="shared" si="14"/>
        <v>0.3000052503543989</v>
      </c>
    </row>
    <row r="936" spans="1:16" x14ac:dyDescent="0.25">
      <c r="A936" t="s">
        <v>2445</v>
      </c>
      <c r="B936" s="1">
        <v>45709</v>
      </c>
      <c r="C936" t="s">
        <v>2446</v>
      </c>
      <c r="D936" t="s">
        <v>36</v>
      </c>
      <c r="E936">
        <v>713.02</v>
      </c>
      <c r="F936">
        <v>3</v>
      </c>
      <c r="G936">
        <v>213.9</v>
      </c>
      <c r="H936">
        <v>0.1</v>
      </c>
      <c r="I936" t="s">
        <v>2446</v>
      </c>
      <c r="J936" t="s">
        <v>410</v>
      </c>
      <c r="K936" t="s">
        <v>71</v>
      </c>
      <c r="L936" t="s">
        <v>82</v>
      </c>
      <c r="M936" t="s">
        <v>83</v>
      </c>
      <c r="N936" t="s">
        <v>3968</v>
      </c>
      <c r="P936">
        <f t="shared" si="14"/>
        <v>0.29999158508877732</v>
      </c>
    </row>
    <row r="937" spans="1:16" x14ac:dyDescent="0.25">
      <c r="A937" t="s">
        <v>444</v>
      </c>
      <c r="B937" s="1">
        <v>45832</v>
      </c>
      <c r="C937" t="s">
        <v>445</v>
      </c>
      <c r="D937" t="s">
        <v>91</v>
      </c>
      <c r="E937">
        <v>584.63</v>
      </c>
      <c r="F937">
        <v>5</v>
      </c>
      <c r="G937">
        <v>175.39</v>
      </c>
      <c r="H937">
        <v>0.15</v>
      </c>
      <c r="I937" t="s">
        <v>445</v>
      </c>
      <c r="J937" t="s">
        <v>984</v>
      </c>
      <c r="K937" t="s">
        <v>17</v>
      </c>
      <c r="L937" t="s">
        <v>82</v>
      </c>
      <c r="M937" t="s">
        <v>83</v>
      </c>
      <c r="N937" t="s">
        <v>3968</v>
      </c>
      <c r="P937">
        <f t="shared" si="14"/>
        <v>0.30000171048355367</v>
      </c>
    </row>
    <row r="938" spans="1:16" x14ac:dyDescent="0.25">
      <c r="A938" t="s">
        <v>448</v>
      </c>
      <c r="B938" s="1">
        <v>45198</v>
      </c>
      <c r="C938" t="s">
        <v>445</v>
      </c>
      <c r="D938" t="s">
        <v>48</v>
      </c>
      <c r="E938">
        <v>2222.3000000000002</v>
      </c>
      <c r="F938">
        <v>14</v>
      </c>
      <c r="G938">
        <v>666.69</v>
      </c>
      <c r="H938">
        <v>0.05</v>
      </c>
      <c r="I938" t="s">
        <v>445</v>
      </c>
      <c r="J938" t="s">
        <v>984</v>
      </c>
      <c r="K938" t="s">
        <v>17</v>
      </c>
      <c r="L938" t="s">
        <v>82</v>
      </c>
      <c r="M938" t="s">
        <v>83</v>
      </c>
      <c r="N938" t="s">
        <v>3968</v>
      </c>
      <c r="P938">
        <f t="shared" si="14"/>
        <v>0.3</v>
      </c>
    </row>
    <row r="939" spans="1:16" x14ac:dyDescent="0.25">
      <c r="A939" t="s">
        <v>2447</v>
      </c>
      <c r="B939" s="1">
        <v>45258</v>
      </c>
      <c r="C939" t="s">
        <v>2448</v>
      </c>
      <c r="D939" t="s">
        <v>15</v>
      </c>
      <c r="E939">
        <v>1073.92</v>
      </c>
      <c r="F939">
        <v>8</v>
      </c>
      <c r="G939">
        <v>322.18</v>
      </c>
      <c r="H939">
        <v>0.15</v>
      </c>
      <c r="I939" t="s">
        <v>2448</v>
      </c>
      <c r="J939" t="s">
        <v>2449</v>
      </c>
      <c r="K939" t="s">
        <v>38</v>
      </c>
      <c r="L939" t="s">
        <v>72</v>
      </c>
      <c r="M939" t="s">
        <v>26</v>
      </c>
      <c r="N939" t="s">
        <v>3967</v>
      </c>
      <c r="P939">
        <f t="shared" si="14"/>
        <v>0.30000372467222886</v>
      </c>
    </row>
    <row r="940" spans="1:16" x14ac:dyDescent="0.25">
      <c r="A940" t="s">
        <v>2450</v>
      </c>
      <c r="B940" s="1">
        <v>45390</v>
      </c>
      <c r="C940" t="s">
        <v>2451</v>
      </c>
      <c r="D940" t="s">
        <v>29</v>
      </c>
      <c r="E940">
        <v>723.1</v>
      </c>
      <c r="F940">
        <v>6</v>
      </c>
      <c r="G940">
        <v>216.93</v>
      </c>
      <c r="H940">
        <v>0.05</v>
      </c>
      <c r="I940" t="s">
        <v>2451</v>
      </c>
      <c r="J940" t="s">
        <v>2452</v>
      </c>
      <c r="K940" t="s">
        <v>31</v>
      </c>
      <c r="L940" t="s">
        <v>50</v>
      </c>
      <c r="M940" t="s">
        <v>51</v>
      </c>
      <c r="N940" t="s">
        <v>3967</v>
      </c>
      <c r="P940">
        <f t="shared" si="14"/>
        <v>0.3</v>
      </c>
    </row>
    <row r="941" spans="1:16" x14ac:dyDescent="0.25">
      <c r="A941" t="s">
        <v>2187</v>
      </c>
      <c r="B941" s="1">
        <v>45664</v>
      </c>
      <c r="C941" t="s">
        <v>2188</v>
      </c>
      <c r="D941" t="s">
        <v>36</v>
      </c>
      <c r="E941">
        <v>3420.71</v>
      </c>
      <c r="F941">
        <v>15</v>
      </c>
      <c r="G941">
        <v>1026.21</v>
      </c>
      <c r="H941">
        <v>0.05</v>
      </c>
      <c r="I941" t="s">
        <v>2188</v>
      </c>
      <c r="J941" t="s">
        <v>1449</v>
      </c>
      <c r="K941" t="s">
        <v>31</v>
      </c>
      <c r="L941" t="s">
        <v>1329</v>
      </c>
      <c r="M941" t="s">
        <v>61</v>
      </c>
      <c r="N941" t="s">
        <v>3967</v>
      </c>
      <c r="P941">
        <f t="shared" si="14"/>
        <v>0.29999912298908704</v>
      </c>
    </row>
    <row r="942" spans="1:16" x14ac:dyDescent="0.25">
      <c r="A942" t="s">
        <v>2189</v>
      </c>
      <c r="B942" s="1">
        <v>45459</v>
      </c>
      <c r="C942" t="s">
        <v>2188</v>
      </c>
      <c r="D942" t="s">
        <v>29</v>
      </c>
      <c r="E942">
        <v>4186.5600000000004</v>
      </c>
      <c r="F942">
        <v>12</v>
      </c>
      <c r="G942">
        <v>1255.97</v>
      </c>
      <c r="H942">
        <v>0</v>
      </c>
      <c r="I942" t="s">
        <v>2188</v>
      </c>
      <c r="J942" t="s">
        <v>1449</v>
      </c>
      <c r="K942" t="s">
        <v>31</v>
      </c>
      <c r="L942" t="s">
        <v>1329</v>
      </c>
      <c r="M942" t="s">
        <v>61</v>
      </c>
      <c r="N942" t="s">
        <v>3967</v>
      </c>
      <c r="P942">
        <f t="shared" si="14"/>
        <v>0.30000047771917754</v>
      </c>
    </row>
    <row r="943" spans="1:16" x14ac:dyDescent="0.25">
      <c r="A943" t="s">
        <v>2453</v>
      </c>
      <c r="B943" s="1">
        <v>44981</v>
      </c>
      <c r="C943" t="s">
        <v>2454</v>
      </c>
      <c r="D943" t="s">
        <v>91</v>
      </c>
      <c r="E943">
        <v>101.6</v>
      </c>
      <c r="F943">
        <v>3</v>
      </c>
      <c r="G943">
        <v>30.48</v>
      </c>
      <c r="H943">
        <v>0.1</v>
      </c>
      <c r="I943" t="s">
        <v>2454</v>
      </c>
      <c r="J943" t="s">
        <v>2455</v>
      </c>
      <c r="K943" t="s">
        <v>24</v>
      </c>
      <c r="L943" t="s">
        <v>25</v>
      </c>
      <c r="M943" t="s">
        <v>26</v>
      </c>
      <c r="N943" t="s">
        <v>3967</v>
      </c>
      <c r="P943">
        <f t="shared" si="14"/>
        <v>0.30000000000000004</v>
      </c>
    </row>
    <row r="944" spans="1:16" x14ac:dyDescent="0.25">
      <c r="A944" t="s">
        <v>57</v>
      </c>
      <c r="B944" s="1">
        <v>45218</v>
      </c>
      <c r="C944" t="s">
        <v>58</v>
      </c>
      <c r="D944" t="s">
        <v>36</v>
      </c>
      <c r="E944">
        <v>4599.2700000000004</v>
      </c>
      <c r="F944">
        <v>13</v>
      </c>
      <c r="G944">
        <v>1379.78</v>
      </c>
      <c r="H944">
        <v>0.1</v>
      </c>
      <c r="I944" t="s">
        <v>58</v>
      </c>
      <c r="J944" t="s">
        <v>2456</v>
      </c>
      <c r="K944" t="s">
        <v>17</v>
      </c>
      <c r="L944" t="s">
        <v>50</v>
      </c>
      <c r="M944" t="s">
        <v>51</v>
      </c>
      <c r="N944" t="s">
        <v>3967</v>
      </c>
      <c r="P944">
        <f t="shared" si="14"/>
        <v>0.29999978257419108</v>
      </c>
    </row>
    <row r="945" spans="1:16" x14ac:dyDescent="0.25">
      <c r="A945" t="s">
        <v>62</v>
      </c>
      <c r="B945" s="1">
        <v>44935</v>
      </c>
      <c r="C945" t="s">
        <v>58</v>
      </c>
      <c r="D945" t="s">
        <v>36</v>
      </c>
      <c r="E945">
        <v>842.06</v>
      </c>
      <c r="F945">
        <v>3</v>
      </c>
      <c r="G945">
        <v>252.62</v>
      </c>
      <c r="H945">
        <v>0.15</v>
      </c>
      <c r="I945" t="s">
        <v>58</v>
      </c>
      <c r="J945" t="s">
        <v>2456</v>
      </c>
      <c r="K945" t="s">
        <v>17</v>
      </c>
      <c r="L945" t="s">
        <v>50</v>
      </c>
      <c r="M945" t="s">
        <v>51</v>
      </c>
      <c r="N945" t="s">
        <v>3966</v>
      </c>
      <c r="P945">
        <f t="shared" si="14"/>
        <v>0.30000237512766315</v>
      </c>
    </row>
    <row r="946" spans="1:16" x14ac:dyDescent="0.25">
      <c r="A946" t="s">
        <v>2457</v>
      </c>
      <c r="B946" s="1">
        <v>45460</v>
      </c>
      <c r="C946" t="s">
        <v>2458</v>
      </c>
      <c r="D946" t="s">
        <v>36</v>
      </c>
      <c r="E946">
        <v>712.81</v>
      </c>
      <c r="F946">
        <v>10</v>
      </c>
      <c r="G946">
        <v>213.84</v>
      </c>
      <c r="H946">
        <v>0.15</v>
      </c>
      <c r="I946" t="s">
        <v>2458</v>
      </c>
      <c r="J946" t="s">
        <v>1954</v>
      </c>
      <c r="K946" t="s">
        <v>31</v>
      </c>
      <c r="L946" t="s">
        <v>82</v>
      </c>
      <c r="M946" t="s">
        <v>83</v>
      </c>
      <c r="N946" t="s">
        <v>3966</v>
      </c>
      <c r="P946">
        <f t="shared" si="14"/>
        <v>0.29999579130483583</v>
      </c>
    </row>
    <row r="947" spans="1:16" x14ac:dyDescent="0.25">
      <c r="A947" t="s">
        <v>2459</v>
      </c>
      <c r="B947" s="1">
        <v>45098</v>
      </c>
      <c r="C947" t="s">
        <v>2460</v>
      </c>
      <c r="D947" t="s">
        <v>29</v>
      </c>
      <c r="E947">
        <v>1100.7</v>
      </c>
      <c r="F947">
        <v>10</v>
      </c>
      <c r="G947">
        <v>330.21</v>
      </c>
      <c r="H947">
        <v>0</v>
      </c>
      <c r="I947" t="s">
        <v>2460</v>
      </c>
      <c r="J947" t="s">
        <v>2461</v>
      </c>
      <c r="K947" t="s">
        <v>38</v>
      </c>
      <c r="L947" t="s">
        <v>427</v>
      </c>
      <c r="M947" t="s">
        <v>56</v>
      </c>
      <c r="N947" t="s">
        <v>3966</v>
      </c>
      <c r="P947">
        <f t="shared" si="14"/>
        <v>0.3</v>
      </c>
    </row>
    <row r="948" spans="1:16" x14ac:dyDescent="0.25">
      <c r="A948" t="s">
        <v>2462</v>
      </c>
      <c r="B948" s="1">
        <v>45534</v>
      </c>
      <c r="C948" t="s">
        <v>2463</v>
      </c>
      <c r="D948" t="s">
        <v>22</v>
      </c>
      <c r="E948">
        <v>1473.8</v>
      </c>
      <c r="F948">
        <v>6</v>
      </c>
      <c r="G948">
        <v>442.14</v>
      </c>
      <c r="H948">
        <v>0.15</v>
      </c>
      <c r="I948" t="s">
        <v>2463</v>
      </c>
      <c r="J948" t="s">
        <v>2135</v>
      </c>
      <c r="K948" t="s">
        <v>17</v>
      </c>
      <c r="L948" t="s">
        <v>143</v>
      </c>
      <c r="M948" t="s">
        <v>144</v>
      </c>
      <c r="N948" t="s">
        <v>3966</v>
      </c>
      <c r="P948">
        <f t="shared" si="14"/>
        <v>0.3</v>
      </c>
    </row>
    <row r="949" spans="1:16" x14ac:dyDescent="0.25">
      <c r="A949" t="s">
        <v>2464</v>
      </c>
      <c r="B949" s="1">
        <v>45660</v>
      </c>
      <c r="C949" t="s">
        <v>2465</v>
      </c>
      <c r="D949" t="s">
        <v>29</v>
      </c>
      <c r="E949">
        <v>4511.3999999999996</v>
      </c>
      <c r="F949">
        <v>10</v>
      </c>
      <c r="G949">
        <v>1353.42</v>
      </c>
      <c r="H949">
        <v>0</v>
      </c>
      <c r="I949" t="s">
        <v>2465</v>
      </c>
      <c r="J949" t="s">
        <v>2384</v>
      </c>
      <c r="K949" t="s">
        <v>38</v>
      </c>
      <c r="L949" t="s">
        <v>99</v>
      </c>
      <c r="M949" t="s">
        <v>56</v>
      </c>
      <c r="N949" t="s">
        <v>3968</v>
      </c>
      <c r="P949">
        <f t="shared" si="14"/>
        <v>0.30000000000000004</v>
      </c>
    </row>
    <row r="950" spans="1:16" x14ac:dyDescent="0.25">
      <c r="A950" t="s">
        <v>1437</v>
      </c>
      <c r="B950" s="1">
        <v>44980</v>
      </c>
      <c r="C950" t="s">
        <v>1438</v>
      </c>
      <c r="D950" t="s">
        <v>41</v>
      </c>
      <c r="E950">
        <v>8145.28</v>
      </c>
      <c r="F950">
        <v>16</v>
      </c>
      <c r="G950">
        <v>2443.58</v>
      </c>
      <c r="H950">
        <v>0</v>
      </c>
      <c r="I950" t="s">
        <v>1438</v>
      </c>
      <c r="J950" t="s">
        <v>2466</v>
      </c>
      <c r="K950" t="s">
        <v>71</v>
      </c>
      <c r="L950" t="s">
        <v>2267</v>
      </c>
      <c r="M950" t="s">
        <v>705</v>
      </c>
      <c r="N950" t="s">
        <v>3968</v>
      </c>
      <c r="P950">
        <f t="shared" si="14"/>
        <v>0.29999950891804822</v>
      </c>
    </row>
    <row r="951" spans="1:16" x14ac:dyDescent="0.25">
      <c r="A951" t="s">
        <v>1439</v>
      </c>
      <c r="B951" s="1">
        <v>45125</v>
      </c>
      <c r="C951" t="s">
        <v>1438</v>
      </c>
      <c r="D951" t="s">
        <v>15</v>
      </c>
      <c r="E951">
        <v>4598.42</v>
      </c>
      <c r="F951">
        <v>12</v>
      </c>
      <c r="G951">
        <v>1379.53</v>
      </c>
      <c r="H951">
        <v>0.1</v>
      </c>
      <c r="I951" t="s">
        <v>1438</v>
      </c>
      <c r="J951" t="s">
        <v>2466</v>
      </c>
      <c r="K951" t="s">
        <v>71</v>
      </c>
      <c r="L951" t="s">
        <v>2267</v>
      </c>
      <c r="M951" t="s">
        <v>705</v>
      </c>
      <c r="N951" t="s">
        <v>3968</v>
      </c>
      <c r="P951">
        <f t="shared" si="14"/>
        <v>0.30000086986399677</v>
      </c>
    </row>
    <row r="952" spans="1:16" x14ac:dyDescent="0.25">
      <c r="A952" t="s">
        <v>2467</v>
      </c>
      <c r="B952" s="1">
        <v>45773</v>
      </c>
      <c r="C952" t="s">
        <v>2468</v>
      </c>
      <c r="D952" t="s">
        <v>41</v>
      </c>
      <c r="E952">
        <v>2214.37</v>
      </c>
      <c r="F952">
        <v>4</v>
      </c>
      <c r="G952">
        <v>664.31</v>
      </c>
      <c r="H952">
        <v>0.05</v>
      </c>
      <c r="I952" t="s">
        <v>2468</v>
      </c>
      <c r="J952" t="s">
        <v>1594</v>
      </c>
      <c r="K952" t="s">
        <v>38</v>
      </c>
      <c r="L952" t="s">
        <v>2469</v>
      </c>
      <c r="M952" t="s">
        <v>56</v>
      </c>
      <c r="N952" t="s">
        <v>3968</v>
      </c>
      <c r="P952">
        <f t="shared" si="14"/>
        <v>0.29999954840428655</v>
      </c>
    </row>
    <row r="953" spans="1:16" x14ac:dyDescent="0.25">
      <c r="A953" t="s">
        <v>2470</v>
      </c>
      <c r="B953" s="1">
        <v>45085</v>
      </c>
      <c r="C953" t="s">
        <v>2471</v>
      </c>
      <c r="D953" t="s">
        <v>22</v>
      </c>
      <c r="E953">
        <v>1037.1600000000001</v>
      </c>
      <c r="F953">
        <v>9</v>
      </c>
      <c r="G953">
        <v>311.14999999999998</v>
      </c>
      <c r="H953">
        <v>0</v>
      </c>
      <c r="I953" t="s">
        <v>2471</v>
      </c>
      <c r="J953" t="s">
        <v>2472</v>
      </c>
      <c r="K953" t="s">
        <v>24</v>
      </c>
      <c r="L953" t="s">
        <v>2473</v>
      </c>
      <c r="M953" t="s">
        <v>165</v>
      </c>
      <c r="N953" t="s">
        <v>3968</v>
      </c>
      <c r="P953">
        <f t="shared" si="14"/>
        <v>0.30000192834278216</v>
      </c>
    </row>
    <row r="954" spans="1:16" x14ac:dyDescent="0.25">
      <c r="A954" t="s">
        <v>2474</v>
      </c>
      <c r="B954" s="1">
        <v>45001</v>
      </c>
      <c r="C954" t="s">
        <v>2475</v>
      </c>
      <c r="D954" t="s">
        <v>48</v>
      </c>
      <c r="E954">
        <v>7124.67</v>
      </c>
      <c r="F954">
        <v>14</v>
      </c>
      <c r="G954">
        <v>2137.4</v>
      </c>
      <c r="H954">
        <v>0.1</v>
      </c>
      <c r="I954" t="s">
        <v>2475</v>
      </c>
      <c r="J954" t="s">
        <v>1041</v>
      </c>
      <c r="K954" t="s">
        <v>31</v>
      </c>
      <c r="L954" t="s">
        <v>99</v>
      </c>
      <c r="M954" t="s">
        <v>56</v>
      </c>
      <c r="N954" t="s">
        <v>3966</v>
      </c>
      <c r="P954">
        <f t="shared" si="14"/>
        <v>0.29999985964262205</v>
      </c>
    </row>
    <row r="955" spans="1:16" x14ac:dyDescent="0.25">
      <c r="A955" t="s">
        <v>2476</v>
      </c>
      <c r="B955" s="1">
        <v>45588</v>
      </c>
      <c r="C955" t="s">
        <v>2477</v>
      </c>
      <c r="D955" t="s">
        <v>22</v>
      </c>
      <c r="E955">
        <v>1336.94</v>
      </c>
      <c r="F955">
        <v>11</v>
      </c>
      <c r="G955">
        <v>401.08</v>
      </c>
      <c r="H955">
        <v>0</v>
      </c>
      <c r="I955" t="s">
        <v>2477</v>
      </c>
      <c r="J955" t="s">
        <v>2478</v>
      </c>
      <c r="K955" t="s">
        <v>31</v>
      </c>
      <c r="L955" t="s">
        <v>72</v>
      </c>
      <c r="M955" t="s">
        <v>26</v>
      </c>
      <c r="N955" t="s">
        <v>3966</v>
      </c>
      <c r="P955">
        <f t="shared" si="14"/>
        <v>0.29999850404655404</v>
      </c>
    </row>
    <row r="956" spans="1:16" x14ac:dyDescent="0.25">
      <c r="A956" t="s">
        <v>2479</v>
      </c>
      <c r="B956" s="1">
        <v>45800</v>
      </c>
      <c r="C956" t="s">
        <v>2480</v>
      </c>
      <c r="D956" t="s">
        <v>41</v>
      </c>
      <c r="E956">
        <v>1297.22</v>
      </c>
      <c r="F956">
        <v>9</v>
      </c>
      <c r="G956">
        <v>389.16</v>
      </c>
      <c r="H956">
        <v>0.1</v>
      </c>
      <c r="I956" t="s">
        <v>2480</v>
      </c>
      <c r="J956" t="s">
        <v>504</v>
      </c>
      <c r="K956" t="s">
        <v>17</v>
      </c>
      <c r="L956" t="s">
        <v>82</v>
      </c>
      <c r="M956" t="s">
        <v>83</v>
      </c>
      <c r="N956" t="s">
        <v>3966</v>
      </c>
      <c r="P956">
        <f t="shared" si="14"/>
        <v>0.29999537472441068</v>
      </c>
    </row>
    <row r="957" spans="1:16" x14ac:dyDescent="0.25">
      <c r="A957" t="s">
        <v>2481</v>
      </c>
      <c r="B957" s="1">
        <v>45052</v>
      </c>
      <c r="C957" t="s">
        <v>2482</v>
      </c>
      <c r="D957" t="s">
        <v>29</v>
      </c>
      <c r="E957">
        <v>2336.2800000000002</v>
      </c>
      <c r="F957">
        <v>14</v>
      </c>
      <c r="G957">
        <v>700.88</v>
      </c>
      <c r="H957">
        <v>0.05</v>
      </c>
      <c r="I957" t="s">
        <v>2482</v>
      </c>
      <c r="J957" t="s">
        <v>2483</v>
      </c>
      <c r="K957" t="s">
        <v>17</v>
      </c>
      <c r="L957" t="s">
        <v>25</v>
      </c>
      <c r="M957" t="s">
        <v>26</v>
      </c>
      <c r="N957" t="s">
        <v>3966</v>
      </c>
      <c r="P957">
        <f t="shared" si="14"/>
        <v>0.29999828787645316</v>
      </c>
    </row>
    <row r="958" spans="1:16" x14ac:dyDescent="0.25">
      <c r="A958" t="s">
        <v>2484</v>
      </c>
      <c r="B958" s="1">
        <v>45452</v>
      </c>
      <c r="C958" t="s">
        <v>2485</v>
      </c>
      <c r="D958" t="s">
        <v>91</v>
      </c>
      <c r="E958">
        <v>1837.34</v>
      </c>
      <c r="F958">
        <v>11</v>
      </c>
      <c r="G958">
        <v>551.20000000000005</v>
      </c>
      <c r="H958">
        <v>0.1</v>
      </c>
      <c r="I958" t="s">
        <v>2485</v>
      </c>
      <c r="J958" t="s">
        <v>515</v>
      </c>
      <c r="K958" t="s">
        <v>24</v>
      </c>
      <c r="L958" t="s">
        <v>72</v>
      </c>
      <c r="M958" t="s">
        <v>26</v>
      </c>
      <c r="N958" t="s">
        <v>3966</v>
      </c>
      <c r="P958">
        <f t="shared" si="14"/>
        <v>0.29999891146984231</v>
      </c>
    </row>
    <row r="959" spans="1:16" x14ac:dyDescent="0.25">
      <c r="A959" t="s">
        <v>2486</v>
      </c>
      <c r="B959" s="1">
        <v>45519</v>
      </c>
      <c r="C959" t="s">
        <v>2485</v>
      </c>
      <c r="D959" t="s">
        <v>91</v>
      </c>
      <c r="E959">
        <v>1248.21</v>
      </c>
      <c r="F959">
        <v>3</v>
      </c>
      <c r="G959">
        <v>374.46</v>
      </c>
      <c r="H959">
        <v>0.05</v>
      </c>
      <c r="I959" t="s">
        <v>2485</v>
      </c>
      <c r="J959" t="s">
        <v>515</v>
      </c>
      <c r="K959" t="s">
        <v>24</v>
      </c>
      <c r="L959" t="s">
        <v>72</v>
      </c>
      <c r="M959" t="s">
        <v>26</v>
      </c>
      <c r="N959" t="s">
        <v>3966</v>
      </c>
      <c r="P959">
        <f t="shared" si="14"/>
        <v>0.29999759655827141</v>
      </c>
    </row>
    <row r="960" spans="1:16" x14ac:dyDescent="0.25">
      <c r="A960" t="s">
        <v>2487</v>
      </c>
      <c r="B960" s="1">
        <v>45161</v>
      </c>
      <c r="C960" t="s">
        <v>2488</v>
      </c>
      <c r="D960" t="s">
        <v>41</v>
      </c>
      <c r="E960">
        <v>4198.22</v>
      </c>
      <c r="F960">
        <v>12</v>
      </c>
      <c r="G960">
        <v>1259.47</v>
      </c>
      <c r="H960">
        <v>0.15</v>
      </c>
      <c r="I960" t="s">
        <v>2488</v>
      </c>
      <c r="J960" t="s">
        <v>2118</v>
      </c>
      <c r="K960" t="s">
        <v>24</v>
      </c>
      <c r="L960" t="s">
        <v>82</v>
      </c>
      <c r="M960" t="s">
        <v>83</v>
      </c>
      <c r="N960" t="s">
        <v>3966</v>
      </c>
      <c r="P960">
        <f t="shared" si="14"/>
        <v>0.30000095278475164</v>
      </c>
    </row>
    <row r="961" spans="1:16" x14ac:dyDescent="0.25">
      <c r="A961" t="s">
        <v>2489</v>
      </c>
      <c r="B961" s="1">
        <v>45760</v>
      </c>
      <c r="C961" t="s">
        <v>2490</v>
      </c>
      <c r="D961" t="s">
        <v>15</v>
      </c>
      <c r="E961">
        <v>163.29</v>
      </c>
      <c r="F961">
        <v>1</v>
      </c>
      <c r="G961">
        <v>48.99</v>
      </c>
      <c r="H961">
        <v>0</v>
      </c>
      <c r="I961" t="s">
        <v>2490</v>
      </c>
      <c r="J961" t="s">
        <v>2356</v>
      </c>
      <c r="K961" t="s">
        <v>24</v>
      </c>
      <c r="L961" t="s">
        <v>82</v>
      </c>
      <c r="M961" t="s">
        <v>83</v>
      </c>
      <c r="N961" t="s">
        <v>3966</v>
      </c>
      <c r="P961">
        <f t="shared" si="14"/>
        <v>0.30001837222120159</v>
      </c>
    </row>
    <row r="962" spans="1:16" x14ac:dyDescent="0.25">
      <c r="A962" t="s">
        <v>2491</v>
      </c>
      <c r="B962" s="1">
        <v>45454</v>
      </c>
      <c r="C962" t="s">
        <v>2492</v>
      </c>
      <c r="D962" t="s">
        <v>29</v>
      </c>
      <c r="E962">
        <v>2557.9699999999998</v>
      </c>
      <c r="F962">
        <v>5</v>
      </c>
      <c r="G962">
        <v>767.39</v>
      </c>
      <c r="H962">
        <v>0.05</v>
      </c>
      <c r="I962" t="s">
        <v>2492</v>
      </c>
      <c r="J962" t="s">
        <v>288</v>
      </c>
      <c r="K962" t="s">
        <v>38</v>
      </c>
      <c r="L962" t="s">
        <v>82</v>
      </c>
      <c r="M962" t="s">
        <v>83</v>
      </c>
      <c r="N962" t="s">
        <v>3967</v>
      </c>
      <c r="P962">
        <f t="shared" si="14"/>
        <v>0.29999960906500078</v>
      </c>
    </row>
    <row r="963" spans="1:16" x14ac:dyDescent="0.25">
      <c r="A963" t="s">
        <v>2493</v>
      </c>
      <c r="B963" s="1">
        <v>45411</v>
      </c>
      <c r="C963" t="s">
        <v>2494</v>
      </c>
      <c r="D963" t="s">
        <v>22</v>
      </c>
      <c r="E963">
        <v>2533.91</v>
      </c>
      <c r="F963">
        <v>11</v>
      </c>
      <c r="G963">
        <v>760.17</v>
      </c>
      <c r="H963">
        <v>0.1</v>
      </c>
      <c r="I963" t="s">
        <v>2494</v>
      </c>
      <c r="J963" t="s">
        <v>2495</v>
      </c>
      <c r="K963" t="s">
        <v>24</v>
      </c>
      <c r="L963" t="s">
        <v>2496</v>
      </c>
      <c r="M963" t="s">
        <v>139</v>
      </c>
      <c r="N963" t="s">
        <v>3968</v>
      </c>
      <c r="P963">
        <f t="shared" ref="P963:P1026" si="15">G963/E963</f>
        <v>0.29999881605897605</v>
      </c>
    </row>
    <row r="964" spans="1:16" x14ac:dyDescent="0.25">
      <c r="A964" t="s">
        <v>2497</v>
      </c>
      <c r="B964" s="1">
        <v>45012</v>
      </c>
      <c r="C964" t="s">
        <v>2498</v>
      </c>
      <c r="D964" t="s">
        <v>29</v>
      </c>
      <c r="E964">
        <v>1828.39</v>
      </c>
      <c r="F964">
        <v>7</v>
      </c>
      <c r="G964">
        <v>548.52</v>
      </c>
      <c r="H964">
        <v>0.1</v>
      </c>
      <c r="I964" t="s">
        <v>2498</v>
      </c>
      <c r="J964" t="s">
        <v>2499</v>
      </c>
      <c r="K964" t="s">
        <v>24</v>
      </c>
      <c r="L964" t="s">
        <v>265</v>
      </c>
      <c r="M964" t="s">
        <v>266</v>
      </c>
      <c r="N964" t="s">
        <v>3967</v>
      </c>
      <c r="P964">
        <f t="shared" si="15"/>
        <v>0.3000016407877969</v>
      </c>
    </row>
    <row r="965" spans="1:16" x14ac:dyDescent="0.25">
      <c r="A965" t="s">
        <v>2500</v>
      </c>
      <c r="B965" s="1">
        <v>45588</v>
      </c>
      <c r="C965" t="s">
        <v>2501</v>
      </c>
      <c r="D965" t="s">
        <v>36</v>
      </c>
      <c r="E965">
        <v>3581.1</v>
      </c>
      <c r="F965">
        <v>20</v>
      </c>
      <c r="G965">
        <v>1074.33</v>
      </c>
      <c r="H965">
        <v>0.1</v>
      </c>
      <c r="I965" t="s">
        <v>2501</v>
      </c>
      <c r="J965" t="s">
        <v>2009</v>
      </c>
      <c r="K965" t="s">
        <v>31</v>
      </c>
      <c r="L965" t="s">
        <v>2469</v>
      </c>
      <c r="M965" t="s">
        <v>56</v>
      </c>
      <c r="N965" t="s">
        <v>3966</v>
      </c>
      <c r="P965">
        <f t="shared" si="15"/>
        <v>0.3</v>
      </c>
    </row>
    <row r="966" spans="1:16" x14ac:dyDescent="0.25">
      <c r="A966" t="s">
        <v>1121</v>
      </c>
      <c r="B966" s="1">
        <v>45098</v>
      </c>
      <c r="C966" t="s">
        <v>1122</v>
      </c>
      <c r="D966" t="s">
        <v>41</v>
      </c>
      <c r="E966">
        <v>5395.89</v>
      </c>
      <c r="F966">
        <v>11</v>
      </c>
      <c r="G966">
        <v>1618.77</v>
      </c>
      <c r="H966">
        <v>0.15</v>
      </c>
      <c r="I966" t="s">
        <v>1122</v>
      </c>
      <c r="J966" t="s">
        <v>1216</v>
      </c>
      <c r="K966" t="s">
        <v>31</v>
      </c>
      <c r="L966" t="s">
        <v>2502</v>
      </c>
      <c r="M966" t="s">
        <v>412</v>
      </c>
      <c r="N966" t="s">
        <v>3968</v>
      </c>
      <c r="P966">
        <f t="shared" si="15"/>
        <v>0.30000055597871711</v>
      </c>
    </row>
    <row r="967" spans="1:16" x14ac:dyDescent="0.25">
      <c r="A967" t="s">
        <v>1123</v>
      </c>
      <c r="B967" s="1">
        <v>45572</v>
      </c>
      <c r="C967" t="s">
        <v>1122</v>
      </c>
      <c r="D967" t="s">
        <v>22</v>
      </c>
      <c r="E967">
        <v>8447.1</v>
      </c>
      <c r="F967">
        <v>17</v>
      </c>
      <c r="G967">
        <v>2534.13</v>
      </c>
      <c r="H967">
        <v>0.05</v>
      </c>
      <c r="I967" t="s">
        <v>1122</v>
      </c>
      <c r="J967" t="s">
        <v>1216</v>
      </c>
      <c r="K967" t="s">
        <v>31</v>
      </c>
      <c r="L967" t="s">
        <v>2502</v>
      </c>
      <c r="M967" t="s">
        <v>412</v>
      </c>
      <c r="N967" t="s">
        <v>3968</v>
      </c>
      <c r="P967">
        <f t="shared" si="15"/>
        <v>0.3</v>
      </c>
    </row>
    <row r="968" spans="1:16" x14ac:dyDescent="0.25">
      <c r="A968" t="s">
        <v>1907</v>
      </c>
      <c r="B968" s="1">
        <v>45058</v>
      </c>
      <c r="C968" t="s">
        <v>1908</v>
      </c>
      <c r="D968" t="s">
        <v>41</v>
      </c>
      <c r="E968">
        <v>450.9</v>
      </c>
      <c r="F968">
        <v>10</v>
      </c>
      <c r="G968">
        <v>135.27000000000001</v>
      </c>
      <c r="H968">
        <v>0.1</v>
      </c>
      <c r="I968" t="s">
        <v>1908</v>
      </c>
      <c r="J968" t="s">
        <v>662</v>
      </c>
      <c r="K968" t="s">
        <v>38</v>
      </c>
      <c r="L968" t="s">
        <v>25</v>
      </c>
      <c r="M968" t="s">
        <v>26</v>
      </c>
      <c r="N968" t="s">
        <v>3968</v>
      </c>
      <c r="P968">
        <f t="shared" si="15"/>
        <v>0.30000000000000004</v>
      </c>
    </row>
    <row r="969" spans="1:16" x14ac:dyDescent="0.25">
      <c r="A969" t="s">
        <v>1910</v>
      </c>
      <c r="B969" s="1">
        <v>45425</v>
      </c>
      <c r="C969" t="s">
        <v>1908</v>
      </c>
      <c r="D969" t="s">
        <v>41</v>
      </c>
      <c r="E969">
        <v>832.13</v>
      </c>
      <c r="F969">
        <v>11</v>
      </c>
      <c r="G969">
        <v>249.64</v>
      </c>
      <c r="H969">
        <v>0.05</v>
      </c>
      <c r="I969" t="s">
        <v>1908</v>
      </c>
      <c r="J969" t="s">
        <v>662</v>
      </c>
      <c r="K969" t="s">
        <v>38</v>
      </c>
      <c r="L969" t="s">
        <v>25</v>
      </c>
      <c r="M969" t="s">
        <v>26</v>
      </c>
      <c r="N969" t="s">
        <v>3968</v>
      </c>
      <c r="P969">
        <f t="shared" si="15"/>
        <v>0.30000120173530576</v>
      </c>
    </row>
    <row r="970" spans="1:16" x14ac:dyDescent="0.25">
      <c r="A970" t="s">
        <v>2503</v>
      </c>
      <c r="B970" s="1">
        <v>45585</v>
      </c>
      <c r="C970" t="s">
        <v>2504</v>
      </c>
      <c r="D970" t="s">
        <v>41</v>
      </c>
      <c r="E970">
        <v>8955.18</v>
      </c>
      <c r="F970">
        <v>19</v>
      </c>
      <c r="G970">
        <v>2686.55</v>
      </c>
      <c r="H970">
        <v>0.15</v>
      </c>
      <c r="I970" t="s">
        <v>2504</v>
      </c>
      <c r="J970" t="s">
        <v>277</v>
      </c>
      <c r="K970" t="s">
        <v>38</v>
      </c>
      <c r="L970" t="s">
        <v>50</v>
      </c>
      <c r="M970" t="s">
        <v>51</v>
      </c>
      <c r="N970" t="s">
        <v>3968</v>
      </c>
      <c r="P970">
        <f t="shared" si="15"/>
        <v>0.29999955333114464</v>
      </c>
    </row>
    <row r="971" spans="1:16" x14ac:dyDescent="0.25">
      <c r="A971" t="s">
        <v>2505</v>
      </c>
      <c r="B971" s="1">
        <v>45386</v>
      </c>
      <c r="C971" t="s">
        <v>2506</v>
      </c>
      <c r="D971" t="s">
        <v>15</v>
      </c>
      <c r="E971">
        <v>1642.34</v>
      </c>
      <c r="F971">
        <v>14</v>
      </c>
      <c r="G971">
        <v>492.7</v>
      </c>
      <c r="H971">
        <v>0</v>
      </c>
      <c r="I971" t="s">
        <v>2506</v>
      </c>
      <c r="J971" t="s">
        <v>2044</v>
      </c>
      <c r="K971" t="s">
        <v>31</v>
      </c>
      <c r="L971" t="s">
        <v>143</v>
      </c>
      <c r="M971" t="s">
        <v>144</v>
      </c>
      <c r="N971" t="s">
        <v>3968</v>
      </c>
      <c r="P971">
        <f t="shared" si="15"/>
        <v>0.29999878222536136</v>
      </c>
    </row>
    <row r="972" spans="1:16" x14ac:dyDescent="0.25">
      <c r="A972" t="s">
        <v>2507</v>
      </c>
      <c r="B972" s="1">
        <v>45669</v>
      </c>
      <c r="C972" t="s">
        <v>2508</v>
      </c>
      <c r="D972" t="s">
        <v>91</v>
      </c>
      <c r="E972">
        <v>581.94000000000005</v>
      </c>
      <c r="F972">
        <v>3</v>
      </c>
      <c r="G972">
        <v>174.58</v>
      </c>
      <c r="H972">
        <v>0</v>
      </c>
      <c r="I972" t="s">
        <v>2508</v>
      </c>
      <c r="J972" t="s">
        <v>2509</v>
      </c>
      <c r="K972" t="s">
        <v>38</v>
      </c>
      <c r="L972" t="s">
        <v>488</v>
      </c>
      <c r="M972" t="s">
        <v>26</v>
      </c>
      <c r="N972" t="s">
        <v>3966</v>
      </c>
      <c r="P972">
        <f t="shared" si="15"/>
        <v>0.29999656321957591</v>
      </c>
    </row>
    <row r="973" spans="1:16" x14ac:dyDescent="0.25">
      <c r="A973" t="s">
        <v>2510</v>
      </c>
      <c r="B973" s="1">
        <v>45131</v>
      </c>
      <c r="C973" t="s">
        <v>2511</v>
      </c>
      <c r="D973" t="s">
        <v>22</v>
      </c>
      <c r="E973">
        <v>7350.34</v>
      </c>
      <c r="F973">
        <v>20</v>
      </c>
      <c r="G973">
        <v>2205.1</v>
      </c>
      <c r="H973">
        <v>0.05</v>
      </c>
      <c r="I973" t="s">
        <v>2511</v>
      </c>
      <c r="J973" t="s">
        <v>1339</v>
      </c>
      <c r="K973" t="s">
        <v>24</v>
      </c>
      <c r="L973" t="s">
        <v>2182</v>
      </c>
      <c r="M973" t="s">
        <v>160</v>
      </c>
      <c r="N973" t="s">
        <v>3966</v>
      </c>
      <c r="P973">
        <f t="shared" si="15"/>
        <v>0.29999972790374319</v>
      </c>
    </row>
    <row r="974" spans="1:16" x14ac:dyDescent="0.25">
      <c r="A974" t="s">
        <v>2256</v>
      </c>
      <c r="B974" s="1">
        <v>45178</v>
      </c>
      <c r="C974" t="s">
        <v>2257</v>
      </c>
      <c r="D974" t="s">
        <v>36</v>
      </c>
      <c r="E974">
        <v>975.96</v>
      </c>
      <c r="F974">
        <v>12</v>
      </c>
      <c r="G974">
        <v>292.79000000000002</v>
      </c>
      <c r="H974">
        <v>0</v>
      </c>
      <c r="I974" t="s">
        <v>2257</v>
      </c>
      <c r="J974" t="s">
        <v>49</v>
      </c>
      <c r="K974" t="s">
        <v>31</v>
      </c>
      <c r="L974" t="s">
        <v>82</v>
      </c>
      <c r="M974" t="s">
        <v>83</v>
      </c>
      <c r="N974" t="s">
        <v>3966</v>
      </c>
      <c r="P974">
        <f t="shared" si="15"/>
        <v>0.30000204926431412</v>
      </c>
    </row>
    <row r="975" spans="1:16" x14ac:dyDescent="0.25">
      <c r="A975" t="s">
        <v>2259</v>
      </c>
      <c r="B975" s="1">
        <v>45300</v>
      </c>
      <c r="C975" t="s">
        <v>2257</v>
      </c>
      <c r="D975" t="s">
        <v>48</v>
      </c>
      <c r="E975">
        <v>6512.02</v>
      </c>
      <c r="F975">
        <v>19</v>
      </c>
      <c r="G975">
        <v>1953.61</v>
      </c>
      <c r="H975">
        <v>0.1</v>
      </c>
      <c r="I975" t="s">
        <v>2257</v>
      </c>
      <c r="J975" t="s">
        <v>49</v>
      </c>
      <c r="K975" t="s">
        <v>31</v>
      </c>
      <c r="L975" t="s">
        <v>82</v>
      </c>
      <c r="M975" t="s">
        <v>83</v>
      </c>
      <c r="N975" t="s">
        <v>3966</v>
      </c>
      <c r="P975">
        <f t="shared" si="15"/>
        <v>0.3000006142487277</v>
      </c>
    </row>
    <row r="976" spans="1:16" x14ac:dyDescent="0.25">
      <c r="A976" t="s">
        <v>2512</v>
      </c>
      <c r="B976" s="1">
        <v>45402</v>
      </c>
      <c r="C976" t="s">
        <v>2513</v>
      </c>
      <c r="D976" t="s">
        <v>41</v>
      </c>
      <c r="E976">
        <v>2340.2600000000002</v>
      </c>
      <c r="F976">
        <v>5</v>
      </c>
      <c r="G976">
        <v>702.08</v>
      </c>
      <c r="H976">
        <v>0.15</v>
      </c>
      <c r="I976" t="s">
        <v>2513</v>
      </c>
      <c r="J976" t="s">
        <v>2514</v>
      </c>
      <c r="K976" t="s">
        <v>17</v>
      </c>
      <c r="L976" t="s">
        <v>72</v>
      </c>
      <c r="M976" t="s">
        <v>26</v>
      </c>
      <c r="N976" t="s">
        <v>3968</v>
      </c>
      <c r="P976">
        <f t="shared" si="15"/>
        <v>0.30000085460589848</v>
      </c>
    </row>
    <row r="977" spans="1:16" x14ac:dyDescent="0.25">
      <c r="A977" t="s">
        <v>2207</v>
      </c>
      <c r="B977" s="1">
        <v>45694</v>
      </c>
      <c r="C977" t="s">
        <v>2208</v>
      </c>
      <c r="D977" t="s">
        <v>41</v>
      </c>
      <c r="E977">
        <v>1800.86</v>
      </c>
      <c r="F977">
        <v>4</v>
      </c>
      <c r="G977">
        <v>540.26</v>
      </c>
      <c r="H977">
        <v>0.05</v>
      </c>
      <c r="I977" t="s">
        <v>2208</v>
      </c>
      <c r="J977" t="s">
        <v>823</v>
      </c>
      <c r="K977" t="s">
        <v>71</v>
      </c>
      <c r="L977" t="s">
        <v>99</v>
      </c>
      <c r="M977" t="s">
        <v>56</v>
      </c>
      <c r="N977" t="s">
        <v>3968</v>
      </c>
      <c r="P977">
        <f t="shared" si="15"/>
        <v>0.30000111058050044</v>
      </c>
    </row>
    <row r="978" spans="1:16" x14ac:dyDescent="0.25">
      <c r="A978" t="s">
        <v>2209</v>
      </c>
      <c r="B978" s="1">
        <v>44997</v>
      </c>
      <c r="C978" t="s">
        <v>2208</v>
      </c>
      <c r="D978" t="s">
        <v>91</v>
      </c>
      <c r="E978">
        <v>532.20000000000005</v>
      </c>
      <c r="F978">
        <v>6</v>
      </c>
      <c r="G978">
        <v>159.66</v>
      </c>
      <c r="H978">
        <v>0</v>
      </c>
      <c r="I978" t="s">
        <v>2208</v>
      </c>
      <c r="J978" t="s">
        <v>823</v>
      </c>
      <c r="K978" t="s">
        <v>71</v>
      </c>
      <c r="L978" t="s">
        <v>99</v>
      </c>
      <c r="M978" t="s">
        <v>56</v>
      </c>
      <c r="N978" t="s">
        <v>3966</v>
      </c>
      <c r="P978">
        <f t="shared" si="15"/>
        <v>0.3</v>
      </c>
    </row>
    <row r="979" spans="1:16" x14ac:dyDescent="0.25">
      <c r="A979" t="s">
        <v>2515</v>
      </c>
      <c r="B979" s="1">
        <v>45095</v>
      </c>
      <c r="C979" t="s">
        <v>2516</v>
      </c>
      <c r="D979" t="s">
        <v>91</v>
      </c>
      <c r="E979">
        <v>479.18</v>
      </c>
      <c r="F979">
        <v>19</v>
      </c>
      <c r="G979">
        <v>143.75</v>
      </c>
      <c r="H979">
        <v>0</v>
      </c>
      <c r="I979" t="s">
        <v>2516</v>
      </c>
      <c r="J979" t="s">
        <v>2456</v>
      </c>
      <c r="K979" t="s">
        <v>71</v>
      </c>
      <c r="L979" t="s">
        <v>155</v>
      </c>
      <c r="M979" t="s">
        <v>111</v>
      </c>
      <c r="N979" t="s">
        <v>3967</v>
      </c>
      <c r="P979">
        <f t="shared" si="15"/>
        <v>0.29999165240619391</v>
      </c>
    </row>
    <row r="980" spans="1:16" x14ac:dyDescent="0.25">
      <c r="A980" t="s">
        <v>2517</v>
      </c>
      <c r="B980" s="1">
        <v>45597</v>
      </c>
      <c r="C980" t="s">
        <v>2518</v>
      </c>
      <c r="D980" t="s">
        <v>22</v>
      </c>
      <c r="E980">
        <v>874.08</v>
      </c>
      <c r="F980">
        <v>2</v>
      </c>
      <c r="G980">
        <v>262.22000000000003</v>
      </c>
      <c r="H980">
        <v>0</v>
      </c>
      <c r="I980" t="s">
        <v>2518</v>
      </c>
      <c r="J980" t="s">
        <v>1240</v>
      </c>
      <c r="K980" t="s">
        <v>31</v>
      </c>
      <c r="L980" t="s">
        <v>72</v>
      </c>
      <c r="M980" t="s">
        <v>26</v>
      </c>
      <c r="N980" t="s">
        <v>3966</v>
      </c>
      <c r="P980">
        <f t="shared" si="15"/>
        <v>0.29999542375983895</v>
      </c>
    </row>
    <row r="981" spans="1:16" x14ac:dyDescent="0.25">
      <c r="A981" t="s">
        <v>2519</v>
      </c>
      <c r="B981" s="1">
        <v>45516</v>
      </c>
      <c r="C981" t="s">
        <v>2520</v>
      </c>
      <c r="D981" t="s">
        <v>29</v>
      </c>
      <c r="E981">
        <v>1907.66</v>
      </c>
      <c r="F981">
        <v>5</v>
      </c>
      <c r="G981">
        <v>572.29999999999995</v>
      </c>
      <c r="H981">
        <v>0.15</v>
      </c>
      <c r="I981" t="s">
        <v>2520</v>
      </c>
      <c r="J981" t="s">
        <v>1073</v>
      </c>
      <c r="K981" t="s">
        <v>71</v>
      </c>
      <c r="L981" t="s">
        <v>143</v>
      </c>
      <c r="M981" t="s">
        <v>144</v>
      </c>
      <c r="N981" t="s">
        <v>3967</v>
      </c>
      <c r="P981">
        <f t="shared" si="15"/>
        <v>0.30000104840485198</v>
      </c>
    </row>
    <row r="982" spans="1:16" x14ac:dyDescent="0.25">
      <c r="A982" t="s">
        <v>2521</v>
      </c>
      <c r="B982" s="1">
        <v>45168</v>
      </c>
      <c r="C982" t="s">
        <v>2522</v>
      </c>
      <c r="D982" t="s">
        <v>22</v>
      </c>
      <c r="E982">
        <v>183.43</v>
      </c>
      <c r="F982">
        <v>1</v>
      </c>
      <c r="G982">
        <v>55.03</v>
      </c>
      <c r="H982">
        <v>0.05</v>
      </c>
      <c r="I982" t="s">
        <v>2522</v>
      </c>
      <c r="J982" t="s">
        <v>887</v>
      </c>
      <c r="K982" t="s">
        <v>38</v>
      </c>
      <c r="L982" t="s">
        <v>143</v>
      </c>
      <c r="M982" t="s">
        <v>144</v>
      </c>
      <c r="N982" t="s">
        <v>3966</v>
      </c>
      <c r="P982">
        <f t="shared" si="15"/>
        <v>0.30000545167093712</v>
      </c>
    </row>
    <row r="983" spans="1:16" x14ac:dyDescent="0.25">
      <c r="A983" t="s">
        <v>2523</v>
      </c>
      <c r="B983" s="1">
        <v>45755</v>
      </c>
      <c r="C983" t="s">
        <v>2522</v>
      </c>
      <c r="D983" t="s">
        <v>22</v>
      </c>
      <c r="E983">
        <v>4199.16</v>
      </c>
      <c r="F983">
        <v>14</v>
      </c>
      <c r="G983">
        <v>1259.75</v>
      </c>
      <c r="H983">
        <v>0</v>
      </c>
      <c r="I983" t="s">
        <v>2522</v>
      </c>
      <c r="J983" t="s">
        <v>887</v>
      </c>
      <c r="K983" t="s">
        <v>38</v>
      </c>
      <c r="L983" t="s">
        <v>143</v>
      </c>
      <c r="M983" t="s">
        <v>144</v>
      </c>
      <c r="N983" t="s">
        <v>3966</v>
      </c>
      <c r="P983">
        <f t="shared" si="15"/>
        <v>0.30000047628573334</v>
      </c>
    </row>
    <row r="984" spans="1:16" x14ac:dyDescent="0.25">
      <c r="A984" t="s">
        <v>2524</v>
      </c>
      <c r="B984" s="1">
        <v>45493</v>
      </c>
      <c r="C984" t="s">
        <v>2525</v>
      </c>
      <c r="D984" t="s">
        <v>15</v>
      </c>
      <c r="E984">
        <v>1524.42</v>
      </c>
      <c r="F984">
        <v>8</v>
      </c>
      <c r="G984">
        <v>457.33</v>
      </c>
      <c r="H984">
        <v>0.15</v>
      </c>
      <c r="I984" t="s">
        <v>2525</v>
      </c>
      <c r="J984" t="s">
        <v>228</v>
      </c>
      <c r="K984" t="s">
        <v>38</v>
      </c>
      <c r="L984" t="s">
        <v>155</v>
      </c>
      <c r="M984" t="s">
        <v>111</v>
      </c>
      <c r="N984" t="s">
        <v>3966</v>
      </c>
      <c r="P984">
        <f t="shared" si="15"/>
        <v>0.30000262394878052</v>
      </c>
    </row>
    <row r="985" spans="1:16" x14ac:dyDescent="0.25">
      <c r="A985" t="s">
        <v>2526</v>
      </c>
      <c r="B985" s="1">
        <v>44974</v>
      </c>
      <c r="C985" t="s">
        <v>2527</v>
      </c>
      <c r="D985" t="s">
        <v>29</v>
      </c>
      <c r="E985">
        <v>1867.83</v>
      </c>
      <c r="F985">
        <v>6</v>
      </c>
      <c r="G985">
        <v>560.35</v>
      </c>
      <c r="H985">
        <v>0.05</v>
      </c>
      <c r="I985" t="s">
        <v>2527</v>
      </c>
      <c r="J985" t="s">
        <v>1161</v>
      </c>
      <c r="K985" t="s">
        <v>71</v>
      </c>
      <c r="L985" t="s">
        <v>82</v>
      </c>
      <c r="M985" t="s">
        <v>83</v>
      </c>
      <c r="N985" t="s">
        <v>3966</v>
      </c>
      <c r="P985">
        <f t="shared" si="15"/>
        <v>0.30000053538062887</v>
      </c>
    </row>
    <row r="986" spans="1:16" x14ac:dyDescent="0.25">
      <c r="A986" t="s">
        <v>2528</v>
      </c>
      <c r="B986" s="1">
        <v>45475</v>
      </c>
      <c r="C986" t="s">
        <v>2529</v>
      </c>
      <c r="D986" t="s">
        <v>22</v>
      </c>
      <c r="E986">
        <v>3285.25</v>
      </c>
      <c r="F986">
        <v>8</v>
      </c>
      <c r="G986">
        <v>985.58</v>
      </c>
      <c r="H986">
        <v>0.05</v>
      </c>
      <c r="I986" t="s">
        <v>2529</v>
      </c>
      <c r="J986" t="s">
        <v>2530</v>
      </c>
      <c r="K986" t="s">
        <v>17</v>
      </c>
      <c r="L986" t="s">
        <v>455</v>
      </c>
      <c r="M986" t="s">
        <v>266</v>
      </c>
      <c r="N986" t="s">
        <v>3968</v>
      </c>
      <c r="P986">
        <f t="shared" si="15"/>
        <v>0.30000152195418917</v>
      </c>
    </row>
    <row r="987" spans="1:16" x14ac:dyDescent="0.25">
      <c r="A987" t="s">
        <v>2531</v>
      </c>
      <c r="B987" s="1">
        <v>45748</v>
      </c>
      <c r="C987" t="s">
        <v>2532</v>
      </c>
      <c r="D987" t="s">
        <v>48</v>
      </c>
      <c r="E987">
        <v>849.93</v>
      </c>
      <c r="F987">
        <v>4</v>
      </c>
      <c r="G987">
        <v>254.98</v>
      </c>
      <c r="H987">
        <v>0.15</v>
      </c>
      <c r="I987" t="s">
        <v>2532</v>
      </c>
      <c r="J987" t="s">
        <v>1037</v>
      </c>
      <c r="K987" t="s">
        <v>31</v>
      </c>
      <c r="L987" t="s">
        <v>164</v>
      </c>
      <c r="M987" t="s">
        <v>165</v>
      </c>
      <c r="N987" t="s">
        <v>3968</v>
      </c>
      <c r="P987">
        <f t="shared" si="15"/>
        <v>0.30000117656748204</v>
      </c>
    </row>
    <row r="988" spans="1:16" x14ac:dyDescent="0.25">
      <c r="A988" t="s">
        <v>2533</v>
      </c>
      <c r="B988" s="1">
        <v>45810</v>
      </c>
      <c r="C988" t="s">
        <v>2534</v>
      </c>
      <c r="D988" t="s">
        <v>41</v>
      </c>
      <c r="E988">
        <v>2312.29</v>
      </c>
      <c r="F988">
        <v>14</v>
      </c>
      <c r="G988">
        <v>693.69</v>
      </c>
      <c r="H988">
        <v>0.15</v>
      </c>
      <c r="I988" t="s">
        <v>2534</v>
      </c>
      <c r="J988" t="s">
        <v>2179</v>
      </c>
      <c r="K988" t="s">
        <v>24</v>
      </c>
      <c r="L988" t="s">
        <v>864</v>
      </c>
      <c r="M988" t="s">
        <v>44</v>
      </c>
      <c r="N988" t="s">
        <v>3968</v>
      </c>
      <c r="P988">
        <f t="shared" si="15"/>
        <v>0.30000129741511666</v>
      </c>
    </row>
    <row r="989" spans="1:16" x14ac:dyDescent="0.25">
      <c r="A989" t="s">
        <v>2535</v>
      </c>
      <c r="B989" s="1">
        <v>45617</v>
      </c>
      <c r="C989" t="s">
        <v>2536</v>
      </c>
      <c r="D989" t="s">
        <v>22</v>
      </c>
      <c r="E989">
        <v>346.45</v>
      </c>
      <c r="F989">
        <v>5</v>
      </c>
      <c r="G989">
        <v>103.94</v>
      </c>
      <c r="H989">
        <v>0</v>
      </c>
      <c r="I989" t="s">
        <v>2536</v>
      </c>
      <c r="J989" t="s">
        <v>484</v>
      </c>
      <c r="K989" t="s">
        <v>71</v>
      </c>
      <c r="L989" t="s">
        <v>427</v>
      </c>
      <c r="M989" t="s">
        <v>56</v>
      </c>
      <c r="N989" t="s">
        <v>3966</v>
      </c>
      <c r="P989">
        <f t="shared" si="15"/>
        <v>0.3000144320969837</v>
      </c>
    </row>
    <row r="990" spans="1:16" x14ac:dyDescent="0.25">
      <c r="A990" t="s">
        <v>2537</v>
      </c>
      <c r="B990" s="1">
        <v>45301</v>
      </c>
      <c r="C990" t="s">
        <v>2538</v>
      </c>
      <c r="D990" t="s">
        <v>41</v>
      </c>
      <c r="E990">
        <v>4603.6499999999996</v>
      </c>
      <c r="F990">
        <v>15</v>
      </c>
      <c r="G990">
        <v>1381.1</v>
      </c>
      <c r="H990">
        <v>0</v>
      </c>
      <c r="I990" t="s">
        <v>2538</v>
      </c>
      <c r="J990" t="s">
        <v>715</v>
      </c>
      <c r="K990" t="s">
        <v>24</v>
      </c>
      <c r="L990" t="s">
        <v>774</v>
      </c>
      <c r="M990" t="s">
        <v>44</v>
      </c>
      <c r="N990" t="s">
        <v>3967</v>
      </c>
      <c r="P990">
        <f t="shared" si="15"/>
        <v>0.3000010860947292</v>
      </c>
    </row>
    <row r="991" spans="1:16" x14ac:dyDescent="0.25">
      <c r="A991" t="s">
        <v>2539</v>
      </c>
      <c r="B991" s="1">
        <v>45220</v>
      </c>
      <c r="C991" t="s">
        <v>2540</v>
      </c>
      <c r="D991" t="s">
        <v>29</v>
      </c>
      <c r="E991">
        <v>1327.02</v>
      </c>
      <c r="F991">
        <v>4</v>
      </c>
      <c r="G991">
        <v>398.11</v>
      </c>
      <c r="H991">
        <v>0.15</v>
      </c>
      <c r="I991" t="s">
        <v>2540</v>
      </c>
      <c r="J991" t="s">
        <v>473</v>
      </c>
      <c r="K991" t="s">
        <v>31</v>
      </c>
      <c r="L991" t="s">
        <v>72</v>
      </c>
      <c r="M991" t="s">
        <v>26</v>
      </c>
      <c r="N991" t="s">
        <v>3967</v>
      </c>
      <c r="P991">
        <f t="shared" si="15"/>
        <v>0.30000301427258069</v>
      </c>
    </row>
    <row r="992" spans="1:16" x14ac:dyDescent="0.25">
      <c r="A992" t="s">
        <v>2541</v>
      </c>
      <c r="B992" s="1">
        <v>45677</v>
      </c>
      <c r="C992" t="s">
        <v>2542</v>
      </c>
      <c r="D992" t="s">
        <v>22</v>
      </c>
      <c r="E992">
        <v>432.81</v>
      </c>
      <c r="F992">
        <v>7</v>
      </c>
      <c r="G992">
        <v>129.84</v>
      </c>
      <c r="H992">
        <v>0</v>
      </c>
      <c r="I992" t="s">
        <v>2542</v>
      </c>
      <c r="J992" t="s">
        <v>2543</v>
      </c>
      <c r="K992" t="s">
        <v>31</v>
      </c>
      <c r="L992" t="s">
        <v>488</v>
      </c>
      <c r="M992" t="s">
        <v>26</v>
      </c>
      <c r="N992" t="s">
        <v>3968</v>
      </c>
      <c r="P992">
        <f t="shared" si="15"/>
        <v>0.29999306855202051</v>
      </c>
    </row>
    <row r="993" spans="1:16" x14ac:dyDescent="0.25">
      <c r="A993" t="s">
        <v>2544</v>
      </c>
      <c r="B993" s="1">
        <v>45605</v>
      </c>
      <c r="C993" t="s">
        <v>2545</v>
      </c>
      <c r="D993" t="s">
        <v>48</v>
      </c>
      <c r="E993">
        <v>554.08000000000004</v>
      </c>
      <c r="F993">
        <v>7</v>
      </c>
      <c r="G993">
        <v>166.22</v>
      </c>
      <c r="H993">
        <v>0.05</v>
      </c>
      <c r="I993" t="s">
        <v>2545</v>
      </c>
      <c r="J993" t="s">
        <v>2364</v>
      </c>
      <c r="K993" t="s">
        <v>71</v>
      </c>
      <c r="L993" t="s">
        <v>82</v>
      </c>
      <c r="M993" t="s">
        <v>83</v>
      </c>
      <c r="N993" t="s">
        <v>3966</v>
      </c>
      <c r="P993">
        <f t="shared" si="15"/>
        <v>0.2999927808258735</v>
      </c>
    </row>
    <row r="994" spans="1:16" x14ac:dyDescent="0.25">
      <c r="A994" t="s">
        <v>2546</v>
      </c>
      <c r="B994" s="1">
        <v>45385</v>
      </c>
      <c r="C994" t="s">
        <v>2547</v>
      </c>
      <c r="D994" t="s">
        <v>48</v>
      </c>
      <c r="E994">
        <v>2139.63</v>
      </c>
      <c r="F994">
        <v>4</v>
      </c>
      <c r="G994">
        <v>641.89</v>
      </c>
      <c r="H994">
        <v>0.05</v>
      </c>
      <c r="I994" t="s">
        <v>2547</v>
      </c>
      <c r="J994" t="s">
        <v>1275</v>
      </c>
      <c r="K994" t="s">
        <v>71</v>
      </c>
      <c r="L994" t="s">
        <v>206</v>
      </c>
      <c r="M994" t="s">
        <v>144</v>
      </c>
      <c r="N994" t="s">
        <v>3966</v>
      </c>
      <c r="P994">
        <f t="shared" si="15"/>
        <v>0.30000046737052666</v>
      </c>
    </row>
    <row r="995" spans="1:16" x14ac:dyDescent="0.25">
      <c r="A995" t="s">
        <v>2548</v>
      </c>
      <c r="B995" s="1">
        <v>45297</v>
      </c>
      <c r="C995" t="s">
        <v>2549</v>
      </c>
      <c r="D995" t="s">
        <v>22</v>
      </c>
      <c r="E995">
        <v>2832.67</v>
      </c>
      <c r="F995">
        <v>13</v>
      </c>
      <c r="G995">
        <v>849.8</v>
      </c>
      <c r="H995">
        <v>0.15</v>
      </c>
      <c r="I995" t="s">
        <v>2549</v>
      </c>
      <c r="J995" t="s">
        <v>838</v>
      </c>
      <c r="K995" t="s">
        <v>31</v>
      </c>
      <c r="L995" t="s">
        <v>774</v>
      </c>
      <c r="M995" t="s">
        <v>44</v>
      </c>
      <c r="N995" t="s">
        <v>3966</v>
      </c>
      <c r="P995">
        <f t="shared" si="15"/>
        <v>0.29999964697617437</v>
      </c>
    </row>
    <row r="996" spans="1:16" x14ac:dyDescent="0.25">
      <c r="A996" t="s">
        <v>2550</v>
      </c>
      <c r="B996" s="1">
        <v>45140</v>
      </c>
      <c r="C996" t="s">
        <v>2551</v>
      </c>
      <c r="D996" t="s">
        <v>41</v>
      </c>
      <c r="E996">
        <v>2592.87</v>
      </c>
      <c r="F996">
        <v>9</v>
      </c>
      <c r="G996">
        <v>777.86</v>
      </c>
      <c r="H996">
        <v>0.05</v>
      </c>
      <c r="I996" t="s">
        <v>2551</v>
      </c>
      <c r="J996" t="s">
        <v>2552</v>
      </c>
      <c r="K996" t="s">
        <v>38</v>
      </c>
      <c r="L996" t="s">
        <v>99</v>
      </c>
      <c r="M996" t="s">
        <v>56</v>
      </c>
      <c r="N996" t="s">
        <v>3967</v>
      </c>
      <c r="P996">
        <f t="shared" si="15"/>
        <v>0.2999996143269813</v>
      </c>
    </row>
    <row r="997" spans="1:16" x14ac:dyDescent="0.25">
      <c r="A997" t="s">
        <v>2553</v>
      </c>
      <c r="B997" s="1">
        <v>45256</v>
      </c>
      <c r="C997" t="s">
        <v>2554</v>
      </c>
      <c r="D997" t="s">
        <v>36</v>
      </c>
      <c r="E997">
        <v>3369.67</v>
      </c>
      <c r="F997">
        <v>9</v>
      </c>
      <c r="G997">
        <v>1010.9</v>
      </c>
      <c r="H997">
        <v>0.15</v>
      </c>
      <c r="I997" t="s">
        <v>2554</v>
      </c>
      <c r="J997" t="s">
        <v>1045</v>
      </c>
      <c r="K997" t="s">
        <v>31</v>
      </c>
      <c r="L997" t="s">
        <v>361</v>
      </c>
      <c r="M997" t="s">
        <v>56</v>
      </c>
      <c r="N997" t="s">
        <v>3967</v>
      </c>
      <c r="P997">
        <f t="shared" si="15"/>
        <v>0.29999970323503489</v>
      </c>
    </row>
    <row r="998" spans="1:16" x14ac:dyDescent="0.25">
      <c r="A998" t="s">
        <v>2555</v>
      </c>
      <c r="B998" s="1">
        <v>45767</v>
      </c>
      <c r="C998" t="s">
        <v>2556</v>
      </c>
      <c r="D998" t="s">
        <v>29</v>
      </c>
      <c r="E998">
        <v>7578.39</v>
      </c>
      <c r="F998">
        <v>17</v>
      </c>
      <c r="G998">
        <v>2273.52</v>
      </c>
      <c r="H998">
        <v>0.05</v>
      </c>
      <c r="I998" t="s">
        <v>2556</v>
      </c>
      <c r="J998" t="s">
        <v>2557</v>
      </c>
      <c r="K998" t="s">
        <v>17</v>
      </c>
      <c r="L998" t="s">
        <v>1716</v>
      </c>
      <c r="M998" t="s">
        <v>26</v>
      </c>
      <c r="N998" t="s">
        <v>3966</v>
      </c>
      <c r="P998">
        <f t="shared" si="15"/>
        <v>0.3000003958624457</v>
      </c>
    </row>
    <row r="999" spans="1:16" x14ac:dyDescent="0.25">
      <c r="A999" t="s">
        <v>2558</v>
      </c>
      <c r="B999" s="1">
        <v>45289</v>
      </c>
      <c r="C999" t="s">
        <v>2559</v>
      </c>
      <c r="D999" t="s">
        <v>36</v>
      </c>
      <c r="E999">
        <v>7523.93</v>
      </c>
      <c r="F999">
        <v>18</v>
      </c>
      <c r="G999">
        <v>2257.1799999999998</v>
      </c>
      <c r="H999">
        <v>0.15</v>
      </c>
      <c r="I999" t="s">
        <v>2559</v>
      </c>
      <c r="J999" t="s">
        <v>446</v>
      </c>
      <c r="K999" t="s">
        <v>24</v>
      </c>
      <c r="L999" t="s">
        <v>72</v>
      </c>
      <c r="M999" t="s">
        <v>26</v>
      </c>
      <c r="N999" t="s">
        <v>3966</v>
      </c>
      <c r="P999">
        <f t="shared" si="15"/>
        <v>0.30000013290926414</v>
      </c>
    </row>
    <row r="1000" spans="1:16" x14ac:dyDescent="0.25">
      <c r="A1000" t="s">
        <v>2560</v>
      </c>
      <c r="B1000" s="1">
        <v>45665</v>
      </c>
      <c r="C1000" t="s">
        <v>2561</v>
      </c>
      <c r="D1000" t="s">
        <v>36</v>
      </c>
      <c r="E1000">
        <v>8398.1200000000008</v>
      </c>
      <c r="F1000">
        <v>19</v>
      </c>
      <c r="G1000">
        <v>2519.44</v>
      </c>
      <c r="H1000">
        <v>0.05</v>
      </c>
      <c r="I1000" t="s">
        <v>2561</v>
      </c>
      <c r="J1000" t="s">
        <v>2368</v>
      </c>
      <c r="K1000" t="s">
        <v>38</v>
      </c>
      <c r="L1000" t="s">
        <v>55</v>
      </c>
      <c r="M1000" t="s">
        <v>56</v>
      </c>
      <c r="N1000" t="s">
        <v>3966</v>
      </c>
      <c r="P1000">
        <f t="shared" si="15"/>
        <v>0.30000047629707599</v>
      </c>
    </row>
    <row r="1001" spans="1:16" x14ac:dyDescent="0.25">
      <c r="A1001" t="s">
        <v>2562</v>
      </c>
      <c r="B1001" s="1">
        <v>45418</v>
      </c>
      <c r="C1001" t="s">
        <v>2563</v>
      </c>
      <c r="D1001" t="s">
        <v>36</v>
      </c>
      <c r="E1001">
        <v>6186.24</v>
      </c>
      <c r="F1001">
        <v>18</v>
      </c>
      <c r="G1001">
        <v>1855.87</v>
      </c>
      <c r="H1001">
        <v>0</v>
      </c>
      <c r="I1001" t="s">
        <v>2563</v>
      </c>
      <c r="J1001" t="s">
        <v>1583</v>
      </c>
      <c r="K1001" t="s">
        <v>17</v>
      </c>
      <c r="L1001" t="s">
        <v>99</v>
      </c>
      <c r="M1001" t="s">
        <v>56</v>
      </c>
      <c r="N1001" t="s">
        <v>3966</v>
      </c>
      <c r="P1001">
        <f t="shared" si="15"/>
        <v>0.29999967670184152</v>
      </c>
    </row>
    <row r="1002" spans="1:16" x14ac:dyDescent="0.25">
      <c r="A1002" t="s">
        <v>2564</v>
      </c>
      <c r="B1002" s="1">
        <v>45550</v>
      </c>
      <c r="C1002" t="s">
        <v>2565</v>
      </c>
      <c r="D1002" t="s">
        <v>29</v>
      </c>
      <c r="E1002">
        <v>6284.38</v>
      </c>
      <c r="F1002">
        <v>14</v>
      </c>
      <c r="G1002">
        <v>1885.31</v>
      </c>
      <c r="H1002">
        <v>0.05</v>
      </c>
      <c r="I1002" t="s">
        <v>2565</v>
      </c>
      <c r="J1002" t="s">
        <v>2566</v>
      </c>
      <c r="K1002" t="s">
        <v>31</v>
      </c>
      <c r="L1002" t="s">
        <v>99</v>
      </c>
      <c r="M1002" t="s">
        <v>56</v>
      </c>
      <c r="N1002" t="s">
        <v>3968</v>
      </c>
      <c r="P1002">
        <f t="shared" si="15"/>
        <v>0.29999936350125228</v>
      </c>
    </row>
    <row r="1003" spans="1:16" x14ac:dyDescent="0.25">
      <c r="A1003" t="s">
        <v>2567</v>
      </c>
      <c r="B1003" s="1">
        <v>44964</v>
      </c>
      <c r="C1003" t="s">
        <v>2568</v>
      </c>
      <c r="D1003" t="s">
        <v>15</v>
      </c>
      <c r="E1003">
        <v>2565.36</v>
      </c>
      <c r="F1003">
        <v>20</v>
      </c>
      <c r="G1003">
        <v>769.61</v>
      </c>
      <c r="H1003">
        <v>0.1</v>
      </c>
      <c r="I1003" t="s">
        <v>2568</v>
      </c>
      <c r="J1003" t="s">
        <v>2172</v>
      </c>
      <c r="K1003" t="s">
        <v>71</v>
      </c>
      <c r="L1003" t="s">
        <v>82</v>
      </c>
      <c r="M1003" t="s">
        <v>83</v>
      </c>
      <c r="N1003" t="s">
        <v>3966</v>
      </c>
      <c r="P1003">
        <f t="shared" si="15"/>
        <v>0.30000077961767546</v>
      </c>
    </row>
    <row r="1004" spans="1:16" x14ac:dyDescent="0.25">
      <c r="A1004" t="s">
        <v>725</v>
      </c>
      <c r="B1004" s="1">
        <v>44986</v>
      </c>
      <c r="C1004" t="s">
        <v>726</v>
      </c>
      <c r="D1004" t="s">
        <v>22</v>
      </c>
      <c r="E1004">
        <v>29.85</v>
      </c>
      <c r="F1004">
        <v>1</v>
      </c>
      <c r="G1004">
        <v>8.9499999999999993</v>
      </c>
      <c r="H1004">
        <v>0.05</v>
      </c>
      <c r="I1004" t="s">
        <v>726</v>
      </c>
      <c r="J1004" t="s">
        <v>662</v>
      </c>
      <c r="K1004" t="s">
        <v>17</v>
      </c>
      <c r="L1004" t="s">
        <v>488</v>
      </c>
      <c r="M1004" t="s">
        <v>26</v>
      </c>
      <c r="N1004" t="s">
        <v>3966</v>
      </c>
      <c r="P1004">
        <f t="shared" si="15"/>
        <v>0.29983249581239529</v>
      </c>
    </row>
    <row r="1005" spans="1:16" x14ac:dyDescent="0.25">
      <c r="A1005" t="s">
        <v>728</v>
      </c>
      <c r="B1005" s="1">
        <v>45104</v>
      </c>
      <c r="C1005" t="s">
        <v>726</v>
      </c>
      <c r="D1005" t="s">
        <v>29</v>
      </c>
      <c r="E1005">
        <v>6458.54</v>
      </c>
      <c r="F1005">
        <v>15</v>
      </c>
      <c r="G1005">
        <v>1937.56</v>
      </c>
      <c r="H1005">
        <v>0.1</v>
      </c>
      <c r="I1005" t="s">
        <v>726</v>
      </c>
      <c r="J1005" t="s">
        <v>662</v>
      </c>
      <c r="K1005" t="s">
        <v>17</v>
      </c>
      <c r="L1005" t="s">
        <v>488</v>
      </c>
      <c r="M1005" t="s">
        <v>26</v>
      </c>
      <c r="N1005" t="s">
        <v>3966</v>
      </c>
      <c r="P1005">
        <f t="shared" si="15"/>
        <v>0.29999969033249002</v>
      </c>
    </row>
    <row r="1006" spans="1:16" x14ac:dyDescent="0.25">
      <c r="A1006" t="s">
        <v>2569</v>
      </c>
      <c r="B1006" s="1">
        <v>45420</v>
      </c>
      <c r="C1006" t="s">
        <v>2570</v>
      </c>
      <c r="D1006" t="s">
        <v>91</v>
      </c>
      <c r="E1006">
        <v>8269.59</v>
      </c>
      <c r="F1006">
        <v>17</v>
      </c>
      <c r="G1006">
        <v>2480.88</v>
      </c>
      <c r="H1006">
        <v>0.15</v>
      </c>
      <c r="I1006" t="s">
        <v>2570</v>
      </c>
      <c r="J1006" t="s">
        <v>2571</v>
      </c>
      <c r="K1006" t="s">
        <v>31</v>
      </c>
      <c r="L1006" t="s">
        <v>2473</v>
      </c>
      <c r="M1006" t="s">
        <v>165</v>
      </c>
      <c r="N1006" t="s">
        <v>3966</v>
      </c>
      <c r="P1006">
        <f t="shared" si="15"/>
        <v>0.30000036277493808</v>
      </c>
    </row>
    <row r="1007" spans="1:16" x14ac:dyDescent="0.25">
      <c r="A1007" t="s">
        <v>2572</v>
      </c>
      <c r="B1007" s="1">
        <v>45449</v>
      </c>
      <c r="C1007" t="s">
        <v>2573</v>
      </c>
      <c r="D1007" t="s">
        <v>29</v>
      </c>
      <c r="E1007">
        <v>5404.32</v>
      </c>
      <c r="F1007">
        <v>18</v>
      </c>
      <c r="G1007">
        <v>1621.3</v>
      </c>
      <c r="H1007">
        <v>0.1</v>
      </c>
      <c r="I1007" t="s">
        <v>2573</v>
      </c>
      <c r="J1007" t="s">
        <v>2574</v>
      </c>
      <c r="K1007" t="s">
        <v>17</v>
      </c>
      <c r="L1007" t="s">
        <v>2575</v>
      </c>
      <c r="M1007" t="s">
        <v>44</v>
      </c>
      <c r="N1007" t="s">
        <v>3966</v>
      </c>
      <c r="P1007">
        <f t="shared" si="15"/>
        <v>0.30000074014862183</v>
      </c>
    </row>
    <row r="1008" spans="1:16" x14ac:dyDescent="0.25">
      <c r="A1008" t="s">
        <v>2576</v>
      </c>
      <c r="B1008" s="1">
        <v>45045</v>
      </c>
      <c r="C1008" t="s">
        <v>2577</v>
      </c>
      <c r="D1008" t="s">
        <v>36</v>
      </c>
      <c r="E1008">
        <v>695.16</v>
      </c>
      <c r="F1008">
        <v>9</v>
      </c>
      <c r="G1008">
        <v>208.55</v>
      </c>
      <c r="H1008">
        <v>0.15</v>
      </c>
      <c r="I1008" t="s">
        <v>2577</v>
      </c>
      <c r="J1008" t="s">
        <v>184</v>
      </c>
      <c r="K1008" t="s">
        <v>31</v>
      </c>
      <c r="L1008" t="s">
        <v>427</v>
      </c>
      <c r="M1008" t="s">
        <v>56</v>
      </c>
      <c r="N1008" t="s">
        <v>3966</v>
      </c>
      <c r="P1008">
        <f t="shared" si="15"/>
        <v>0.30000287703550266</v>
      </c>
    </row>
    <row r="1009" spans="1:16" x14ac:dyDescent="0.25">
      <c r="A1009" t="s">
        <v>2578</v>
      </c>
      <c r="B1009" s="1">
        <v>45189</v>
      </c>
      <c r="C1009" t="s">
        <v>2579</v>
      </c>
      <c r="D1009" t="s">
        <v>91</v>
      </c>
      <c r="E1009">
        <v>5032.4399999999996</v>
      </c>
      <c r="F1009">
        <v>9</v>
      </c>
      <c r="G1009">
        <v>1509.73</v>
      </c>
      <c r="H1009">
        <v>0.05</v>
      </c>
      <c r="I1009" t="s">
        <v>2579</v>
      </c>
      <c r="J1009" t="s">
        <v>273</v>
      </c>
      <c r="K1009" t="s">
        <v>38</v>
      </c>
      <c r="L1009" t="s">
        <v>155</v>
      </c>
      <c r="M1009" t="s">
        <v>111</v>
      </c>
      <c r="N1009" t="s">
        <v>3966</v>
      </c>
      <c r="P1009">
        <f t="shared" si="15"/>
        <v>0.29999960257847091</v>
      </c>
    </row>
    <row r="1010" spans="1:16" x14ac:dyDescent="0.25">
      <c r="A1010" t="s">
        <v>2580</v>
      </c>
      <c r="B1010" s="1">
        <v>45604</v>
      </c>
      <c r="C1010" t="s">
        <v>2581</v>
      </c>
      <c r="D1010" t="s">
        <v>36</v>
      </c>
      <c r="E1010">
        <v>2621.09</v>
      </c>
      <c r="F1010">
        <v>18</v>
      </c>
      <c r="G1010">
        <v>786.33</v>
      </c>
      <c r="H1010">
        <v>0.05</v>
      </c>
      <c r="I1010" t="s">
        <v>2581</v>
      </c>
      <c r="J1010" t="s">
        <v>2380</v>
      </c>
      <c r="K1010" t="s">
        <v>24</v>
      </c>
      <c r="L1010" t="s">
        <v>2582</v>
      </c>
      <c r="M1010" t="s">
        <v>1435</v>
      </c>
      <c r="N1010" t="s">
        <v>3966</v>
      </c>
      <c r="P1010">
        <f t="shared" si="15"/>
        <v>0.30000114456199523</v>
      </c>
    </row>
    <row r="1011" spans="1:16" x14ac:dyDescent="0.25">
      <c r="A1011" t="s">
        <v>2583</v>
      </c>
      <c r="B1011" s="1">
        <v>45007</v>
      </c>
      <c r="C1011" t="s">
        <v>2584</v>
      </c>
      <c r="D1011" t="s">
        <v>41</v>
      </c>
      <c r="E1011">
        <v>2817.32</v>
      </c>
      <c r="F1011">
        <v>17</v>
      </c>
      <c r="G1011">
        <v>845.19</v>
      </c>
      <c r="H1011">
        <v>0.15</v>
      </c>
      <c r="I1011" t="s">
        <v>2584</v>
      </c>
      <c r="J1011" t="s">
        <v>137</v>
      </c>
      <c r="K1011" t="s">
        <v>31</v>
      </c>
      <c r="L1011" t="s">
        <v>25</v>
      </c>
      <c r="M1011" t="s">
        <v>26</v>
      </c>
      <c r="N1011" t="s">
        <v>3966</v>
      </c>
      <c r="P1011">
        <f t="shared" si="15"/>
        <v>0.29999787031647096</v>
      </c>
    </row>
    <row r="1012" spans="1:16" x14ac:dyDescent="0.25">
      <c r="A1012" t="s">
        <v>2585</v>
      </c>
      <c r="B1012" s="1">
        <v>45174</v>
      </c>
      <c r="C1012" t="s">
        <v>2586</v>
      </c>
      <c r="D1012" t="s">
        <v>48</v>
      </c>
      <c r="E1012">
        <v>1838.05</v>
      </c>
      <c r="F1012">
        <v>5</v>
      </c>
      <c r="G1012">
        <v>551.41999999999996</v>
      </c>
      <c r="H1012">
        <v>0</v>
      </c>
      <c r="I1012" t="s">
        <v>2586</v>
      </c>
      <c r="J1012" t="s">
        <v>1917</v>
      </c>
      <c r="K1012" t="s">
        <v>17</v>
      </c>
      <c r="L1012" t="s">
        <v>143</v>
      </c>
      <c r="M1012" t="s">
        <v>144</v>
      </c>
      <c r="N1012" t="s">
        <v>3966</v>
      </c>
      <c r="P1012">
        <f t="shared" si="15"/>
        <v>0.3000027202742036</v>
      </c>
    </row>
    <row r="1013" spans="1:16" x14ac:dyDescent="0.25">
      <c r="A1013" t="s">
        <v>2587</v>
      </c>
      <c r="B1013" s="1">
        <v>44983</v>
      </c>
      <c r="C1013" t="s">
        <v>2588</v>
      </c>
      <c r="D1013" t="s">
        <v>15</v>
      </c>
      <c r="E1013">
        <v>9294.33</v>
      </c>
      <c r="F1013">
        <v>17</v>
      </c>
      <c r="G1013">
        <v>2788.3</v>
      </c>
      <c r="H1013">
        <v>0.05</v>
      </c>
      <c r="I1013" t="s">
        <v>2588</v>
      </c>
      <c r="J1013" t="s">
        <v>515</v>
      </c>
      <c r="K1013" t="s">
        <v>17</v>
      </c>
      <c r="L1013" t="s">
        <v>322</v>
      </c>
      <c r="M1013" t="s">
        <v>632</v>
      </c>
      <c r="N1013" t="s">
        <v>3966</v>
      </c>
      <c r="P1013">
        <f t="shared" si="15"/>
        <v>0.30000010759247847</v>
      </c>
    </row>
    <row r="1014" spans="1:16" x14ac:dyDescent="0.25">
      <c r="A1014" t="s">
        <v>2589</v>
      </c>
      <c r="B1014" s="1">
        <v>45622</v>
      </c>
      <c r="C1014" t="s">
        <v>2590</v>
      </c>
      <c r="D1014" t="s">
        <v>36</v>
      </c>
      <c r="E1014">
        <v>585.1</v>
      </c>
      <c r="F1014">
        <v>3</v>
      </c>
      <c r="G1014">
        <v>175.53</v>
      </c>
      <c r="H1014">
        <v>0.15</v>
      </c>
      <c r="I1014" t="s">
        <v>2590</v>
      </c>
      <c r="J1014" t="s">
        <v>2591</v>
      </c>
      <c r="K1014" t="s">
        <v>71</v>
      </c>
      <c r="L1014" t="s">
        <v>1329</v>
      </c>
      <c r="M1014" t="s">
        <v>61</v>
      </c>
      <c r="N1014" t="s">
        <v>3966</v>
      </c>
      <c r="P1014">
        <f t="shared" si="15"/>
        <v>0.3</v>
      </c>
    </row>
    <row r="1015" spans="1:16" x14ac:dyDescent="0.25">
      <c r="A1015" t="s">
        <v>2592</v>
      </c>
      <c r="B1015" s="1">
        <v>45579</v>
      </c>
      <c r="C1015" t="s">
        <v>2593</v>
      </c>
      <c r="D1015" t="s">
        <v>36</v>
      </c>
      <c r="E1015">
        <v>1174.8900000000001</v>
      </c>
      <c r="F1015">
        <v>3</v>
      </c>
      <c r="G1015">
        <v>352.47</v>
      </c>
      <c r="H1015">
        <v>0</v>
      </c>
      <c r="I1015" t="s">
        <v>2593</v>
      </c>
      <c r="J1015" t="s">
        <v>2594</v>
      </c>
      <c r="K1015" t="s">
        <v>38</v>
      </c>
      <c r="L1015" t="s">
        <v>2595</v>
      </c>
      <c r="M1015" t="s">
        <v>61</v>
      </c>
      <c r="N1015" t="s">
        <v>3966</v>
      </c>
      <c r="P1015">
        <f t="shared" si="15"/>
        <v>0.30000255343053395</v>
      </c>
    </row>
    <row r="1016" spans="1:16" x14ac:dyDescent="0.25">
      <c r="A1016" t="s">
        <v>2596</v>
      </c>
      <c r="B1016" s="1">
        <v>45075</v>
      </c>
      <c r="C1016" t="s">
        <v>2597</v>
      </c>
      <c r="D1016" t="s">
        <v>15</v>
      </c>
      <c r="E1016">
        <v>909.23</v>
      </c>
      <c r="F1016">
        <v>15</v>
      </c>
      <c r="G1016">
        <v>272.77</v>
      </c>
      <c r="H1016">
        <v>0.1</v>
      </c>
      <c r="I1016" t="s">
        <v>2597</v>
      </c>
      <c r="J1016" t="s">
        <v>673</v>
      </c>
      <c r="K1016" t="s">
        <v>38</v>
      </c>
      <c r="L1016" t="s">
        <v>143</v>
      </c>
      <c r="M1016" t="s">
        <v>144</v>
      </c>
      <c r="N1016" t="s">
        <v>3966</v>
      </c>
      <c r="P1016">
        <f t="shared" si="15"/>
        <v>0.30000109983172574</v>
      </c>
    </row>
    <row r="1017" spans="1:16" x14ac:dyDescent="0.25">
      <c r="A1017" t="s">
        <v>2598</v>
      </c>
      <c r="B1017" s="1">
        <v>45373</v>
      </c>
      <c r="C1017" t="s">
        <v>2599</v>
      </c>
      <c r="D1017" t="s">
        <v>15</v>
      </c>
      <c r="E1017">
        <v>2314.69</v>
      </c>
      <c r="F1017">
        <v>6</v>
      </c>
      <c r="G1017">
        <v>694.41</v>
      </c>
      <c r="H1017">
        <v>0.15</v>
      </c>
      <c r="I1017" t="s">
        <v>2599</v>
      </c>
      <c r="J1017" t="s">
        <v>1117</v>
      </c>
      <c r="K1017" t="s">
        <v>38</v>
      </c>
      <c r="L1017" t="s">
        <v>60</v>
      </c>
      <c r="M1017" t="s">
        <v>61</v>
      </c>
      <c r="N1017" t="s">
        <v>3968</v>
      </c>
      <c r="P1017">
        <f t="shared" si="15"/>
        <v>0.30000129606988407</v>
      </c>
    </row>
    <row r="1018" spans="1:16" x14ac:dyDescent="0.25">
      <c r="A1018" t="s">
        <v>2600</v>
      </c>
      <c r="B1018" s="1">
        <v>44970</v>
      </c>
      <c r="C1018" t="s">
        <v>2601</v>
      </c>
      <c r="D1018" t="s">
        <v>15</v>
      </c>
      <c r="E1018">
        <v>1610.03</v>
      </c>
      <c r="F1018">
        <v>7</v>
      </c>
      <c r="G1018">
        <v>483.01</v>
      </c>
      <c r="H1018">
        <v>0.05</v>
      </c>
      <c r="I1018" t="s">
        <v>2601</v>
      </c>
      <c r="J1018" t="s">
        <v>2602</v>
      </c>
      <c r="K1018" t="s">
        <v>24</v>
      </c>
      <c r="L1018" t="s">
        <v>99</v>
      </c>
      <c r="M1018" t="s">
        <v>56</v>
      </c>
      <c r="N1018" t="s">
        <v>3967</v>
      </c>
      <c r="P1018">
        <f t="shared" si="15"/>
        <v>0.30000062110643899</v>
      </c>
    </row>
    <row r="1019" spans="1:16" x14ac:dyDescent="0.25">
      <c r="A1019" t="s">
        <v>2603</v>
      </c>
      <c r="B1019" s="1">
        <v>45038</v>
      </c>
      <c r="C1019" t="s">
        <v>2601</v>
      </c>
      <c r="D1019" t="s">
        <v>91</v>
      </c>
      <c r="E1019">
        <v>10216.299999999999</v>
      </c>
      <c r="F1019">
        <v>19</v>
      </c>
      <c r="G1019">
        <v>3064.89</v>
      </c>
      <c r="H1019">
        <v>0</v>
      </c>
      <c r="I1019" t="s">
        <v>2601</v>
      </c>
      <c r="J1019" t="s">
        <v>2602</v>
      </c>
      <c r="K1019" t="s">
        <v>24</v>
      </c>
      <c r="L1019" t="s">
        <v>99</v>
      </c>
      <c r="M1019" t="s">
        <v>56</v>
      </c>
      <c r="N1019" t="s">
        <v>3967</v>
      </c>
      <c r="P1019">
        <f t="shared" si="15"/>
        <v>0.3</v>
      </c>
    </row>
    <row r="1020" spans="1:16" x14ac:dyDescent="0.25">
      <c r="A1020" t="s">
        <v>2604</v>
      </c>
      <c r="B1020" s="1">
        <v>45814</v>
      </c>
      <c r="C1020" t="s">
        <v>2605</v>
      </c>
      <c r="D1020" t="s">
        <v>22</v>
      </c>
      <c r="E1020">
        <v>154.66</v>
      </c>
      <c r="F1020">
        <v>5</v>
      </c>
      <c r="G1020">
        <v>46.4</v>
      </c>
      <c r="H1020">
        <v>0.05</v>
      </c>
      <c r="I1020" t="s">
        <v>2605</v>
      </c>
      <c r="J1020" t="s">
        <v>2606</v>
      </c>
      <c r="K1020" t="s">
        <v>31</v>
      </c>
      <c r="L1020" t="s">
        <v>2607</v>
      </c>
      <c r="M1020" t="s">
        <v>2608</v>
      </c>
      <c r="N1020" t="s">
        <v>3967</v>
      </c>
      <c r="P1020">
        <f t="shared" si="15"/>
        <v>0.30001293159187897</v>
      </c>
    </row>
    <row r="1021" spans="1:16" x14ac:dyDescent="0.25">
      <c r="A1021" t="s">
        <v>2609</v>
      </c>
      <c r="B1021" s="1">
        <v>44951</v>
      </c>
      <c r="C1021" t="s">
        <v>2610</v>
      </c>
      <c r="D1021" t="s">
        <v>15</v>
      </c>
      <c r="E1021">
        <v>393.4</v>
      </c>
      <c r="F1021">
        <v>2</v>
      </c>
      <c r="G1021">
        <v>118.02</v>
      </c>
      <c r="H1021">
        <v>0</v>
      </c>
      <c r="I1021" t="s">
        <v>2610</v>
      </c>
      <c r="J1021" t="s">
        <v>1198</v>
      </c>
      <c r="K1021" t="s">
        <v>38</v>
      </c>
      <c r="L1021" t="s">
        <v>143</v>
      </c>
      <c r="M1021" t="s">
        <v>144</v>
      </c>
      <c r="N1021" t="s">
        <v>3967</v>
      </c>
      <c r="P1021">
        <f t="shared" si="15"/>
        <v>0.3</v>
      </c>
    </row>
    <row r="1022" spans="1:16" x14ac:dyDescent="0.25">
      <c r="A1022" t="s">
        <v>1781</v>
      </c>
      <c r="B1022" s="1">
        <v>45177</v>
      </c>
      <c r="C1022" t="s">
        <v>1782</v>
      </c>
      <c r="D1022" t="s">
        <v>22</v>
      </c>
      <c r="E1022">
        <v>3990.06</v>
      </c>
      <c r="F1022">
        <v>12</v>
      </c>
      <c r="G1022">
        <v>1197.02</v>
      </c>
      <c r="H1022">
        <v>0.1</v>
      </c>
      <c r="I1022" t="s">
        <v>1782</v>
      </c>
      <c r="J1022" t="s">
        <v>2566</v>
      </c>
      <c r="K1022" t="s">
        <v>24</v>
      </c>
      <c r="L1022" t="s">
        <v>330</v>
      </c>
      <c r="M1022" t="s">
        <v>26</v>
      </c>
      <c r="N1022" t="s">
        <v>3966</v>
      </c>
      <c r="P1022">
        <f t="shared" si="15"/>
        <v>0.3000005012455953</v>
      </c>
    </row>
    <row r="1023" spans="1:16" x14ac:dyDescent="0.25">
      <c r="A1023" t="s">
        <v>1783</v>
      </c>
      <c r="B1023" s="1">
        <v>45388</v>
      </c>
      <c r="C1023" t="s">
        <v>1782</v>
      </c>
      <c r="D1023" t="s">
        <v>36</v>
      </c>
      <c r="E1023">
        <v>3377.82</v>
      </c>
      <c r="F1023">
        <v>10</v>
      </c>
      <c r="G1023">
        <v>1013.34</v>
      </c>
      <c r="H1023">
        <v>0.15</v>
      </c>
      <c r="I1023" t="s">
        <v>1782</v>
      </c>
      <c r="J1023" t="s">
        <v>2566</v>
      </c>
      <c r="K1023" t="s">
        <v>24</v>
      </c>
      <c r="L1023" t="s">
        <v>330</v>
      </c>
      <c r="M1023" t="s">
        <v>26</v>
      </c>
      <c r="N1023" t="s">
        <v>3966</v>
      </c>
      <c r="P1023">
        <f t="shared" si="15"/>
        <v>0.29999822370641421</v>
      </c>
    </row>
    <row r="1024" spans="1:16" x14ac:dyDescent="0.25">
      <c r="A1024" t="s">
        <v>2611</v>
      </c>
      <c r="B1024" s="1">
        <v>45569</v>
      </c>
      <c r="C1024" t="s">
        <v>2612</v>
      </c>
      <c r="D1024" t="s">
        <v>91</v>
      </c>
      <c r="E1024">
        <v>1855.99</v>
      </c>
      <c r="F1024">
        <v>12</v>
      </c>
      <c r="G1024">
        <v>556.79999999999995</v>
      </c>
      <c r="H1024">
        <v>0.15</v>
      </c>
      <c r="I1024" t="s">
        <v>2612</v>
      </c>
      <c r="J1024" t="s">
        <v>2613</v>
      </c>
      <c r="K1024" t="s">
        <v>17</v>
      </c>
      <c r="L1024" t="s">
        <v>427</v>
      </c>
      <c r="M1024" t="s">
        <v>56</v>
      </c>
      <c r="N1024" t="s">
        <v>3966</v>
      </c>
      <c r="P1024">
        <f t="shared" si="15"/>
        <v>0.30000161638801931</v>
      </c>
    </row>
    <row r="1025" spans="1:16" x14ac:dyDescent="0.25">
      <c r="A1025" t="s">
        <v>2614</v>
      </c>
      <c r="B1025" s="1">
        <v>45753</v>
      </c>
      <c r="C1025" t="s">
        <v>2615</v>
      </c>
      <c r="D1025" t="s">
        <v>29</v>
      </c>
      <c r="E1025">
        <v>81.78</v>
      </c>
      <c r="F1025">
        <v>3</v>
      </c>
      <c r="G1025">
        <v>24.53</v>
      </c>
      <c r="H1025">
        <v>0.15</v>
      </c>
      <c r="I1025" t="s">
        <v>2615</v>
      </c>
      <c r="J1025" t="s">
        <v>941</v>
      </c>
      <c r="K1025" t="s">
        <v>17</v>
      </c>
      <c r="L1025" t="s">
        <v>791</v>
      </c>
      <c r="M1025" t="s">
        <v>51</v>
      </c>
      <c r="N1025" t="s">
        <v>3966</v>
      </c>
      <c r="P1025">
        <f t="shared" si="15"/>
        <v>0.29995108828564443</v>
      </c>
    </row>
    <row r="1026" spans="1:16" x14ac:dyDescent="0.25">
      <c r="A1026" t="s">
        <v>2616</v>
      </c>
      <c r="B1026" s="1">
        <v>45529</v>
      </c>
      <c r="C1026" t="s">
        <v>2617</v>
      </c>
      <c r="D1026" t="s">
        <v>15</v>
      </c>
      <c r="E1026">
        <v>509.11</v>
      </c>
      <c r="F1026">
        <v>15</v>
      </c>
      <c r="G1026">
        <v>152.72999999999999</v>
      </c>
      <c r="H1026">
        <v>0.15</v>
      </c>
      <c r="I1026" t="s">
        <v>2617</v>
      </c>
      <c r="J1026" t="s">
        <v>1536</v>
      </c>
      <c r="K1026" t="s">
        <v>17</v>
      </c>
      <c r="L1026" t="s">
        <v>82</v>
      </c>
      <c r="M1026" t="s">
        <v>83</v>
      </c>
      <c r="N1026" t="s">
        <v>3968</v>
      </c>
      <c r="P1026">
        <f t="shared" si="15"/>
        <v>0.29999410736383098</v>
      </c>
    </row>
    <row r="1027" spans="1:16" x14ac:dyDescent="0.25">
      <c r="A1027" t="s">
        <v>2618</v>
      </c>
      <c r="B1027" s="1">
        <v>45357</v>
      </c>
      <c r="C1027" t="s">
        <v>2619</v>
      </c>
      <c r="D1027" t="s">
        <v>22</v>
      </c>
      <c r="E1027">
        <v>2227.86</v>
      </c>
      <c r="F1027">
        <v>7</v>
      </c>
      <c r="G1027">
        <v>668.36</v>
      </c>
      <c r="H1027">
        <v>0.15</v>
      </c>
      <c r="I1027" t="s">
        <v>2619</v>
      </c>
      <c r="J1027" t="s">
        <v>600</v>
      </c>
      <c r="K1027" t="s">
        <v>31</v>
      </c>
      <c r="L1027" t="s">
        <v>25</v>
      </c>
      <c r="M1027" t="s">
        <v>26</v>
      </c>
      <c r="N1027" t="s">
        <v>3968</v>
      </c>
      <c r="P1027">
        <f t="shared" ref="P1027:P1090" si="16">G1027/E1027</f>
        <v>0.30000089772247807</v>
      </c>
    </row>
    <row r="1028" spans="1:16" x14ac:dyDescent="0.25">
      <c r="A1028" t="s">
        <v>2620</v>
      </c>
      <c r="B1028" s="1">
        <v>45467</v>
      </c>
      <c r="C1028" t="s">
        <v>2621</v>
      </c>
      <c r="D1028" t="s">
        <v>15</v>
      </c>
      <c r="E1028">
        <v>4826.57</v>
      </c>
      <c r="F1028">
        <v>19</v>
      </c>
      <c r="G1028">
        <v>1447.97</v>
      </c>
      <c r="H1028">
        <v>0</v>
      </c>
      <c r="I1028" t="s">
        <v>2621</v>
      </c>
      <c r="J1028" t="s">
        <v>2622</v>
      </c>
      <c r="K1028" t="s">
        <v>17</v>
      </c>
      <c r="L1028" t="s">
        <v>2623</v>
      </c>
      <c r="M1028" t="s">
        <v>342</v>
      </c>
      <c r="N1028" t="s">
        <v>3968</v>
      </c>
      <c r="P1028">
        <f t="shared" si="16"/>
        <v>0.29999979281353012</v>
      </c>
    </row>
    <row r="1029" spans="1:16" x14ac:dyDescent="0.25">
      <c r="A1029" t="s">
        <v>2624</v>
      </c>
      <c r="B1029" s="1">
        <v>45008</v>
      </c>
      <c r="C1029" t="s">
        <v>2621</v>
      </c>
      <c r="D1029" t="s">
        <v>41</v>
      </c>
      <c r="E1029">
        <v>203.74</v>
      </c>
      <c r="F1029">
        <v>2</v>
      </c>
      <c r="G1029">
        <v>61.12</v>
      </c>
      <c r="H1029">
        <v>0</v>
      </c>
      <c r="I1029" t="s">
        <v>2621</v>
      </c>
      <c r="J1029" t="s">
        <v>2622</v>
      </c>
      <c r="K1029" t="s">
        <v>17</v>
      </c>
      <c r="L1029" t="s">
        <v>2623</v>
      </c>
      <c r="M1029" t="s">
        <v>342</v>
      </c>
      <c r="N1029" t="s">
        <v>3968</v>
      </c>
      <c r="P1029">
        <f t="shared" si="16"/>
        <v>0.29999018356729162</v>
      </c>
    </row>
    <row r="1030" spans="1:16" x14ac:dyDescent="0.25">
      <c r="A1030" t="s">
        <v>2625</v>
      </c>
      <c r="B1030" s="1">
        <v>45304</v>
      </c>
      <c r="C1030" t="s">
        <v>2626</v>
      </c>
      <c r="D1030" t="s">
        <v>91</v>
      </c>
      <c r="E1030">
        <v>4241.6099999999997</v>
      </c>
      <c r="F1030">
        <v>13</v>
      </c>
      <c r="G1030">
        <v>1272.48</v>
      </c>
      <c r="H1030">
        <v>0.05</v>
      </c>
      <c r="I1030" t="s">
        <v>2626</v>
      </c>
      <c r="J1030" t="s">
        <v>430</v>
      </c>
      <c r="K1030" t="s">
        <v>38</v>
      </c>
      <c r="L1030" t="s">
        <v>155</v>
      </c>
      <c r="M1030" t="s">
        <v>111</v>
      </c>
      <c r="N1030" t="s">
        <v>3967</v>
      </c>
      <c r="P1030">
        <f t="shared" si="16"/>
        <v>0.29999929272139592</v>
      </c>
    </row>
    <row r="1031" spans="1:16" x14ac:dyDescent="0.25">
      <c r="A1031" t="s">
        <v>2627</v>
      </c>
      <c r="B1031" s="1">
        <v>45125</v>
      </c>
      <c r="C1031" t="s">
        <v>2628</v>
      </c>
      <c r="D1031" t="s">
        <v>41</v>
      </c>
      <c r="E1031">
        <v>2161.65</v>
      </c>
      <c r="F1031">
        <v>15</v>
      </c>
      <c r="G1031">
        <v>648.5</v>
      </c>
      <c r="H1031">
        <v>0</v>
      </c>
      <c r="I1031" t="s">
        <v>2628</v>
      </c>
      <c r="J1031" t="s">
        <v>1694</v>
      </c>
      <c r="K1031" t="s">
        <v>38</v>
      </c>
      <c r="L1031" t="s">
        <v>1780</v>
      </c>
      <c r="M1031" t="s">
        <v>165</v>
      </c>
      <c r="N1031" t="s">
        <v>3967</v>
      </c>
      <c r="P1031">
        <f t="shared" si="16"/>
        <v>0.3000023130479032</v>
      </c>
    </row>
    <row r="1032" spans="1:16" x14ac:dyDescent="0.25">
      <c r="A1032" t="s">
        <v>2629</v>
      </c>
      <c r="B1032" s="1">
        <v>45711</v>
      </c>
      <c r="C1032" t="s">
        <v>2630</v>
      </c>
      <c r="D1032" t="s">
        <v>36</v>
      </c>
      <c r="E1032">
        <v>6176.3</v>
      </c>
      <c r="F1032">
        <v>18</v>
      </c>
      <c r="G1032">
        <v>1852.89</v>
      </c>
      <c r="H1032">
        <v>0.15</v>
      </c>
      <c r="I1032" t="s">
        <v>2630</v>
      </c>
      <c r="J1032" t="s">
        <v>2631</v>
      </c>
      <c r="K1032" t="s">
        <v>71</v>
      </c>
      <c r="L1032" t="s">
        <v>318</v>
      </c>
      <c r="M1032" t="s">
        <v>266</v>
      </c>
      <c r="N1032" t="s">
        <v>3967</v>
      </c>
      <c r="P1032">
        <f t="shared" si="16"/>
        <v>0.3</v>
      </c>
    </row>
    <row r="1033" spans="1:16" x14ac:dyDescent="0.25">
      <c r="A1033" t="s">
        <v>2632</v>
      </c>
      <c r="B1033" s="1">
        <v>44979</v>
      </c>
      <c r="C1033" t="s">
        <v>2633</v>
      </c>
      <c r="D1033" t="s">
        <v>41</v>
      </c>
      <c r="E1033">
        <v>4366.78</v>
      </c>
      <c r="F1033">
        <v>14</v>
      </c>
      <c r="G1033">
        <v>1310.03</v>
      </c>
      <c r="H1033">
        <v>0.1</v>
      </c>
      <c r="I1033" t="s">
        <v>2633</v>
      </c>
      <c r="J1033" t="s">
        <v>1844</v>
      </c>
      <c r="K1033" t="s">
        <v>17</v>
      </c>
      <c r="L1033" t="s">
        <v>25</v>
      </c>
      <c r="M1033" t="s">
        <v>26</v>
      </c>
      <c r="N1033" t="s">
        <v>3967</v>
      </c>
      <c r="P1033">
        <f t="shared" si="16"/>
        <v>0.29999908399323988</v>
      </c>
    </row>
    <row r="1034" spans="1:16" x14ac:dyDescent="0.25">
      <c r="A1034" t="s">
        <v>2634</v>
      </c>
      <c r="B1034" s="1">
        <v>45583</v>
      </c>
      <c r="C1034" t="s">
        <v>2635</v>
      </c>
      <c r="D1034" t="s">
        <v>41</v>
      </c>
      <c r="E1034">
        <v>2749.53</v>
      </c>
      <c r="F1034">
        <v>7</v>
      </c>
      <c r="G1034">
        <v>824.86</v>
      </c>
      <c r="H1034">
        <v>0</v>
      </c>
      <c r="I1034" t="s">
        <v>2635</v>
      </c>
      <c r="J1034" t="s">
        <v>1426</v>
      </c>
      <c r="K1034" t="s">
        <v>31</v>
      </c>
      <c r="L1034" t="s">
        <v>50</v>
      </c>
      <c r="M1034" t="s">
        <v>51</v>
      </c>
      <c r="N1034" t="s">
        <v>3967</v>
      </c>
      <c r="P1034">
        <f t="shared" si="16"/>
        <v>0.30000036369852301</v>
      </c>
    </row>
    <row r="1035" spans="1:16" x14ac:dyDescent="0.25">
      <c r="A1035" t="s">
        <v>2636</v>
      </c>
      <c r="B1035" s="1">
        <v>45225</v>
      </c>
      <c r="C1035" t="s">
        <v>2637</v>
      </c>
      <c r="D1035" t="s">
        <v>41</v>
      </c>
      <c r="E1035">
        <v>1076.6199999999999</v>
      </c>
      <c r="F1035">
        <v>16</v>
      </c>
      <c r="G1035">
        <v>322.98</v>
      </c>
      <c r="H1035">
        <v>0.05</v>
      </c>
      <c r="I1035" t="s">
        <v>2637</v>
      </c>
      <c r="J1035" t="s">
        <v>1985</v>
      </c>
      <c r="K1035" t="s">
        <v>71</v>
      </c>
      <c r="L1035" t="s">
        <v>25</v>
      </c>
      <c r="M1035" t="s">
        <v>26</v>
      </c>
      <c r="N1035" t="s">
        <v>3966</v>
      </c>
      <c r="P1035">
        <f t="shared" si="16"/>
        <v>0.29999442700302803</v>
      </c>
    </row>
    <row r="1036" spans="1:16" x14ac:dyDescent="0.25">
      <c r="A1036" t="s">
        <v>1014</v>
      </c>
      <c r="B1036" s="1">
        <v>44936</v>
      </c>
      <c r="C1036" t="s">
        <v>1015</v>
      </c>
      <c r="D1036" t="s">
        <v>48</v>
      </c>
      <c r="E1036">
        <v>4938.66</v>
      </c>
      <c r="F1036">
        <v>20</v>
      </c>
      <c r="G1036">
        <v>1481.6</v>
      </c>
      <c r="H1036">
        <v>0.1</v>
      </c>
      <c r="I1036" t="s">
        <v>1015</v>
      </c>
      <c r="J1036" t="s">
        <v>2638</v>
      </c>
      <c r="K1036" t="s">
        <v>38</v>
      </c>
      <c r="L1036" t="s">
        <v>155</v>
      </c>
      <c r="M1036" t="s">
        <v>111</v>
      </c>
      <c r="N1036" t="s">
        <v>3966</v>
      </c>
      <c r="P1036">
        <f t="shared" si="16"/>
        <v>0.30000040496814923</v>
      </c>
    </row>
    <row r="1037" spans="1:16" x14ac:dyDescent="0.25">
      <c r="A1037" t="s">
        <v>1017</v>
      </c>
      <c r="B1037" s="1">
        <v>45681</v>
      </c>
      <c r="C1037" t="s">
        <v>1015</v>
      </c>
      <c r="D1037" t="s">
        <v>29</v>
      </c>
      <c r="E1037">
        <v>971.04</v>
      </c>
      <c r="F1037">
        <v>16</v>
      </c>
      <c r="G1037">
        <v>291.31</v>
      </c>
      <c r="H1037">
        <v>0</v>
      </c>
      <c r="I1037" t="s">
        <v>1015</v>
      </c>
      <c r="J1037" t="s">
        <v>2638</v>
      </c>
      <c r="K1037" t="s">
        <v>38</v>
      </c>
      <c r="L1037" t="s">
        <v>155</v>
      </c>
      <c r="M1037" t="s">
        <v>111</v>
      </c>
      <c r="N1037" t="s">
        <v>3966</v>
      </c>
      <c r="P1037">
        <f t="shared" si="16"/>
        <v>0.29999794035261163</v>
      </c>
    </row>
    <row r="1038" spans="1:16" x14ac:dyDescent="0.25">
      <c r="A1038" t="s">
        <v>2639</v>
      </c>
      <c r="B1038" s="1">
        <v>45370</v>
      </c>
      <c r="C1038" t="s">
        <v>2640</v>
      </c>
      <c r="D1038" t="s">
        <v>29</v>
      </c>
      <c r="E1038">
        <v>177.57</v>
      </c>
      <c r="F1038">
        <v>10</v>
      </c>
      <c r="G1038">
        <v>53.27</v>
      </c>
      <c r="H1038">
        <v>0.1</v>
      </c>
      <c r="I1038" t="s">
        <v>2640</v>
      </c>
      <c r="J1038" t="s">
        <v>466</v>
      </c>
      <c r="K1038" t="s">
        <v>38</v>
      </c>
      <c r="L1038" t="s">
        <v>155</v>
      </c>
      <c r="M1038" t="s">
        <v>111</v>
      </c>
      <c r="N1038" t="s">
        <v>3968</v>
      </c>
      <c r="P1038">
        <f t="shared" si="16"/>
        <v>0.29999436841808869</v>
      </c>
    </row>
    <row r="1039" spans="1:16" x14ac:dyDescent="0.25">
      <c r="A1039" t="s">
        <v>2641</v>
      </c>
      <c r="B1039" s="1">
        <v>45280</v>
      </c>
      <c r="C1039" t="s">
        <v>2642</v>
      </c>
      <c r="D1039" t="s">
        <v>41</v>
      </c>
      <c r="E1039">
        <v>4424.34</v>
      </c>
      <c r="F1039">
        <v>10</v>
      </c>
      <c r="G1039">
        <v>1327.3</v>
      </c>
      <c r="H1039">
        <v>0.05</v>
      </c>
      <c r="I1039" t="s">
        <v>2642</v>
      </c>
      <c r="J1039" t="s">
        <v>844</v>
      </c>
      <c r="K1039" t="s">
        <v>38</v>
      </c>
      <c r="L1039" t="s">
        <v>2643</v>
      </c>
      <c r="M1039" t="s">
        <v>221</v>
      </c>
      <c r="N1039" t="s">
        <v>3966</v>
      </c>
      <c r="P1039">
        <f t="shared" si="16"/>
        <v>0.29999954795517519</v>
      </c>
    </row>
    <row r="1040" spans="1:16" x14ac:dyDescent="0.25">
      <c r="A1040" t="s">
        <v>2644</v>
      </c>
      <c r="B1040" s="1">
        <v>45635</v>
      </c>
      <c r="C1040" t="s">
        <v>2645</v>
      </c>
      <c r="D1040" t="s">
        <v>48</v>
      </c>
      <c r="E1040">
        <v>1061.4000000000001</v>
      </c>
      <c r="F1040">
        <v>19</v>
      </c>
      <c r="G1040">
        <v>318.42</v>
      </c>
      <c r="H1040">
        <v>0.1</v>
      </c>
      <c r="I1040" t="s">
        <v>2645</v>
      </c>
      <c r="J1040" t="s">
        <v>2646</v>
      </c>
      <c r="K1040" t="s">
        <v>38</v>
      </c>
      <c r="L1040" t="s">
        <v>2647</v>
      </c>
      <c r="M1040" t="s">
        <v>44</v>
      </c>
      <c r="N1040" t="s">
        <v>3966</v>
      </c>
      <c r="P1040">
        <f t="shared" si="16"/>
        <v>0.3</v>
      </c>
    </row>
    <row r="1041" spans="1:16" x14ac:dyDescent="0.25">
      <c r="A1041" t="s">
        <v>2648</v>
      </c>
      <c r="B1041" s="1">
        <v>45056</v>
      </c>
      <c r="C1041" t="s">
        <v>2649</v>
      </c>
      <c r="D1041" t="s">
        <v>91</v>
      </c>
      <c r="E1041">
        <v>5530.14</v>
      </c>
      <c r="F1041">
        <v>11</v>
      </c>
      <c r="G1041">
        <v>1659.04</v>
      </c>
      <c r="H1041">
        <v>0.05</v>
      </c>
      <c r="I1041" t="s">
        <v>2649</v>
      </c>
      <c r="J1041" t="s">
        <v>2650</v>
      </c>
      <c r="K1041" t="s">
        <v>38</v>
      </c>
      <c r="L1041" t="s">
        <v>1920</v>
      </c>
      <c r="M1041" t="s">
        <v>645</v>
      </c>
      <c r="N1041" t="s">
        <v>3966</v>
      </c>
      <c r="P1041">
        <f t="shared" si="16"/>
        <v>0.29999963834550297</v>
      </c>
    </row>
    <row r="1042" spans="1:16" x14ac:dyDescent="0.25">
      <c r="A1042" t="s">
        <v>2651</v>
      </c>
      <c r="B1042" s="1">
        <v>45752</v>
      </c>
      <c r="C1042" t="s">
        <v>2652</v>
      </c>
      <c r="D1042" t="s">
        <v>91</v>
      </c>
      <c r="E1042">
        <v>6319.67</v>
      </c>
      <c r="F1042">
        <v>19</v>
      </c>
      <c r="G1042">
        <v>1895.9</v>
      </c>
      <c r="H1042">
        <v>0.05</v>
      </c>
      <c r="I1042" t="s">
        <v>2652</v>
      </c>
      <c r="J1042" t="s">
        <v>422</v>
      </c>
      <c r="K1042" t="s">
        <v>24</v>
      </c>
      <c r="L1042" t="s">
        <v>1118</v>
      </c>
      <c r="M1042" t="s">
        <v>266</v>
      </c>
      <c r="N1042" t="s">
        <v>3968</v>
      </c>
      <c r="P1042">
        <f t="shared" si="16"/>
        <v>0.29999984176388961</v>
      </c>
    </row>
    <row r="1043" spans="1:16" x14ac:dyDescent="0.25">
      <c r="A1043" t="s">
        <v>2653</v>
      </c>
      <c r="B1043" s="1">
        <v>45217</v>
      </c>
      <c r="C1043" t="s">
        <v>2652</v>
      </c>
      <c r="D1043" t="s">
        <v>48</v>
      </c>
      <c r="E1043">
        <v>2440.0500000000002</v>
      </c>
      <c r="F1043">
        <v>7</v>
      </c>
      <c r="G1043">
        <v>732.02</v>
      </c>
      <c r="H1043">
        <v>0.1</v>
      </c>
      <c r="I1043" t="s">
        <v>2652</v>
      </c>
      <c r="J1043" t="s">
        <v>422</v>
      </c>
      <c r="K1043" t="s">
        <v>24</v>
      </c>
      <c r="L1043" t="s">
        <v>1118</v>
      </c>
      <c r="M1043" t="s">
        <v>266</v>
      </c>
      <c r="N1043" t="s">
        <v>3966</v>
      </c>
      <c r="P1043">
        <f t="shared" si="16"/>
        <v>0.30000204913833728</v>
      </c>
    </row>
    <row r="1044" spans="1:16" x14ac:dyDescent="0.25">
      <c r="A1044" t="s">
        <v>2654</v>
      </c>
      <c r="B1044" s="1">
        <v>45629</v>
      </c>
      <c r="C1044" t="s">
        <v>2655</v>
      </c>
      <c r="D1044" t="s">
        <v>22</v>
      </c>
      <c r="E1044">
        <v>152.75</v>
      </c>
      <c r="F1044">
        <v>1</v>
      </c>
      <c r="G1044">
        <v>45.83</v>
      </c>
      <c r="H1044">
        <v>0</v>
      </c>
      <c r="I1044" t="s">
        <v>2655</v>
      </c>
      <c r="J1044" t="s">
        <v>1583</v>
      </c>
      <c r="K1044" t="s">
        <v>24</v>
      </c>
      <c r="L1044" t="s">
        <v>2656</v>
      </c>
      <c r="M1044" t="s">
        <v>342</v>
      </c>
      <c r="N1044" t="s">
        <v>3966</v>
      </c>
      <c r="P1044">
        <f t="shared" si="16"/>
        <v>0.30003273322422258</v>
      </c>
    </row>
    <row r="1045" spans="1:16" x14ac:dyDescent="0.25">
      <c r="A1045" t="s">
        <v>2657</v>
      </c>
      <c r="B1045" s="1">
        <v>45575</v>
      </c>
      <c r="C1045" t="s">
        <v>2658</v>
      </c>
      <c r="D1045" t="s">
        <v>36</v>
      </c>
      <c r="E1045">
        <v>521.86</v>
      </c>
      <c r="F1045">
        <v>8</v>
      </c>
      <c r="G1045">
        <v>156.56</v>
      </c>
      <c r="H1045">
        <v>0.1</v>
      </c>
      <c r="I1045" t="s">
        <v>2658</v>
      </c>
      <c r="J1045" t="s">
        <v>1456</v>
      </c>
      <c r="K1045" t="s">
        <v>24</v>
      </c>
      <c r="L1045" t="s">
        <v>383</v>
      </c>
      <c r="M1045" t="s">
        <v>44</v>
      </c>
      <c r="N1045" t="s">
        <v>3967</v>
      </c>
      <c r="P1045">
        <f t="shared" si="16"/>
        <v>0.30000383244548345</v>
      </c>
    </row>
    <row r="1046" spans="1:16" x14ac:dyDescent="0.25">
      <c r="A1046" t="s">
        <v>2659</v>
      </c>
      <c r="B1046" s="1">
        <v>45446</v>
      </c>
      <c r="C1046" t="s">
        <v>2660</v>
      </c>
      <c r="D1046" t="s">
        <v>22</v>
      </c>
      <c r="E1046">
        <v>698.72</v>
      </c>
      <c r="F1046">
        <v>4</v>
      </c>
      <c r="G1046">
        <v>209.62</v>
      </c>
      <c r="H1046">
        <v>0.1</v>
      </c>
      <c r="I1046" t="s">
        <v>2660</v>
      </c>
      <c r="J1046" t="s">
        <v>2028</v>
      </c>
      <c r="K1046" t="s">
        <v>17</v>
      </c>
      <c r="L1046" t="s">
        <v>624</v>
      </c>
      <c r="M1046" t="s">
        <v>56</v>
      </c>
      <c r="N1046" t="s">
        <v>3967</v>
      </c>
      <c r="P1046">
        <f t="shared" si="16"/>
        <v>0.30000572475383558</v>
      </c>
    </row>
    <row r="1047" spans="1:16" x14ac:dyDescent="0.25">
      <c r="A1047" t="s">
        <v>2661</v>
      </c>
      <c r="B1047" s="1">
        <v>45742</v>
      </c>
      <c r="C1047" t="s">
        <v>2662</v>
      </c>
      <c r="D1047" t="s">
        <v>22</v>
      </c>
      <c r="E1047">
        <v>454.01</v>
      </c>
      <c r="F1047">
        <v>3</v>
      </c>
      <c r="G1047">
        <v>136.19999999999999</v>
      </c>
      <c r="H1047">
        <v>0.05</v>
      </c>
      <c r="I1047" t="s">
        <v>2662</v>
      </c>
      <c r="J1047" t="s">
        <v>2566</v>
      </c>
      <c r="K1047" t="s">
        <v>24</v>
      </c>
      <c r="L1047" t="s">
        <v>2663</v>
      </c>
      <c r="M1047" t="s">
        <v>389</v>
      </c>
      <c r="N1047" t="s">
        <v>3968</v>
      </c>
      <c r="P1047">
        <f t="shared" si="16"/>
        <v>0.29999339221603044</v>
      </c>
    </row>
    <row r="1048" spans="1:16" x14ac:dyDescent="0.25">
      <c r="A1048" t="s">
        <v>2664</v>
      </c>
      <c r="B1048" s="1">
        <v>45408</v>
      </c>
      <c r="C1048" t="s">
        <v>2665</v>
      </c>
      <c r="D1048" t="s">
        <v>48</v>
      </c>
      <c r="E1048">
        <v>1092.1300000000001</v>
      </c>
      <c r="F1048">
        <v>4</v>
      </c>
      <c r="G1048">
        <v>327.64</v>
      </c>
      <c r="H1048">
        <v>0.1</v>
      </c>
      <c r="I1048" t="s">
        <v>2665</v>
      </c>
      <c r="J1048" t="s">
        <v>2164</v>
      </c>
      <c r="K1048" t="s">
        <v>31</v>
      </c>
      <c r="L1048" t="s">
        <v>1745</v>
      </c>
      <c r="M1048" t="s">
        <v>645</v>
      </c>
      <c r="N1048" t="s">
        <v>3966</v>
      </c>
      <c r="P1048">
        <f t="shared" si="16"/>
        <v>0.30000091564191073</v>
      </c>
    </row>
    <row r="1049" spans="1:16" x14ac:dyDescent="0.25">
      <c r="A1049" t="s">
        <v>2666</v>
      </c>
      <c r="B1049" s="1">
        <v>45051</v>
      </c>
      <c r="C1049" t="s">
        <v>2667</v>
      </c>
      <c r="D1049" t="s">
        <v>36</v>
      </c>
      <c r="E1049">
        <v>7804.22</v>
      </c>
      <c r="F1049">
        <v>16</v>
      </c>
      <c r="G1049">
        <v>2341.27</v>
      </c>
      <c r="H1049">
        <v>0.1</v>
      </c>
      <c r="I1049" t="s">
        <v>2667</v>
      </c>
      <c r="J1049" t="s">
        <v>2668</v>
      </c>
      <c r="K1049" t="s">
        <v>71</v>
      </c>
      <c r="L1049" t="s">
        <v>248</v>
      </c>
      <c r="M1049" t="s">
        <v>44</v>
      </c>
      <c r="N1049" t="s">
        <v>3966</v>
      </c>
      <c r="P1049">
        <f t="shared" si="16"/>
        <v>0.3000005125432138</v>
      </c>
    </row>
    <row r="1050" spans="1:16" x14ac:dyDescent="0.25">
      <c r="A1050" t="s">
        <v>2669</v>
      </c>
      <c r="B1050" s="1">
        <v>45192</v>
      </c>
      <c r="C1050" t="s">
        <v>2670</v>
      </c>
      <c r="D1050" t="s">
        <v>29</v>
      </c>
      <c r="E1050">
        <v>290.99</v>
      </c>
      <c r="F1050">
        <v>7</v>
      </c>
      <c r="G1050">
        <v>87.3</v>
      </c>
      <c r="H1050">
        <v>0</v>
      </c>
      <c r="I1050" t="s">
        <v>2670</v>
      </c>
      <c r="J1050" t="s">
        <v>2671</v>
      </c>
      <c r="K1050" t="s">
        <v>71</v>
      </c>
      <c r="L1050" t="s">
        <v>2672</v>
      </c>
      <c r="M1050" t="s">
        <v>19</v>
      </c>
      <c r="N1050" t="s">
        <v>3966</v>
      </c>
      <c r="P1050">
        <f t="shared" si="16"/>
        <v>0.30001030963263342</v>
      </c>
    </row>
    <row r="1051" spans="1:16" x14ac:dyDescent="0.25">
      <c r="A1051" t="s">
        <v>2673</v>
      </c>
      <c r="B1051" s="1">
        <v>45724</v>
      </c>
      <c r="C1051" t="s">
        <v>2674</v>
      </c>
      <c r="D1051" t="s">
        <v>48</v>
      </c>
      <c r="E1051">
        <v>2961.26</v>
      </c>
      <c r="F1051">
        <v>16</v>
      </c>
      <c r="G1051">
        <v>888.38</v>
      </c>
      <c r="H1051">
        <v>0.15</v>
      </c>
      <c r="I1051" t="s">
        <v>2674</v>
      </c>
      <c r="J1051" t="s">
        <v>596</v>
      </c>
      <c r="K1051" t="s">
        <v>24</v>
      </c>
      <c r="L1051" t="s">
        <v>361</v>
      </c>
      <c r="M1051" t="s">
        <v>56</v>
      </c>
      <c r="N1051" t="s">
        <v>3966</v>
      </c>
      <c r="P1051">
        <f t="shared" si="16"/>
        <v>0.30000067538817932</v>
      </c>
    </row>
    <row r="1052" spans="1:16" x14ac:dyDescent="0.25">
      <c r="A1052" t="s">
        <v>2675</v>
      </c>
      <c r="B1052" s="1">
        <v>44943</v>
      </c>
      <c r="C1052" t="s">
        <v>2676</v>
      </c>
      <c r="D1052" t="s">
        <v>41</v>
      </c>
      <c r="E1052">
        <v>287.55</v>
      </c>
      <c r="F1052">
        <v>15</v>
      </c>
      <c r="G1052">
        <v>86.27</v>
      </c>
      <c r="H1052">
        <v>0</v>
      </c>
      <c r="I1052" t="s">
        <v>2676</v>
      </c>
      <c r="J1052" t="s">
        <v>2677</v>
      </c>
      <c r="K1052" t="s">
        <v>31</v>
      </c>
      <c r="L1052" t="s">
        <v>50</v>
      </c>
      <c r="M1052" t="s">
        <v>51</v>
      </c>
      <c r="N1052" t="s">
        <v>3967</v>
      </c>
      <c r="P1052">
        <f t="shared" si="16"/>
        <v>0.30001738828029906</v>
      </c>
    </row>
    <row r="1053" spans="1:16" x14ac:dyDescent="0.25">
      <c r="A1053" t="s">
        <v>2678</v>
      </c>
      <c r="B1053" s="1">
        <v>45045</v>
      </c>
      <c r="C1053" t="s">
        <v>2679</v>
      </c>
      <c r="D1053" t="s">
        <v>48</v>
      </c>
      <c r="E1053">
        <v>3960.09</v>
      </c>
      <c r="F1053">
        <v>15</v>
      </c>
      <c r="G1053">
        <v>1188.03</v>
      </c>
      <c r="H1053">
        <v>0.1</v>
      </c>
      <c r="I1053" t="s">
        <v>2679</v>
      </c>
      <c r="J1053" t="s">
        <v>2552</v>
      </c>
      <c r="K1053" t="s">
        <v>38</v>
      </c>
      <c r="L1053" t="s">
        <v>51</v>
      </c>
      <c r="M1053" t="s">
        <v>1627</v>
      </c>
      <c r="N1053" t="s">
        <v>3967</v>
      </c>
      <c r="P1053">
        <f t="shared" si="16"/>
        <v>0.30000075755854033</v>
      </c>
    </row>
    <row r="1054" spans="1:16" x14ac:dyDescent="0.25">
      <c r="A1054" t="s">
        <v>2680</v>
      </c>
      <c r="B1054" s="1">
        <v>45704</v>
      </c>
      <c r="C1054" t="s">
        <v>2681</v>
      </c>
      <c r="D1054" t="s">
        <v>41</v>
      </c>
      <c r="E1054">
        <v>3314.2</v>
      </c>
      <c r="F1054">
        <v>18</v>
      </c>
      <c r="G1054">
        <v>994.26</v>
      </c>
      <c r="H1054">
        <v>0.1</v>
      </c>
      <c r="I1054" t="s">
        <v>2681</v>
      </c>
      <c r="J1054" t="s">
        <v>1764</v>
      </c>
      <c r="K1054" t="s">
        <v>24</v>
      </c>
      <c r="L1054" t="s">
        <v>25</v>
      </c>
      <c r="M1054" t="s">
        <v>26</v>
      </c>
      <c r="N1054" t="s">
        <v>3967</v>
      </c>
      <c r="P1054">
        <f t="shared" si="16"/>
        <v>0.3</v>
      </c>
    </row>
    <row r="1055" spans="1:16" x14ac:dyDescent="0.25">
      <c r="A1055" t="s">
        <v>2682</v>
      </c>
      <c r="B1055" s="1">
        <v>45082</v>
      </c>
      <c r="C1055" t="s">
        <v>2683</v>
      </c>
      <c r="D1055" t="s">
        <v>41</v>
      </c>
      <c r="E1055">
        <v>4138.3999999999996</v>
      </c>
      <c r="F1055">
        <v>15</v>
      </c>
      <c r="G1055">
        <v>1241.52</v>
      </c>
      <c r="H1055">
        <v>0.15</v>
      </c>
      <c r="I1055" t="s">
        <v>2683</v>
      </c>
      <c r="J1055" t="s">
        <v>1503</v>
      </c>
      <c r="K1055" t="s">
        <v>17</v>
      </c>
      <c r="L1055" t="s">
        <v>2684</v>
      </c>
      <c r="M1055" t="s">
        <v>139</v>
      </c>
      <c r="N1055" t="s">
        <v>3968</v>
      </c>
      <c r="P1055">
        <f t="shared" si="16"/>
        <v>0.30000000000000004</v>
      </c>
    </row>
    <row r="1056" spans="1:16" x14ac:dyDescent="0.25">
      <c r="A1056" t="s">
        <v>2685</v>
      </c>
      <c r="B1056" s="1">
        <v>45166</v>
      </c>
      <c r="C1056" t="s">
        <v>2686</v>
      </c>
      <c r="D1056" t="s">
        <v>22</v>
      </c>
      <c r="E1056">
        <v>4113.22</v>
      </c>
      <c r="F1056">
        <v>11</v>
      </c>
      <c r="G1056">
        <v>1233.97</v>
      </c>
      <c r="H1056">
        <v>0.05</v>
      </c>
      <c r="I1056" t="s">
        <v>2686</v>
      </c>
      <c r="J1056" t="s">
        <v>2530</v>
      </c>
      <c r="K1056" t="s">
        <v>24</v>
      </c>
      <c r="L1056" t="s">
        <v>25</v>
      </c>
      <c r="M1056" t="s">
        <v>26</v>
      </c>
      <c r="N1056" t="s">
        <v>3968</v>
      </c>
      <c r="P1056">
        <f t="shared" si="16"/>
        <v>0.30000097247412</v>
      </c>
    </row>
    <row r="1057" spans="1:16" x14ac:dyDescent="0.25">
      <c r="A1057" t="s">
        <v>2276</v>
      </c>
      <c r="B1057" s="1">
        <v>45107</v>
      </c>
      <c r="C1057" t="s">
        <v>2277</v>
      </c>
      <c r="D1057" t="s">
        <v>48</v>
      </c>
      <c r="E1057">
        <v>3217.44</v>
      </c>
      <c r="F1057">
        <v>6</v>
      </c>
      <c r="G1057">
        <v>965.23</v>
      </c>
      <c r="H1057">
        <v>0</v>
      </c>
      <c r="I1057" t="s">
        <v>2277</v>
      </c>
      <c r="J1057" t="s">
        <v>617</v>
      </c>
      <c r="K1057" t="s">
        <v>31</v>
      </c>
      <c r="L1057" t="s">
        <v>99</v>
      </c>
      <c r="M1057" t="s">
        <v>56</v>
      </c>
      <c r="N1057" t="s">
        <v>3968</v>
      </c>
      <c r="P1057">
        <f t="shared" si="16"/>
        <v>0.29999937838778656</v>
      </c>
    </row>
    <row r="1058" spans="1:16" x14ac:dyDescent="0.25">
      <c r="A1058" t="s">
        <v>2279</v>
      </c>
      <c r="B1058" s="1">
        <v>44955</v>
      </c>
      <c r="C1058" t="s">
        <v>2277</v>
      </c>
      <c r="D1058" t="s">
        <v>41</v>
      </c>
      <c r="E1058">
        <v>1194.25</v>
      </c>
      <c r="F1058">
        <v>10</v>
      </c>
      <c r="G1058">
        <v>358.28</v>
      </c>
      <c r="H1058">
        <v>0.15</v>
      </c>
      <c r="I1058" t="s">
        <v>2277</v>
      </c>
      <c r="J1058" t="s">
        <v>617</v>
      </c>
      <c r="K1058" t="s">
        <v>31</v>
      </c>
      <c r="L1058" t="s">
        <v>99</v>
      </c>
      <c r="M1058" t="s">
        <v>56</v>
      </c>
      <c r="N1058" t="s">
        <v>3968</v>
      </c>
      <c r="P1058">
        <f t="shared" si="16"/>
        <v>0.300004186728072</v>
      </c>
    </row>
    <row r="1059" spans="1:16" x14ac:dyDescent="0.25">
      <c r="A1059" t="s">
        <v>2280</v>
      </c>
      <c r="B1059" s="1">
        <v>45139</v>
      </c>
      <c r="C1059" t="s">
        <v>2277</v>
      </c>
      <c r="D1059" t="s">
        <v>41</v>
      </c>
      <c r="E1059">
        <v>1073.73</v>
      </c>
      <c r="F1059">
        <v>8</v>
      </c>
      <c r="G1059">
        <v>322.12</v>
      </c>
      <c r="H1059">
        <v>0.05</v>
      </c>
      <c r="I1059" t="s">
        <v>2277</v>
      </c>
      <c r="J1059" t="s">
        <v>617</v>
      </c>
      <c r="K1059" t="s">
        <v>31</v>
      </c>
      <c r="L1059" t="s">
        <v>99</v>
      </c>
      <c r="M1059" t="s">
        <v>56</v>
      </c>
      <c r="N1059" t="s">
        <v>3967</v>
      </c>
      <c r="P1059">
        <f t="shared" si="16"/>
        <v>0.3000009313328304</v>
      </c>
    </row>
    <row r="1060" spans="1:16" x14ac:dyDescent="0.25">
      <c r="A1060" t="s">
        <v>2281</v>
      </c>
      <c r="B1060" s="1">
        <v>45752</v>
      </c>
      <c r="C1060" t="s">
        <v>2277</v>
      </c>
      <c r="D1060" t="s">
        <v>48</v>
      </c>
      <c r="E1060">
        <v>417.53</v>
      </c>
      <c r="F1060">
        <v>2</v>
      </c>
      <c r="G1060">
        <v>125.26</v>
      </c>
      <c r="H1060">
        <v>0.1</v>
      </c>
      <c r="I1060" t="s">
        <v>2277</v>
      </c>
      <c r="J1060" t="s">
        <v>617</v>
      </c>
      <c r="K1060" t="s">
        <v>31</v>
      </c>
      <c r="L1060" t="s">
        <v>99</v>
      </c>
      <c r="M1060" t="s">
        <v>56</v>
      </c>
      <c r="N1060" t="s">
        <v>3967</v>
      </c>
      <c r="P1060">
        <f t="shared" si="16"/>
        <v>0.30000239503748238</v>
      </c>
    </row>
    <row r="1061" spans="1:16" x14ac:dyDescent="0.25">
      <c r="A1061" t="s">
        <v>2687</v>
      </c>
      <c r="B1061" s="1">
        <v>45700</v>
      </c>
      <c r="C1061" t="s">
        <v>2688</v>
      </c>
      <c r="D1061" t="s">
        <v>22</v>
      </c>
      <c r="E1061">
        <v>2515.42</v>
      </c>
      <c r="F1061">
        <v>13</v>
      </c>
      <c r="G1061">
        <v>754.63</v>
      </c>
      <c r="H1061">
        <v>0.15</v>
      </c>
      <c r="I1061" t="s">
        <v>2688</v>
      </c>
      <c r="J1061" t="s">
        <v>367</v>
      </c>
      <c r="K1061" t="s">
        <v>71</v>
      </c>
      <c r="L1061" t="s">
        <v>274</v>
      </c>
      <c r="M1061" t="s">
        <v>389</v>
      </c>
      <c r="N1061" t="s">
        <v>3968</v>
      </c>
      <c r="P1061">
        <f t="shared" si="16"/>
        <v>0.30000159019169759</v>
      </c>
    </row>
    <row r="1062" spans="1:16" x14ac:dyDescent="0.25">
      <c r="A1062" t="s">
        <v>2689</v>
      </c>
      <c r="B1062" s="1">
        <v>45110</v>
      </c>
      <c r="C1062" t="s">
        <v>2690</v>
      </c>
      <c r="D1062" t="s">
        <v>15</v>
      </c>
      <c r="E1062">
        <v>5832.3</v>
      </c>
      <c r="F1062">
        <v>19</v>
      </c>
      <c r="G1062">
        <v>1749.69</v>
      </c>
      <c r="H1062">
        <v>0.1</v>
      </c>
      <c r="I1062" t="s">
        <v>2690</v>
      </c>
      <c r="J1062" t="s">
        <v>1311</v>
      </c>
      <c r="K1062" t="s">
        <v>38</v>
      </c>
      <c r="L1062" t="s">
        <v>143</v>
      </c>
      <c r="M1062" t="s">
        <v>144</v>
      </c>
      <c r="N1062" t="s">
        <v>3966</v>
      </c>
      <c r="P1062">
        <f t="shared" si="16"/>
        <v>0.3</v>
      </c>
    </row>
    <row r="1063" spans="1:16" x14ac:dyDescent="0.25">
      <c r="A1063" t="s">
        <v>2691</v>
      </c>
      <c r="B1063" s="1">
        <v>45786</v>
      </c>
      <c r="C1063" t="s">
        <v>2692</v>
      </c>
      <c r="D1063" t="s">
        <v>22</v>
      </c>
      <c r="E1063">
        <v>6166.45</v>
      </c>
      <c r="F1063">
        <v>20</v>
      </c>
      <c r="G1063">
        <v>1849.94</v>
      </c>
      <c r="H1063">
        <v>0.05</v>
      </c>
      <c r="I1063" t="s">
        <v>2692</v>
      </c>
      <c r="J1063" t="s">
        <v>724</v>
      </c>
      <c r="K1063" t="s">
        <v>38</v>
      </c>
      <c r="L1063" t="s">
        <v>361</v>
      </c>
      <c r="M1063" t="s">
        <v>56</v>
      </c>
      <c r="N1063" t="s">
        <v>3967</v>
      </c>
      <c r="P1063">
        <f t="shared" si="16"/>
        <v>0.3000008108392998</v>
      </c>
    </row>
    <row r="1064" spans="1:16" x14ac:dyDescent="0.25">
      <c r="A1064" t="s">
        <v>2693</v>
      </c>
      <c r="B1064" s="1">
        <v>45417</v>
      </c>
      <c r="C1064" t="s">
        <v>2694</v>
      </c>
      <c r="D1064" t="s">
        <v>29</v>
      </c>
      <c r="E1064">
        <v>4335.41</v>
      </c>
      <c r="F1064">
        <v>16</v>
      </c>
      <c r="G1064">
        <v>1300.6199999999999</v>
      </c>
      <c r="H1064">
        <v>0.1</v>
      </c>
      <c r="I1064" t="s">
        <v>2694</v>
      </c>
      <c r="J1064" t="s">
        <v>2695</v>
      </c>
      <c r="K1064" t="s">
        <v>71</v>
      </c>
      <c r="L1064" t="s">
        <v>243</v>
      </c>
      <c r="M1064" t="s">
        <v>244</v>
      </c>
      <c r="N1064" t="s">
        <v>3967</v>
      </c>
      <c r="P1064">
        <f t="shared" si="16"/>
        <v>0.29999930802392388</v>
      </c>
    </row>
    <row r="1065" spans="1:16" x14ac:dyDescent="0.25">
      <c r="A1065" t="s">
        <v>2696</v>
      </c>
      <c r="B1065" s="1">
        <v>45299</v>
      </c>
      <c r="C1065" t="s">
        <v>2697</v>
      </c>
      <c r="D1065" t="s">
        <v>48</v>
      </c>
      <c r="E1065">
        <v>3708.64</v>
      </c>
      <c r="F1065">
        <v>13</v>
      </c>
      <c r="G1065">
        <v>1112.5899999999999</v>
      </c>
      <c r="H1065">
        <v>0</v>
      </c>
      <c r="I1065" t="s">
        <v>2697</v>
      </c>
      <c r="J1065" t="s">
        <v>1034</v>
      </c>
      <c r="K1065" t="s">
        <v>24</v>
      </c>
      <c r="L1065" t="s">
        <v>318</v>
      </c>
      <c r="M1065" t="s">
        <v>266</v>
      </c>
      <c r="N1065" t="s">
        <v>3967</v>
      </c>
      <c r="P1065">
        <f t="shared" si="16"/>
        <v>0.29999946071875405</v>
      </c>
    </row>
    <row r="1066" spans="1:16" x14ac:dyDescent="0.25">
      <c r="A1066" t="s">
        <v>2698</v>
      </c>
      <c r="B1066" s="1">
        <v>45670</v>
      </c>
      <c r="C1066" t="s">
        <v>2699</v>
      </c>
      <c r="D1066" t="s">
        <v>22</v>
      </c>
      <c r="E1066">
        <v>270.60000000000002</v>
      </c>
      <c r="F1066">
        <v>15</v>
      </c>
      <c r="G1066">
        <v>81.180000000000007</v>
      </c>
      <c r="H1066">
        <v>0</v>
      </c>
      <c r="I1066" t="s">
        <v>2699</v>
      </c>
      <c r="J1066" t="s">
        <v>1491</v>
      </c>
      <c r="K1066" t="s">
        <v>24</v>
      </c>
      <c r="L1066" t="s">
        <v>18</v>
      </c>
      <c r="M1066" t="s">
        <v>705</v>
      </c>
      <c r="N1066" t="s">
        <v>3967</v>
      </c>
      <c r="P1066">
        <f t="shared" si="16"/>
        <v>0.3</v>
      </c>
    </row>
    <row r="1067" spans="1:16" x14ac:dyDescent="0.25">
      <c r="A1067" t="s">
        <v>2700</v>
      </c>
      <c r="B1067" s="1">
        <v>45757</v>
      </c>
      <c r="C1067" t="s">
        <v>2701</v>
      </c>
      <c r="D1067" t="s">
        <v>41</v>
      </c>
      <c r="E1067">
        <v>2249.5</v>
      </c>
      <c r="F1067">
        <v>11</v>
      </c>
      <c r="G1067">
        <v>674.85</v>
      </c>
      <c r="H1067">
        <v>0</v>
      </c>
      <c r="I1067" t="s">
        <v>2701</v>
      </c>
      <c r="J1067" t="s">
        <v>2646</v>
      </c>
      <c r="K1067" t="s">
        <v>17</v>
      </c>
      <c r="L1067" t="s">
        <v>82</v>
      </c>
      <c r="M1067" t="s">
        <v>83</v>
      </c>
      <c r="N1067" t="s">
        <v>3967</v>
      </c>
      <c r="P1067">
        <f t="shared" si="16"/>
        <v>0.3</v>
      </c>
    </row>
    <row r="1068" spans="1:16" x14ac:dyDescent="0.25">
      <c r="A1068" t="s">
        <v>2702</v>
      </c>
      <c r="B1068" s="1">
        <v>45820</v>
      </c>
      <c r="C1068" t="s">
        <v>2701</v>
      </c>
      <c r="D1068" t="s">
        <v>41</v>
      </c>
      <c r="E1068">
        <v>5449.84</v>
      </c>
      <c r="F1068">
        <v>11</v>
      </c>
      <c r="G1068">
        <v>1634.95</v>
      </c>
      <c r="H1068">
        <v>0</v>
      </c>
      <c r="I1068" t="s">
        <v>2701</v>
      </c>
      <c r="J1068" t="s">
        <v>2646</v>
      </c>
      <c r="K1068" t="s">
        <v>17</v>
      </c>
      <c r="L1068" t="s">
        <v>82</v>
      </c>
      <c r="M1068" t="s">
        <v>83</v>
      </c>
      <c r="N1068" t="s">
        <v>3967</v>
      </c>
      <c r="P1068">
        <f t="shared" si="16"/>
        <v>0.29999963301674909</v>
      </c>
    </row>
    <row r="1069" spans="1:16" x14ac:dyDescent="0.25">
      <c r="A1069" t="s">
        <v>2703</v>
      </c>
      <c r="B1069" s="1">
        <v>45750</v>
      </c>
      <c r="C1069" t="s">
        <v>2704</v>
      </c>
      <c r="D1069" t="s">
        <v>15</v>
      </c>
      <c r="E1069">
        <v>2819.48</v>
      </c>
      <c r="F1069">
        <v>12</v>
      </c>
      <c r="G1069">
        <v>845.85</v>
      </c>
      <c r="H1069">
        <v>0.15</v>
      </c>
      <c r="I1069" t="s">
        <v>2704</v>
      </c>
      <c r="J1069" t="s">
        <v>992</v>
      </c>
      <c r="K1069" t="s">
        <v>31</v>
      </c>
      <c r="L1069" t="s">
        <v>50</v>
      </c>
      <c r="M1069" t="s">
        <v>51</v>
      </c>
      <c r="N1069" t="s">
        <v>3966</v>
      </c>
      <c r="P1069">
        <f t="shared" si="16"/>
        <v>0.30000212805198123</v>
      </c>
    </row>
    <row r="1070" spans="1:16" x14ac:dyDescent="0.25">
      <c r="A1070" t="s">
        <v>2705</v>
      </c>
      <c r="B1070" s="1">
        <v>44952</v>
      </c>
      <c r="C1070" t="s">
        <v>2706</v>
      </c>
      <c r="D1070" t="s">
        <v>29</v>
      </c>
      <c r="E1070">
        <v>1358.5</v>
      </c>
      <c r="F1070">
        <v>7</v>
      </c>
      <c r="G1070">
        <v>407.55</v>
      </c>
      <c r="H1070">
        <v>0.15</v>
      </c>
      <c r="I1070" t="s">
        <v>2706</v>
      </c>
      <c r="J1070" t="s">
        <v>2707</v>
      </c>
      <c r="K1070" t="s">
        <v>38</v>
      </c>
      <c r="L1070" t="s">
        <v>72</v>
      </c>
      <c r="M1070" t="s">
        <v>26</v>
      </c>
      <c r="N1070" t="s">
        <v>3966</v>
      </c>
      <c r="P1070">
        <f t="shared" si="16"/>
        <v>0.3</v>
      </c>
    </row>
    <row r="1071" spans="1:16" x14ac:dyDescent="0.25">
      <c r="A1071" t="s">
        <v>2708</v>
      </c>
      <c r="B1071" s="1">
        <v>44933</v>
      </c>
      <c r="C1071" t="s">
        <v>2709</v>
      </c>
      <c r="D1071" t="s">
        <v>48</v>
      </c>
      <c r="E1071">
        <v>448.37</v>
      </c>
      <c r="F1071">
        <v>1</v>
      </c>
      <c r="G1071">
        <v>134.51</v>
      </c>
      <c r="H1071">
        <v>0.1</v>
      </c>
      <c r="I1071" t="s">
        <v>2709</v>
      </c>
      <c r="J1071" t="s">
        <v>2710</v>
      </c>
      <c r="K1071" t="s">
        <v>38</v>
      </c>
      <c r="L1071" t="s">
        <v>2711</v>
      </c>
      <c r="M1071" t="s">
        <v>51</v>
      </c>
      <c r="N1071" t="s">
        <v>3968</v>
      </c>
      <c r="P1071">
        <f t="shared" si="16"/>
        <v>0.29999776969913239</v>
      </c>
    </row>
    <row r="1072" spans="1:16" x14ac:dyDescent="0.25">
      <c r="A1072" t="s">
        <v>2712</v>
      </c>
      <c r="B1072" s="1">
        <v>45672</v>
      </c>
      <c r="C1072" t="s">
        <v>2713</v>
      </c>
      <c r="D1072" t="s">
        <v>29</v>
      </c>
      <c r="E1072">
        <v>6088.45</v>
      </c>
      <c r="F1072">
        <v>18</v>
      </c>
      <c r="G1072">
        <v>1826.53</v>
      </c>
      <c r="H1072">
        <v>0.1</v>
      </c>
      <c r="I1072" t="s">
        <v>2713</v>
      </c>
      <c r="J1072" t="s">
        <v>399</v>
      </c>
      <c r="K1072" t="s">
        <v>31</v>
      </c>
      <c r="L1072" t="s">
        <v>265</v>
      </c>
      <c r="M1072" t="s">
        <v>266</v>
      </c>
      <c r="N1072" t="s">
        <v>3968</v>
      </c>
      <c r="P1072">
        <f t="shared" si="16"/>
        <v>0.29999917877292248</v>
      </c>
    </row>
    <row r="1073" spans="1:16" x14ac:dyDescent="0.25">
      <c r="A1073" t="s">
        <v>2714</v>
      </c>
      <c r="B1073" s="1">
        <v>45626</v>
      </c>
      <c r="C1073" t="s">
        <v>2715</v>
      </c>
      <c r="D1073" t="s">
        <v>36</v>
      </c>
      <c r="E1073">
        <v>2346.48</v>
      </c>
      <c r="F1073">
        <v>18</v>
      </c>
      <c r="G1073">
        <v>703.94</v>
      </c>
      <c r="H1073">
        <v>0</v>
      </c>
      <c r="I1073" t="s">
        <v>2715</v>
      </c>
      <c r="J1073" t="s">
        <v>734</v>
      </c>
      <c r="K1073" t="s">
        <v>17</v>
      </c>
      <c r="L1073" t="s">
        <v>597</v>
      </c>
      <c r="M1073" t="s">
        <v>144</v>
      </c>
      <c r="N1073" t="s">
        <v>3968</v>
      </c>
      <c r="P1073">
        <f t="shared" si="16"/>
        <v>0.29999829531894584</v>
      </c>
    </row>
    <row r="1074" spans="1:16" x14ac:dyDescent="0.25">
      <c r="A1074" t="s">
        <v>2716</v>
      </c>
      <c r="B1074" s="1">
        <v>45348</v>
      </c>
      <c r="C1074" t="s">
        <v>2717</v>
      </c>
      <c r="D1074" t="s">
        <v>48</v>
      </c>
      <c r="E1074">
        <v>6473.97</v>
      </c>
      <c r="F1074">
        <v>13</v>
      </c>
      <c r="G1074">
        <v>1942.19</v>
      </c>
      <c r="H1074">
        <v>0.15</v>
      </c>
      <c r="I1074" t="s">
        <v>2717</v>
      </c>
      <c r="J1074" t="s">
        <v>2718</v>
      </c>
      <c r="K1074" t="s">
        <v>17</v>
      </c>
      <c r="L1074" t="s">
        <v>361</v>
      </c>
      <c r="M1074" t="s">
        <v>56</v>
      </c>
      <c r="N1074" t="s">
        <v>3966</v>
      </c>
      <c r="P1074">
        <f t="shared" si="16"/>
        <v>0.29999984553527431</v>
      </c>
    </row>
    <row r="1075" spans="1:16" x14ac:dyDescent="0.25">
      <c r="A1075" t="s">
        <v>2719</v>
      </c>
      <c r="B1075" s="1">
        <v>45819</v>
      </c>
      <c r="C1075" t="s">
        <v>2720</v>
      </c>
      <c r="D1075" t="s">
        <v>29</v>
      </c>
      <c r="E1075">
        <v>5018.62</v>
      </c>
      <c r="F1075">
        <v>19</v>
      </c>
      <c r="G1075">
        <v>1505.59</v>
      </c>
      <c r="H1075">
        <v>0.05</v>
      </c>
      <c r="I1075" t="s">
        <v>2720</v>
      </c>
      <c r="J1075" t="s">
        <v>1371</v>
      </c>
      <c r="K1075" t="s">
        <v>31</v>
      </c>
      <c r="L1075" t="s">
        <v>774</v>
      </c>
      <c r="M1075" t="s">
        <v>33</v>
      </c>
      <c r="N1075" t="s">
        <v>3966</v>
      </c>
      <c r="P1075">
        <f t="shared" si="16"/>
        <v>0.30000079703185339</v>
      </c>
    </row>
    <row r="1076" spans="1:16" x14ac:dyDescent="0.25">
      <c r="A1076" t="s">
        <v>2721</v>
      </c>
      <c r="B1076" s="1">
        <v>45259</v>
      </c>
      <c r="C1076" t="s">
        <v>2722</v>
      </c>
      <c r="D1076" t="s">
        <v>22</v>
      </c>
      <c r="E1076">
        <v>2947.01</v>
      </c>
      <c r="F1076">
        <v>11</v>
      </c>
      <c r="G1076">
        <v>884.1</v>
      </c>
      <c r="H1076">
        <v>0</v>
      </c>
      <c r="I1076" t="s">
        <v>2722</v>
      </c>
      <c r="J1076" t="s">
        <v>718</v>
      </c>
      <c r="K1076" t="s">
        <v>38</v>
      </c>
      <c r="L1076" t="s">
        <v>143</v>
      </c>
      <c r="M1076" t="s">
        <v>144</v>
      </c>
      <c r="N1076" t="s">
        <v>3966</v>
      </c>
      <c r="P1076">
        <f t="shared" si="16"/>
        <v>0.29999898201906339</v>
      </c>
    </row>
    <row r="1077" spans="1:16" x14ac:dyDescent="0.25">
      <c r="A1077" t="s">
        <v>2723</v>
      </c>
      <c r="B1077" s="1">
        <v>45470</v>
      </c>
      <c r="C1077" t="s">
        <v>2724</v>
      </c>
      <c r="D1077" t="s">
        <v>36</v>
      </c>
      <c r="E1077">
        <v>4212.76</v>
      </c>
      <c r="F1077">
        <v>12</v>
      </c>
      <c r="G1077">
        <v>1263.83</v>
      </c>
      <c r="H1077">
        <v>0.05</v>
      </c>
      <c r="I1077" t="s">
        <v>2724</v>
      </c>
      <c r="J1077" t="s">
        <v>1084</v>
      </c>
      <c r="K1077" t="s">
        <v>24</v>
      </c>
      <c r="L1077" t="s">
        <v>82</v>
      </c>
      <c r="M1077" t="s">
        <v>83</v>
      </c>
      <c r="N1077" t="s">
        <v>3966</v>
      </c>
      <c r="P1077">
        <f t="shared" si="16"/>
        <v>0.30000047474814606</v>
      </c>
    </row>
    <row r="1078" spans="1:16" x14ac:dyDescent="0.25">
      <c r="A1078" t="s">
        <v>2725</v>
      </c>
      <c r="B1078" s="1">
        <v>45432</v>
      </c>
      <c r="C1078" t="s">
        <v>2726</v>
      </c>
      <c r="D1078" t="s">
        <v>48</v>
      </c>
      <c r="E1078">
        <v>3511.11</v>
      </c>
      <c r="F1078">
        <v>13</v>
      </c>
      <c r="G1078">
        <v>1053.33</v>
      </c>
      <c r="H1078">
        <v>0.05</v>
      </c>
      <c r="I1078" t="s">
        <v>2726</v>
      </c>
      <c r="J1078" t="s">
        <v>1269</v>
      </c>
      <c r="K1078" t="s">
        <v>24</v>
      </c>
      <c r="L1078" t="s">
        <v>2727</v>
      </c>
      <c r="M1078" t="s">
        <v>56</v>
      </c>
      <c r="N1078" t="s">
        <v>3968</v>
      </c>
      <c r="P1078">
        <f t="shared" si="16"/>
        <v>0.29999914556934981</v>
      </c>
    </row>
    <row r="1079" spans="1:16" x14ac:dyDescent="0.25">
      <c r="A1079" t="s">
        <v>2728</v>
      </c>
      <c r="B1079" s="1">
        <v>45094</v>
      </c>
      <c r="C1079" t="s">
        <v>2729</v>
      </c>
      <c r="D1079" t="s">
        <v>36</v>
      </c>
      <c r="E1079">
        <v>5125.2</v>
      </c>
      <c r="F1079">
        <v>12</v>
      </c>
      <c r="G1079">
        <v>1537.56</v>
      </c>
      <c r="H1079">
        <v>0</v>
      </c>
      <c r="I1079" t="s">
        <v>2729</v>
      </c>
      <c r="J1079" t="s">
        <v>205</v>
      </c>
      <c r="K1079" t="s">
        <v>71</v>
      </c>
      <c r="L1079" t="s">
        <v>72</v>
      </c>
      <c r="M1079" t="s">
        <v>26</v>
      </c>
      <c r="N1079" t="s">
        <v>3966</v>
      </c>
      <c r="P1079">
        <f t="shared" si="16"/>
        <v>0.3</v>
      </c>
    </row>
    <row r="1080" spans="1:16" x14ac:dyDescent="0.25">
      <c r="A1080" t="s">
        <v>2730</v>
      </c>
      <c r="B1080" s="1">
        <v>45602</v>
      </c>
      <c r="C1080" t="s">
        <v>2731</v>
      </c>
      <c r="D1080" t="s">
        <v>48</v>
      </c>
      <c r="E1080">
        <v>1982.97</v>
      </c>
      <c r="F1080">
        <v>11</v>
      </c>
      <c r="G1080">
        <v>594.89</v>
      </c>
      <c r="H1080">
        <v>0.1</v>
      </c>
      <c r="I1080" t="s">
        <v>2731</v>
      </c>
      <c r="J1080" t="s">
        <v>1691</v>
      </c>
      <c r="K1080" t="s">
        <v>17</v>
      </c>
      <c r="L1080" t="s">
        <v>1202</v>
      </c>
      <c r="M1080" t="s">
        <v>33</v>
      </c>
      <c r="N1080" t="s">
        <v>3966</v>
      </c>
      <c r="P1080">
        <f t="shared" si="16"/>
        <v>0.29999949570593604</v>
      </c>
    </row>
    <row r="1081" spans="1:16" x14ac:dyDescent="0.25">
      <c r="A1081" t="s">
        <v>2732</v>
      </c>
      <c r="B1081" s="1">
        <v>45700</v>
      </c>
      <c r="C1081" t="s">
        <v>2733</v>
      </c>
      <c r="D1081" t="s">
        <v>41</v>
      </c>
      <c r="E1081">
        <v>257.72000000000003</v>
      </c>
      <c r="F1081">
        <v>4</v>
      </c>
      <c r="G1081">
        <v>77.319999999999993</v>
      </c>
      <c r="H1081">
        <v>0.15</v>
      </c>
      <c r="I1081" t="s">
        <v>2733</v>
      </c>
      <c r="J1081" t="s">
        <v>95</v>
      </c>
      <c r="K1081" t="s">
        <v>31</v>
      </c>
      <c r="L1081" t="s">
        <v>388</v>
      </c>
      <c r="M1081" t="s">
        <v>266</v>
      </c>
      <c r="N1081" t="s">
        <v>3966</v>
      </c>
      <c r="P1081">
        <f t="shared" si="16"/>
        <v>0.30001552072016135</v>
      </c>
    </row>
    <row r="1082" spans="1:16" x14ac:dyDescent="0.25">
      <c r="A1082" t="s">
        <v>1933</v>
      </c>
      <c r="B1082" s="1">
        <v>45756</v>
      </c>
      <c r="C1082" t="s">
        <v>1934</v>
      </c>
      <c r="D1082" t="s">
        <v>48</v>
      </c>
      <c r="E1082">
        <v>2073.7199999999998</v>
      </c>
      <c r="F1082">
        <v>4</v>
      </c>
      <c r="G1082">
        <v>622.12</v>
      </c>
      <c r="H1082">
        <v>0</v>
      </c>
      <c r="I1082" t="s">
        <v>1934</v>
      </c>
      <c r="J1082" t="s">
        <v>686</v>
      </c>
      <c r="K1082" t="s">
        <v>31</v>
      </c>
      <c r="L1082" t="s">
        <v>735</v>
      </c>
      <c r="M1082" t="s">
        <v>26</v>
      </c>
      <c r="N1082" t="s">
        <v>3967</v>
      </c>
      <c r="P1082">
        <f t="shared" si="16"/>
        <v>0.30000192890071953</v>
      </c>
    </row>
    <row r="1083" spans="1:16" x14ac:dyDescent="0.25">
      <c r="A1083" t="s">
        <v>1935</v>
      </c>
      <c r="B1083" s="1">
        <v>45410</v>
      </c>
      <c r="C1083" t="s">
        <v>1934</v>
      </c>
      <c r="D1083" t="s">
        <v>29</v>
      </c>
      <c r="E1083">
        <v>2450.9699999999998</v>
      </c>
      <c r="F1083">
        <v>5</v>
      </c>
      <c r="G1083">
        <v>735.29</v>
      </c>
      <c r="H1083">
        <v>0.1</v>
      </c>
      <c r="I1083" t="s">
        <v>1934</v>
      </c>
      <c r="J1083" t="s">
        <v>686</v>
      </c>
      <c r="K1083" t="s">
        <v>31</v>
      </c>
      <c r="L1083" t="s">
        <v>735</v>
      </c>
      <c r="M1083" t="s">
        <v>26</v>
      </c>
      <c r="N1083" t="s">
        <v>3967</v>
      </c>
      <c r="P1083">
        <f t="shared" si="16"/>
        <v>0.29999959199827009</v>
      </c>
    </row>
    <row r="1084" spans="1:16" x14ac:dyDescent="0.25">
      <c r="A1084" t="s">
        <v>2734</v>
      </c>
      <c r="B1084" s="1">
        <v>45522</v>
      </c>
      <c r="C1084" t="s">
        <v>2735</v>
      </c>
      <c r="D1084" t="s">
        <v>91</v>
      </c>
      <c r="E1084">
        <v>3270.3</v>
      </c>
      <c r="F1084">
        <v>19</v>
      </c>
      <c r="G1084">
        <v>981.09</v>
      </c>
      <c r="H1084">
        <v>0.05</v>
      </c>
      <c r="I1084" t="s">
        <v>2735</v>
      </c>
      <c r="J1084" t="s">
        <v>823</v>
      </c>
      <c r="K1084" t="s">
        <v>31</v>
      </c>
      <c r="L1084" t="s">
        <v>2736</v>
      </c>
      <c r="M1084" t="s">
        <v>33</v>
      </c>
      <c r="N1084" t="s">
        <v>3966</v>
      </c>
      <c r="P1084">
        <f t="shared" si="16"/>
        <v>0.3</v>
      </c>
    </row>
    <row r="1085" spans="1:16" x14ac:dyDescent="0.25">
      <c r="A1085" t="s">
        <v>1881</v>
      </c>
      <c r="B1085" s="1">
        <v>44965</v>
      </c>
      <c r="C1085" t="s">
        <v>1882</v>
      </c>
      <c r="D1085" t="s">
        <v>91</v>
      </c>
      <c r="E1085">
        <v>1745.17</v>
      </c>
      <c r="F1085">
        <v>13</v>
      </c>
      <c r="G1085">
        <v>523.54999999999995</v>
      </c>
      <c r="H1085">
        <v>0.1</v>
      </c>
      <c r="I1085" t="s">
        <v>1882</v>
      </c>
      <c r="J1085" t="s">
        <v>1129</v>
      </c>
      <c r="K1085" t="s">
        <v>38</v>
      </c>
      <c r="L1085" t="s">
        <v>2737</v>
      </c>
      <c r="M1085" t="s">
        <v>221</v>
      </c>
      <c r="N1085" t="s">
        <v>3966</v>
      </c>
      <c r="P1085">
        <f t="shared" si="16"/>
        <v>0.29999942698992071</v>
      </c>
    </row>
    <row r="1086" spans="1:16" x14ac:dyDescent="0.25">
      <c r="A1086" t="s">
        <v>1883</v>
      </c>
      <c r="B1086" s="1">
        <v>44977</v>
      </c>
      <c r="C1086" t="s">
        <v>1882</v>
      </c>
      <c r="D1086" t="s">
        <v>15</v>
      </c>
      <c r="E1086">
        <v>561.92999999999995</v>
      </c>
      <c r="F1086">
        <v>3</v>
      </c>
      <c r="G1086">
        <v>168.58</v>
      </c>
      <c r="H1086">
        <v>0.05</v>
      </c>
      <c r="I1086" t="s">
        <v>1882</v>
      </c>
      <c r="J1086" t="s">
        <v>1129</v>
      </c>
      <c r="K1086" t="s">
        <v>38</v>
      </c>
      <c r="L1086" t="s">
        <v>2737</v>
      </c>
      <c r="M1086" t="s">
        <v>221</v>
      </c>
      <c r="N1086" t="s">
        <v>3966</v>
      </c>
      <c r="P1086">
        <f t="shared" si="16"/>
        <v>0.30000177958108665</v>
      </c>
    </row>
    <row r="1087" spans="1:16" x14ac:dyDescent="0.25">
      <c r="A1087" t="s">
        <v>1884</v>
      </c>
      <c r="B1087" s="1">
        <v>45730</v>
      </c>
      <c r="C1087" t="s">
        <v>1882</v>
      </c>
      <c r="D1087" t="s">
        <v>22</v>
      </c>
      <c r="E1087">
        <v>79.12</v>
      </c>
      <c r="F1087">
        <v>4</v>
      </c>
      <c r="G1087">
        <v>23.74</v>
      </c>
      <c r="H1087">
        <v>0.15</v>
      </c>
      <c r="I1087" t="s">
        <v>1882</v>
      </c>
      <c r="J1087" t="s">
        <v>1129</v>
      </c>
      <c r="K1087" t="s">
        <v>38</v>
      </c>
      <c r="L1087" t="s">
        <v>2737</v>
      </c>
      <c r="M1087" t="s">
        <v>221</v>
      </c>
      <c r="N1087" t="s">
        <v>3966</v>
      </c>
      <c r="P1087">
        <f t="shared" si="16"/>
        <v>0.30005055611729015</v>
      </c>
    </row>
    <row r="1088" spans="1:16" x14ac:dyDescent="0.25">
      <c r="A1088" t="s">
        <v>2738</v>
      </c>
      <c r="B1088" s="1">
        <v>45775</v>
      </c>
      <c r="C1088" t="s">
        <v>2739</v>
      </c>
      <c r="D1088" t="s">
        <v>15</v>
      </c>
      <c r="E1088">
        <v>467.17</v>
      </c>
      <c r="F1088">
        <v>6</v>
      </c>
      <c r="G1088">
        <v>140.15</v>
      </c>
      <c r="H1088">
        <v>0.05</v>
      </c>
      <c r="I1088" t="s">
        <v>2739</v>
      </c>
      <c r="J1088" t="s">
        <v>2740</v>
      </c>
      <c r="K1088" t="s">
        <v>31</v>
      </c>
      <c r="L1088" t="s">
        <v>2741</v>
      </c>
      <c r="M1088" t="s">
        <v>165</v>
      </c>
      <c r="N1088" t="s">
        <v>3966</v>
      </c>
      <c r="P1088">
        <f t="shared" si="16"/>
        <v>0.29999785945159152</v>
      </c>
    </row>
    <row r="1089" spans="1:16" x14ac:dyDescent="0.25">
      <c r="A1089" t="s">
        <v>2742</v>
      </c>
      <c r="B1089" s="1">
        <v>45148</v>
      </c>
      <c r="C1089" t="s">
        <v>2743</v>
      </c>
      <c r="D1089" t="s">
        <v>41</v>
      </c>
      <c r="E1089">
        <v>179.34</v>
      </c>
      <c r="F1089">
        <v>3</v>
      </c>
      <c r="G1089">
        <v>53.8</v>
      </c>
      <c r="H1089">
        <v>0</v>
      </c>
      <c r="I1089" t="s">
        <v>2743</v>
      </c>
      <c r="J1089" t="s">
        <v>541</v>
      </c>
      <c r="K1089" t="s">
        <v>38</v>
      </c>
      <c r="L1089" t="s">
        <v>2744</v>
      </c>
      <c r="M1089" t="s">
        <v>891</v>
      </c>
      <c r="N1089" t="s">
        <v>3967</v>
      </c>
      <c r="P1089">
        <f t="shared" si="16"/>
        <v>0.29998884799821568</v>
      </c>
    </row>
    <row r="1090" spans="1:16" x14ac:dyDescent="0.25">
      <c r="A1090" t="s">
        <v>2745</v>
      </c>
      <c r="B1090" s="1">
        <v>45467</v>
      </c>
      <c r="C1090" t="s">
        <v>2746</v>
      </c>
      <c r="D1090" t="s">
        <v>91</v>
      </c>
      <c r="E1090">
        <v>2285.9299999999998</v>
      </c>
      <c r="F1090">
        <v>12</v>
      </c>
      <c r="G1090">
        <v>685.78</v>
      </c>
      <c r="H1090">
        <v>0.1</v>
      </c>
      <c r="I1090" t="s">
        <v>2746</v>
      </c>
      <c r="J1090" t="s">
        <v>2747</v>
      </c>
      <c r="K1090" t="s">
        <v>31</v>
      </c>
      <c r="L1090" t="s">
        <v>216</v>
      </c>
      <c r="M1090" t="s">
        <v>123</v>
      </c>
      <c r="N1090" t="s">
        <v>3967</v>
      </c>
      <c r="P1090">
        <f t="shared" si="16"/>
        <v>0.30000043745871485</v>
      </c>
    </row>
    <row r="1091" spans="1:16" x14ac:dyDescent="0.25">
      <c r="A1091" t="s">
        <v>2748</v>
      </c>
      <c r="B1091" s="1">
        <v>45314</v>
      </c>
      <c r="C1091" t="s">
        <v>2749</v>
      </c>
      <c r="D1091" t="s">
        <v>29</v>
      </c>
      <c r="E1091">
        <v>6499.08</v>
      </c>
      <c r="F1091">
        <v>19</v>
      </c>
      <c r="G1091">
        <v>1949.72</v>
      </c>
      <c r="H1091">
        <v>0.05</v>
      </c>
      <c r="I1091" t="s">
        <v>2749</v>
      </c>
      <c r="J1091" t="s">
        <v>1599</v>
      </c>
      <c r="K1091" t="s">
        <v>38</v>
      </c>
      <c r="L1091" t="s">
        <v>719</v>
      </c>
      <c r="M1091" t="s">
        <v>33</v>
      </c>
      <c r="N1091" t="s">
        <v>3967</v>
      </c>
      <c r="P1091">
        <f t="shared" ref="P1091:P1154" si="17">G1091/E1091</f>
        <v>0.29999938452827168</v>
      </c>
    </row>
    <row r="1092" spans="1:16" x14ac:dyDescent="0.25">
      <c r="A1092" t="s">
        <v>2750</v>
      </c>
      <c r="B1092" s="1">
        <v>45144</v>
      </c>
      <c r="C1092" t="s">
        <v>2749</v>
      </c>
      <c r="D1092" t="s">
        <v>41</v>
      </c>
      <c r="E1092">
        <v>864.13</v>
      </c>
      <c r="F1092">
        <v>13</v>
      </c>
      <c r="G1092">
        <v>259.24</v>
      </c>
      <c r="H1092">
        <v>0.05</v>
      </c>
      <c r="I1092" t="s">
        <v>2749</v>
      </c>
      <c r="J1092" t="s">
        <v>1599</v>
      </c>
      <c r="K1092" t="s">
        <v>38</v>
      </c>
      <c r="L1092" t="s">
        <v>719</v>
      </c>
      <c r="M1092" t="s">
        <v>33</v>
      </c>
      <c r="N1092" t="s">
        <v>3967</v>
      </c>
      <c r="P1092">
        <f t="shared" si="17"/>
        <v>0.30000115723328669</v>
      </c>
    </row>
    <row r="1093" spans="1:16" x14ac:dyDescent="0.25">
      <c r="A1093" t="s">
        <v>1842</v>
      </c>
      <c r="B1093" s="1">
        <v>45622</v>
      </c>
      <c r="C1093" t="s">
        <v>1843</v>
      </c>
      <c r="D1093" t="s">
        <v>91</v>
      </c>
      <c r="E1093">
        <v>2761.48</v>
      </c>
      <c r="F1093">
        <v>7</v>
      </c>
      <c r="G1093">
        <v>828.44</v>
      </c>
      <c r="H1093">
        <v>0.1</v>
      </c>
      <c r="I1093" t="s">
        <v>1843</v>
      </c>
      <c r="J1093" t="s">
        <v>2222</v>
      </c>
      <c r="K1093" t="s">
        <v>17</v>
      </c>
      <c r="L1093" t="s">
        <v>1344</v>
      </c>
      <c r="M1093" t="s">
        <v>201</v>
      </c>
      <c r="N1093" t="s">
        <v>3966</v>
      </c>
      <c r="P1093">
        <f t="shared" si="17"/>
        <v>0.29999855150136884</v>
      </c>
    </row>
    <row r="1094" spans="1:16" x14ac:dyDescent="0.25">
      <c r="A1094" t="s">
        <v>1845</v>
      </c>
      <c r="B1094" s="1">
        <v>45045</v>
      </c>
      <c r="C1094" t="s">
        <v>1843</v>
      </c>
      <c r="D1094" t="s">
        <v>29</v>
      </c>
      <c r="E1094">
        <v>1486.42</v>
      </c>
      <c r="F1094">
        <v>7</v>
      </c>
      <c r="G1094">
        <v>445.93</v>
      </c>
      <c r="H1094">
        <v>0.1</v>
      </c>
      <c r="I1094" t="s">
        <v>1843</v>
      </c>
      <c r="J1094" t="s">
        <v>2222</v>
      </c>
      <c r="K1094" t="s">
        <v>17</v>
      </c>
      <c r="L1094" t="s">
        <v>1344</v>
      </c>
      <c r="M1094" t="s">
        <v>201</v>
      </c>
      <c r="N1094" t="s">
        <v>3966</v>
      </c>
      <c r="P1094">
        <f t="shared" si="17"/>
        <v>0.30000269102945332</v>
      </c>
    </row>
    <row r="1095" spans="1:16" x14ac:dyDescent="0.25">
      <c r="A1095" t="s">
        <v>2751</v>
      </c>
      <c r="B1095" s="1">
        <v>45694</v>
      </c>
      <c r="C1095" t="s">
        <v>2752</v>
      </c>
      <c r="D1095" t="s">
        <v>15</v>
      </c>
      <c r="E1095">
        <v>1523.4</v>
      </c>
      <c r="F1095">
        <v>7</v>
      </c>
      <c r="G1095">
        <v>457.02</v>
      </c>
      <c r="H1095">
        <v>0.1</v>
      </c>
      <c r="I1095" t="s">
        <v>2752</v>
      </c>
      <c r="J1095" t="s">
        <v>480</v>
      </c>
      <c r="K1095" t="s">
        <v>17</v>
      </c>
      <c r="L1095" t="s">
        <v>459</v>
      </c>
      <c r="M1095" t="s">
        <v>129</v>
      </c>
      <c r="N1095" t="s">
        <v>3968</v>
      </c>
      <c r="P1095">
        <f t="shared" si="17"/>
        <v>0.3</v>
      </c>
    </row>
    <row r="1096" spans="1:16" x14ac:dyDescent="0.25">
      <c r="A1096" t="s">
        <v>2753</v>
      </c>
      <c r="B1096" s="1">
        <v>45736</v>
      </c>
      <c r="C1096" t="s">
        <v>2754</v>
      </c>
      <c r="D1096" t="s">
        <v>29</v>
      </c>
      <c r="E1096">
        <v>1189.93</v>
      </c>
      <c r="F1096">
        <v>3</v>
      </c>
      <c r="G1096">
        <v>356.98</v>
      </c>
      <c r="H1096">
        <v>0.15</v>
      </c>
      <c r="I1096" t="s">
        <v>2754</v>
      </c>
      <c r="J1096" t="s">
        <v>2118</v>
      </c>
      <c r="K1096" t="s">
        <v>17</v>
      </c>
      <c r="L1096" t="s">
        <v>164</v>
      </c>
      <c r="M1096" t="s">
        <v>221</v>
      </c>
      <c r="N1096" t="s">
        <v>3968</v>
      </c>
      <c r="P1096">
        <f t="shared" si="17"/>
        <v>0.3000008403855689</v>
      </c>
    </row>
    <row r="1097" spans="1:16" x14ac:dyDescent="0.25">
      <c r="A1097" t="s">
        <v>2755</v>
      </c>
      <c r="B1097" s="1">
        <v>45592</v>
      </c>
      <c r="C1097" t="s">
        <v>2756</v>
      </c>
      <c r="D1097" t="s">
        <v>91</v>
      </c>
      <c r="E1097">
        <v>2549.71</v>
      </c>
      <c r="F1097">
        <v>10</v>
      </c>
      <c r="G1097">
        <v>764.91</v>
      </c>
      <c r="H1097">
        <v>0.05</v>
      </c>
      <c r="I1097" t="s">
        <v>2756</v>
      </c>
      <c r="J1097" t="s">
        <v>2757</v>
      </c>
      <c r="K1097" t="s">
        <v>24</v>
      </c>
      <c r="L1097" t="s">
        <v>2496</v>
      </c>
      <c r="M1097" t="s">
        <v>139</v>
      </c>
      <c r="N1097" t="s">
        <v>3968</v>
      </c>
      <c r="P1097">
        <f t="shared" si="17"/>
        <v>0.29999882339560185</v>
      </c>
    </row>
    <row r="1098" spans="1:16" x14ac:dyDescent="0.25">
      <c r="A1098" t="s">
        <v>2758</v>
      </c>
      <c r="B1098" s="1">
        <v>45545</v>
      </c>
      <c r="C1098" t="s">
        <v>2756</v>
      </c>
      <c r="D1098" t="s">
        <v>48</v>
      </c>
      <c r="E1098">
        <v>4042.78</v>
      </c>
      <c r="F1098">
        <v>9</v>
      </c>
      <c r="G1098">
        <v>1212.83</v>
      </c>
      <c r="H1098">
        <v>0.05</v>
      </c>
      <c r="I1098" t="s">
        <v>2756</v>
      </c>
      <c r="J1098" t="s">
        <v>2757</v>
      </c>
      <c r="K1098" t="s">
        <v>24</v>
      </c>
      <c r="L1098" t="s">
        <v>2496</v>
      </c>
      <c r="M1098" t="s">
        <v>139</v>
      </c>
      <c r="N1098" t="s">
        <v>3968</v>
      </c>
      <c r="P1098">
        <f t="shared" si="17"/>
        <v>0.29999901058182732</v>
      </c>
    </row>
    <row r="1099" spans="1:16" x14ac:dyDescent="0.25">
      <c r="A1099" t="s">
        <v>2759</v>
      </c>
      <c r="B1099" s="1">
        <v>45708</v>
      </c>
      <c r="C1099" t="s">
        <v>2760</v>
      </c>
      <c r="D1099" t="s">
        <v>36</v>
      </c>
      <c r="E1099">
        <v>10028.98</v>
      </c>
      <c r="F1099">
        <v>19</v>
      </c>
      <c r="G1099">
        <v>3008.69</v>
      </c>
      <c r="H1099">
        <v>0.1</v>
      </c>
      <c r="I1099" t="s">
        <v>2760</v>
      </c>
      <c r="J1099" t="s">
        <v>2594</v>
      </c>
      <c r="K1099" t="s">
        <v>24</v>
      </c>
      <c r="L1099" t="s">
        <v>2761</v>
      </c>
      <c r="M1099" t="s">
        <v>33</v>
      </c>
      <c r="N1099" t="s">
        <v>3967</v>
      </c>
      <c r="P1099">
        <f t="shared" si="17"/>
        <v>0.29999960115585034</v>
      </c>
    </row>
    <row r="1100" spans="1:16" x14ac:dyDescent="0.25">
      <c r="A1100" t="s">
        <v>2762</v>
      </c>
      <c r="B1100" s="1">
        <v>44946</v>
      </c>
      <c r="C1100" t="s">
        <v>2763</v>
      </c>
      <c r="D1100" t="s">
        <v>36</v>
      </c>
      <c r="E1100">
        <v>5901.34</v>
      </c>
      <c r="F1100">
        <v>15</v>
      </c>
      <c r="G1100">
        <v>1770.4</v>
      </c>
      <c r="H1100">
        <v>0.15</v>
      </c>
      <c r="I1100" t="s">
        <v>2763</v>
      </c>
      <c r="J1100" t="s">
        <v>2115</v>
      </c>
      <c r="K1100" t="s">
        <v>17</v>
      </c>
      <c r="L1100" t="s">
        <v>25</v>
      </c>
      <c r="M1100" t="s">
        <v>26</v>
      </c>
      <c r="N1100" t="s">
        <v>3968</v>
      </c>
      <c r="P1100">
        <f t="shared" si="17"/>
        <v>0.29999966109392107</v>
      </c>
    </row>
    <row r="1101" spans="1:16" x14ac:dyDescent="0.25">
      <c r="A1101" t="s">
        <v>2764</v>
      </c>
      <c r="B1101" s="1">
        <v>45354</v>
      </c>
      <c r="C1101" t="s">
        <v>2765</v>
      </c>
      <c r="D1101" t="s">
        <v>15</v>
      </c>
      <c r="E1101">
        <v>167.36</v>
      </c>
      <c r="F1101">
        <v>1</v>
      </c>
      <c r="G1101">
        <v>50.21</v>
      </c>
      <c r="H1101">
        <v>0.05</v>
      </c>
      <c r="I1101" t="s">
        <v>2765</v>
      </c>
      <c r="J1101" t="s">
        <v>2766</v>
      </c>
      <c r="K1101" t="s">
        <v>17</v>
      </c>
      <c r="L1101" t="s">
        <v>1210</v>
      </c>
      <c r="M1101" t="s">
        <v>144</v>
      </c>
      <c r="N1101" t="s">
        <v>3968</v>
      </c>
      <c r="P1101">
        <f t="shared" si="17"/>
        <v>0.30001195028680688</v>
      </c>
    </row>
    <row r="1102" spans="1:16" x14ac:dyDescent="0.25">
      <c r="A1102" t="s">
        <v>2767</v>
      </c>
      <c r="B1102" s="1">
        <v>45257</v>
      </c>
      <c r="C1102" t="s">
        <v>2768</v>
      </c>
      <c r="D1102" t="s">
        <v>41</v>
      </c>
      <c r="E1102">
        <v>64.12</v>
      </c>
      <c r="F1102">
        <v>1</v>
      </c>
      <c r="G1102">
        <v>19.23</v>
      </c>
      <c r="H1102">
        <v>0.1</v>
      </c>
      <c r="I1102" t="s">
        <v>2768</v>
      </c>
      <c r="J1102" t="s">
        <v>184</v>
      </c>
      <c r="K1102" t="s">
        <v>71</v>
      </c>
      <c r="L1102" t="s">
        <v>25</v>
      </c>
      <c r="M1102" t="s">
        <v>26</v>
      </c>
      <c r="N1102" t="s">
        <v>3968</v>
      </c>
      <c r="P1102">
        <f t="shared" si="17"/>
        <v>0.29990642545227697</v>
      </c>
    </row>
    <row r="1103" spans="1:16" x14ac:dyDescent="0.25">
      <c r="A1103" t="s">
        <v>2769</v>
      </c>
      <c r="B1103" s="1">
        <v>45606</v>
      </c>
      <c r="C1103" t="s">
        <v>2770</v>
      </c>
      <c r="D1103" t="s">
        <v>15</v>
      </c>
      <c r="E1103">
        <v>374.58</v>
      </c>
      <c r="F1103">
        <v>6</v>
      </c>
      <c r="G1103">
        <v>112.37</v>
      </c>
      <c r="H1103">
        <v>0</v>
      </c>
      <c r="I1103" t="s">
        <v>2770</v>
      </c>
      <c r="J1103" t="s">
        <v>1764</v>
      </c>
      <c r="K1103" t="s">
        <v>17</v>
      </c>
      <c r="L1103" t="s">
        <v>99</v>
      </c>
      <c r="M1103" t="s">
        <v>56</v>
      </c>
      <c r="N1103" t="s">
        <v>3968</v>
      </c>
      <c r="P1103">
        <f t="shared" si="17"/>
        <v>0.29998932137327144</v>
      </c>
    </row>
    <row r="1104" spans="1:16" x14ac:dyDescent="0.25">
      <c r="A1104" t="s">
        <v>2771</v>
      </c>
      <c r="B1104" s="1">
        <v>45692</v>
      </c>
      <c r="C1104" t="s">
        <v>2772</v>
      </c>
      <c r="D1104" t="s">
        <v>91</v>
      </c>
      <c r="E1104">
        <v>3590.31</v>
      </c>
      <c r="F1104">
        <v>7</v>
      </c>
      <c r="G1104">
        <v>1077.0899999999999</v>
      </c>
      <c r="H1104">
        <v>0.1</v>
      </c>
      <c r="I1104" t="s">
        <v>2772</v>
      </c>
      <c r="J1104" t="s">
        <v>2773</v>
      </c>
      <c r="K1104" t="s">
        <v>38</v>
      </c>
      <c r="L1104" t="s">
        <v>1745</v>
      </c>
      <c r="M1104" t="s">
        <v>645</v>
      </c>
      <c r="N1104" t="s">
        <v>3966</v>
      </c>
      <c r="P1104">
        <f t="shared" si="17"/>
        <v>0.29999916441755725</v>
      </c>
    </row>
    <row r="1105" spans="1:16" x14ac:dyDescent="0.25">
      <c r="A1105" t="s">
        <v>2774</v>
      </c>
      <c r="B1105" s="1">
        <v>45343</v>
      </c>
      <c r="C1105" t="s">
        <v>2775</v>
      </c>
      <c r="D1105" t="s">
        <v>29</v>
      </c>
      <c r="E1105">
        <v>161.79</v>
      </c>
      <c r="F1105">
        <v>5</v>
      </c>
      <c r="G1105">
        <v>48.54</v>
      </c>
      <c r="H1105">
        <v>0.05</v>
      </c>
      <c r="I1105" t="s">
        <v>2775</v>
      </c>
      <c r="J1105" t="s">
        <v>1574</v>
      </c>
      <c r="K1105" t="s">
        <v>17</v>
      </c>
      <c r="L1105" t="s">
        <v>1863</v>
      </c>
      <c r="M1105" t="s">
        <v>33</v>
      </c>
      <c r="N1105" t="s">
        <v>3966</v>
      </c>
      <c r="P1105">
        <f t="shared" si="17"/>
        <v>0.30001854255516414</v>
      </c>
    </row>
    <row r="1106" spans="1:16" x14ac:dyDescent="0.25">
      <c r="A1106" t="s">
        <v>2776</v>
      </c>
      <c r="B1106" s="1">
        <v>45009</v>
      </c>
      <c r="C1106" t="s">
        <v>2777</v>
      </c>
      <c r="D1106" t="s">
        <v>29</v>
      </c>
      <c r="E1106">
        <v>7689.78</v>
      </c>
      <c r="F1106">
        <v>17</v>
      </c>
      <c r="G1106">
        <v>2306.9299999999998</v>
      </c>
      <c r="H1106">
        <v>0.1</v>
      </c>
      <c r="I1106" t="s">
        <v>2777</v>
      </c>
      <c r="J1106" t="s">
        <v>2106</v>
      </c>
      <c r="K1106" t="s">
        <v>17</v>
      </c>
      <c r="L1106" t="s">
        <v>322</v>
      </c>
      <c r="M1106" t="s">
        <v>632</v>
      </c>
      <c r="N1106" t="s">
        <v>3966</v>
      </c>
      <c r="P1106">
        <f t="shared" si="17"/>
        <v>0.29999947982907182</v>
      </c>
    </row>
    <row r="1107" spans="1:16" x14ac:dyDescent="0.25">
      <c r="A1107" t="s">
        <v>2778</v>
      </c>
      <c r="B1107" s="1">
        <v>45417</v>
      </c>
      <c r="C1107" t="s">
        <v>2779</v>
      </c>
      <c r="D1107" t="s">
        <v>41</v>
      </c>
      <c r="E1107">
        <v>242.24</v>
      </c>
      <c r="F1107">
        <v>3</v>
      </c>
      <c r="G1107">
        <v>72.67</v>
      </c>
      <c r="H1107">
        <v>0.1</v>
      </c>
      <c r="I1107" t="s">
        <v>2779</v>
      </c>
      <c r="J1107" t="s">
        <v>2646</v>
      </c>
      <c r="K1107" t="s">
        <v>24</v>
      </c>
      <c r="L1107" t="s">
        <v>459</v>
      </c>
      <c r="M1107" t="s">
        <v>129</v>
      </c>
      <c r="N1107" t="s">
        <v>3966</v>
      </c>
      <c r="P1107">
        <f t="shared" si="17"/>
        <v>0.29999174372523119</v>
      </c>
    </row>
    <row r="1108" spans="1:16" x14ac:dyDescent="0.25">
      <c r="A1108" t="s">
        <v>2780</v>
      </c>
      <c r="B1108" s="1">
        <v>45569</v>
      </c>
      <c r="C1108" t="s">
        <v>2781</v>
      </c>
      <c r="D1108" t="s">
        <v>15</v>
      </c>
      <c r="E1108">
        <v>6537.19</v>
      </c>
      <c r="F1108">
        <v>18</v>
      </c>
      <c r="G1108">
        <v>1961.16</v>
      </c>
      <c r="H1108">
        <v>0.1</v>
      </c>
      <c r="I1108" t="s">
        <v>2781</v>
      </c>
      <c r="J1108" t="s">
        <v>2782</v>
      </c>
      <c r="K1108" t="s">
        <v>24</v>
      </c>
      <c r="L1108" t="s">
        <v>2311</v>
      </c>
      <c r="M1108" t="s">
        <v>144</v>
      </c>
      <c r="N1108" t="s">
        <v>3966</v>
      </c>
      <c r="P1108">
        <f t="shared" si="17"/>
        <v>0.30000045891277449</v>
      </c>
    </row>
    <row r="1109" spans="1:16" x14ac:dyDescent="0.25">
      <c r="A1109" t="s">
        <v>1353</v>
      </c>
      <c r="B1109" s="1">
        <v>45661</v>
      </c>
      <c r="C1109" t="s">
        <v>1354</v>
      </c>
      <c r="D1109" t="s">
        <v>36</v>
      </c>
      <c r="E1109">
        <v>389.94</v>
      </c>
      <c r="F1109">
        <v>2</v>
      </c>
      <c r="G1109">
        <v>116.98</v>
      </c>
      <c r="H1109">
        <v>0</v>
      </c>
      <c r="I1109" t="s">
        <v>1354</v>
      </c>
      <c r="J1109" t="s">
        <v>402</v>
      </c>
      <c r="K1109" t="s">
        <v>24</v>
      </c>
      <c r="L1109" t="s">
        <v>2783</v>
      </c>
      <c r="M1109" t="s">
        <v>83</v>
      </c>
      <c r="N1109" t="s">
        <v>3966</v>
      </c>
      <c r="P1109">
        <f t="shared" si="17"/>
        <v>0.29999487100579575</v>
      </c>
    </row>
    <row r="1110" spans="1:16" x14ac:dyDescent="0.25">
      <c r="A1110" t="s">
        <v>1355</v>
      </c>
      <c r="B1110" s="1">
        <v>45383</v>
      </c>
      <c r="C1110" t="s">
        <v>1354</v>
      </c>
      <c r="D1110" t="s">
        <v>41</v>
      </c>
      <c r="E1110">
        <v>2372.11</v>
      </c>
      <c r="F1110">
        <v>18</v>
      </c>
      <c r="G1110">
        <v>711.63</v>
      </c>
      <c r="H1110">
        <v>0.15</v>
      </c>
      <c r="I1110" t="s">
        <v>1354</v>
      </c>
      <c r="J1110" t="s">
        <v>402</v>
      </c>
      <c r="K1110" t="s">
        <v>24</v>
      </c>
      <c r="L1110" t="s">
        <v>2783</v>
      </c>
      <c r="M1110" t="s">
        <v>83</v>
      </c>
      <c r="N1110" t="s">
        <v>3966</v>
      </c>
      <c r="P1110">
        <f t="shared" si="17"/>
        <v>0.2999987353031689</v>
      </c>
    </row>
    <row r="1111" spans="1:16" x14ac:dyDescent="0.25">
      <c r="A1111" t="s">
        <v>2784</v>
      </c>
      <c r="B1111" s="1">
        <v>45649</v>
      </c>
      <c r="C1111" t="s">
        <v>2785</v>
      </c>
      <c r="D1111" t="s">
        <v>41</v>
      </c>
      <c r="E1111">
        <v>1959.77</v>
      </c>
      <c r="F1111">
        <v>12</v>
      </c>
      <c r="G1111">
        <v>587.92999999999995</v>
      </c>
      <c r="H1111">
        <v>0.05</v>
      </c>
      <c r="I1111" t="s">
        <v>2785</v>
      </c>
      <c r="J1111" t="s">
        <v>2786</v>
      </c>
      <c r="K1111" t="s">
        <v>38</v>
      </c>
      <c r="L1111" t="s">
        <v>574</v>
      </c>
      <c r="M1111" t="s">
        <v>56</v>
      </c>
      <c r="N1111" t="s">
        <v>3966</v>
      </c>
      <c r="P1111">
        <f t="shared" si="17"/>
        <v>0.2999994897360404</v>
      </c>
    </row>
    <row r="1112" spans="1:16" x14ac:dyDescent="0.25">
      <c r="A1112" t="s">
        <v>2787</v>
      </c>
      <c r="B1112" s="1">
        <v>45368</v>
      </c>
      <c r="C1112" t="s">
        <v>2788</v>
      </c>
      <c r="D1112" t="s">
        <v>29</v>
      </c>
      <c r="E1112">
        <v>580.29999999999995</v>
      </c>
      <c r="F1112">
        <v>10</v>
      </c>
      <c r="G1112">
        <v>174.09</v>
      </c>
      <c r="H1112">
        <v>0.15</v>
      </c>
      <c r="I1112" t="s">
        <v>2788</v>
      </c>
      <c r="J1112" t="s">
        <v>1146</v>
      </c>
      <c r="K1112" t="s">
        <v>38</v>
      </c>
      <c r="L1112" t="s">
        <v>488</v>
      </c>
      <c r="M1112" t="s">
        <v>26</v>
      </c>
      <c r="N1112" t="s">
        <v>3966</v>
      </c>
      <c r="P1112">
        <f t="shared" si="17"/>
        <v>0.30000000000000004</v>
      </c>
    </row>
    <row r="1113" spans="1:16" x14ac:dyDescent="0.25">
      <c r="A1113" t="s">
        <v>2789</v>
      </c>
      <c r="B1113" s="1">
        <v>44955</v>
      </c>
      <c r="C1113" t="s">
        <v>2788</v>
      </c>
      <c r="D1113" t="s">
        <v>15</v>
      </c>
      <c r="E1113">
        <v>8654.4599999999991</v>
      </c>
      <c r="F1113">
        <v>17</v>
      </c>
      <c r="G1113">
        <v>2596.34</v>
      </c>
      <c r="H1113">
        <v>0.05</v>
      </c>
      <c r="I1113" t="s">
        <v>2788</v>
      </c>
      <c r="J1113" t="s">
        <v>1146</v>
      </c>
      <c r="K1113" t="s">
        <v>38</v>
      </c>
      <c r="L1113" t="s">
        <v>488</v>
      </c>
      <c r="M1113" t="s">
        <v>26</v>
      </c>
      <c r="N1113" t="s">
        <v>3966</v>
      </c>
      <c r="P1113">
        <f t="shared" si="17"/>
        <v>0.30000023109471885</v>
      </c>
    </row>
    <row r="1114" spans="1:16" x14ac:dyDescent="0.25">
      <c r="A1114" t="s">
        <v>2790</v>
      </c>
      <c r="B1114" s="1">
        <v>45515</v>
      </c>
      <c r="C1114" t="s">
        <v>2791</v>
      </c>
      <c r="D1114" t="s">
        <v>36</v>
      </c>
      <c r="E1114">
        <v>2828.68</v>
      </c>
      <c r="F1114">
        <v>12</v>
      </c>
      <c r="G1114">
        <v>848.6</v>
      </c>
      <c r="H1114">
        <v>0.05</v>
      </c>
      <c r="I1114" t="s">
        <v>2791</v>
      </c>
      <c r="J1114" t="s">
        <v>1866</v>
      </c>
      <c r="K1114" t="s">
        <v>71</v>
      </c>
      <c r="L1114" t="s">
        <v>25</v>
      </c>
      <c r="M1114" t="s">
        <v>26</v>
      </c>
      <c r="N1114" t="s">
        <v>3966</v>
      </c>
      <c r="P1114">
        <f t="shared" si="17"/>
        <v>0.29999858591286399</v>
      </c>
    </row>
    <row r="1115" spans="1:16" x14ac:dyDescent="0.25">
      <c r="A1115" t="s">
        <v>2792</v>
      </c>
      <c r="B1115" s="1">
        <v>45255</v>
      </c>
      <c r="C1115" t="s">
        <v>2793</v>
      </c>
      <c r="D1115" t="s">
        <v>22</v>
      </c>
      <c r="E1115">
        <v>964.2</v>
      </c>
      <c r="F1115">
        <v>2</v>
      </c>
      <c r="G1115">
        <v>289.26</v>
      </c>
      <c r="H1115">
        <v>0</v>
      </c>
      <c r="I1115" t="s">
        <v>2793</v>
      </c>
      <c r="J1115" t="s">
        <v>1296</v>
      </c>
      <c r="K1115" t="s">
        <v>31</v>
      </c>
      <c r="L1115" t="s">
        <v>423</v>
      </c>
      <c r="M1115" t="s">
        <v>244</v>
      </c>
      <c r="N1115" t="s">
        <v>3966</v>
      </c>
      <c r="P1115">
        <f t="shared" si="17"/>
        <v>0.3</v>
      </c>
    </row>
    <row r="1116" spans="1:16" x14ac:dyDescent="0.25">
      <c r="A1116" t="s">
        <v>2794</v>
      </c>
      <c r="B1116" s="1">
        <v>45720</v>
      </c>
      <c r="C1116" t="s">
        <v>2795</v>
      </c>
      <c r="D1116" t="s">
        <v>48</v>
      </c>
      <c r="E1116">
        <v>6188.56</v>
      </c>
      <c r="F1116">
        <v>18</v>
      </c>
      <c r="G1116">
        <v>1856.57</v>
      </c>
      <c r="H1116">
        <v>0.1</v>
      </c>
      <c r="I1116" t="s">
        <v>2795</v>
      </c>
      <c r="J1116" t="s">
        <v>410</v>
      </c>
      <c r="K1116" t="s">
        <v>31</v>
      </c>
      <c r="L1116" t="s">
        <v>50</v>
      </c>
      <c r="M1116" t="s">
        <v>51</v>
      </c>
      <c r="N1116" t="s">
        <v>3966</v>
      </c>
      <c r="P1116">
        <f t="shared" si="17"/>
        <v>0.30000032317695874</v>
      </c>
    </row>
    <row r="1117" spans="1:16" x14ac:dyDescent="0.25">
      <c r="A1117" t="s">
        <v>2410</v>
      </c>
      <c r="B1117" s="1">
        <v>45709</v>
      </c>
      <c r="C1117" t="s">
        <v>2411</v>
      </c>
      <c r="D1117" t="s">
        <v>22</v>
      </c>
      <c r="E1117">
        <v>1767.74</v>
      </c>
      <c r="F1117">
        <v>13</v>
      </c>
      <c r="G1117">
        <v>530.32000000000005</v>
      </c>
      <c r="H1117">
        <v>0</v>
      </c>
      <c r="I1117" t="s">
        <v>2411</v>
      </c>
      <c r="J1117" t="s">
        <v>497</v>
      </c>
      <c r="K1117" t="s">
        <v>31</v>
      </c>
      <c r="L1117" t="s">
        <v>326</v>
      </c>
      <c r="M1117" t="s">
        <v>160</v>
      </c>
      <c r="N1117" t="s">
        <v>3966</v>
      </c>
      <c r="P1117">
        <f t="shared" si="17"/>
        <v>0.29999886861189995</v>
      </c>
    </row>
    <row r="1118" spans="1:16" x14ac:dyDescent="0.25">
      <c r="A1118" t="s">
        <v>2412</v>
      </c>
      <c r="B1118" s="1">
        <v>45724</v>
      </c>
      <c r="C1118" t="s">
        <v>2411</v>
      </c>
      <c r="D1118" t="s">
        <v>48</v>
      </c>
      <c r="E1118">
        <v>247.04</v>
      </c>
      <c r="F1118">
        <v>1</v>
      </c>
      <c r="G1118">
        <v>74.11</v>
      </c>
      <c r="H1118">
        <v>0</v>
      </c>
      <c r="I1118" t="s">
        <v>2411</v>
      </c>
      <c r="J1118" t="s">
        <v>497</v>
      </c>
      <c r="K1118" t="s">
        <v>31</v>
      </c>
      <c r="L1118" t="s">
        <v>326</v>
      </c>
      <c r="M1118" t="s">
        <v>160</v>
      </c>
      <c r="N1118" t="s">
        <v>3967</v>
      </c>
      <c r="P1118">
        <f t="shared" si="17"/>
        <v>0.2999919041450777</v>
      </c>
    </row>
    <row r="1119" spans="1:16" x14ac:dyDescent="0.25">
      <c r="A1119" t="s">
        <v>2796</v>
      </c>
      <c r="B1119" s="1">
        <v>45714</v>
      </c>
      <c r="C1119" t="s">
        <v>2797</v>
      </c>
      <c r="D1119" t="s">
        <v>29</v>
      </c>
      <c r="E1119">
        <v>5062.8599999999997</v>
      </c>
      <c r="F1119">
        <v>9</v>
      </c>
      <c r="G1119">
        <v>1518.86</v>
      </c>
      <c r="H1119">
        <v>0</v>
      </c>
      <c r="I1119" t="s">
        <v>2797</v>
      </c>
      <c r="J1119" t="s">
        <v>1185</v>
      </c>
      <c r="K1119" t="s">
        <v>17</v>
      </c>
      <c r="L1119" t="s">
        <v>2428</v>
      </c>
      <c r="M1119" t="s">
        <v>384</v>
      </c>
      <c r="N1119" t="s">
        <v>3966</v>
      </c>
      <c r="P1119">
        <f t="shared" si="17"/>
        <v>0.30000039503363712</v>
      </c>
    </row>
    <row r="1120" spans="1:16" x14ac:dyDescent="0.25">
      <c r="A1120" t="s">
        <v>2798</v>
      </c>
      <c r="B1120" s="1">
        <v>45380</v>
      </c>
      <c r="C1120" t="s">
        <v>2799</v>
      </c>
      <c r="D1120" t="s">
        <v>48</v>
      </c>
      <c r="E1120">
        <v>3056.88</v>
      </c>
      <c r="F1120">
        <v>6</v>
      </c>
      <c r="G1120">
        <v>917.06</v>
      </c>
      <c r="H1120">
        <v>0</v>
      </c>
      <c r="I1120" t="s">
        <v>2799</v>
      </c>
      <c r="J1120" t="s">
        <v>2198</v>
      </c>
      <c r="K1120" t="s">
        <v>17</v>
      </c>
      <c r="L1120" t="s">
        <v>72</v>
      </c>
      <c r="M1120" t="s">
        <v>26</v>
      </c>
      <c r="N1120" t="s">
        <v>3966</v>
      </c>
      <c r="P1120">
        <f t="shared" si="17"/>
        <v>0.29999869147627645</v>
      </c>
    </row>
    <row r="1121" spans="1:16" x14ac:dyDescent="0.25">
      <c r="A1121" t="s">
        <v>2800</v>
      </c>
      <c r="B1121" s="1">
        <v>45805</v>
      </c>
      <c r="C1121" t="s">
        <v>2801</v>
      </c>
      <c r="D1121" t="s">
        <v>29</v>
      </c>
      <c r="E1121">
        <v>1410.27</v>
      </c>
      <c r="F1121">
        <v>3</v>
      </c>
      <c r="G1121">
        <v>423.08</v>
      </c>
      <c r="H1121">
        <v>0</v>
      </c>
      <c r="I1121" t="s">
        <v>2801</v>
      </c>
      <c r="J1121" t="s">
        <v>2802</v>
      </c>
      <c r="K1121" t="s">
        <v>71</v>
      </c>
      <c r="L1121" t="s">
        <v>2803</v>
      </c>
      <c r="M1121" t="s">
        <v>244</v>
      </c>
      <c r="N1121" t="s">
        <v>3966</v>
      </c>
      <c r="P1121">
        <f t="shared" si="17"/>
        <v>0.29999929091592387</v>
      </c>
    </row>
    <row r="1122" spans="1:16" x14ac:dyDescent="0.25">
      <c r="A1122" t="s">
        <v>2804</v>
      </c>
      <c r="B1122" s="1">
        <v>45436</v>
      </c>
      <c r="C1122" t="s">
        <v>2805</v>
      </c>
      <c r="D1122" t="s">
        <v>41</v>
      </c>
      <c r="E1122">
        <v>2808</v>
      </c>
      <c r="F1122">
        <v>10</v>
      </c>
      <c r="G1122">
        <v>842.4</v>
      </c>
      <c r="H1122">
        <v>0</v>
      </c>
      <c r="I1122" t="s">
        <v>2805</v>
      </c>
      <c r="J1122" t="s">
        <v>2000</v>
      </c>
      <c r="K1122" t="s">
        <v>71</v>
      </c>
      <c r="L1122" t="s">
        <v>667</v>
      </c>
      <c r="M1122" t="s">
        <v>111</v>
      </c>
      <c r="N1122" t="s">
        <v>3966</v>
      </c>
      <c r="P1122">
        <f t="shared" si="17"/>
        <v>0.3</v>
      </c>
    </row>
    <row r="1123" spans="1:16" x14ac:dyDescent="0.25">
      <c r="A1123" t="s">
        <v>2806</v>
      </c>
      <c r="B1123" s="1">
        <v>45657</v>
      </c>
      <c r="C1123" t="s">
        <v>2807</v>
      </c>
      <c r="D1123" t="s">
        <v>41</v>
      </c>
      <c r="E1123">
        <v>3279.77</v>
      </c>
      <c r="F1123">
        <v>11</v>
      </c>
      <c r="G1123">
        <v>983.93</v>
      </c>
      <c r="H1123">
        <v>0.1</v>
      </c>
      <c r="I1123" t="s">
        <v>2807</v>
      </c>
      <c r="J1123" t="s">
        <v>466</v>
      </c>
      <c r="K1123" t="s">
        <v>24</v>
      </c>
      <c r="L1123" t="s">
        <v>2396</v>
      </c>
      <c r="M1123" t="s">
        <v>56</v>
      </c>
      <c r="N1123" t="s">
        <v>3966</v>
      </c>
      <c r="P1123">
        <f t="shared" si="17"/>
        <v>0.29999969510057106</v>
      </c>
    </row>
    <row r="1124" spans="1:16" x14ac:dyDescent="0.25">
      <c r="A1124" t="s">
        <v>2808</v>
      </c>
      <c r="B1124" s="1">
        <v>45058</v>
      </c>
      <c r="C1124" t="s">
        <v>2807</v>
      </c>
      <c r="D1124" t="s">
        <v>36</v>
      </c>
      <c r="E1124">
        <v>2036.58</v>
      </c>
      <c r="F1124">
        <v>9</v>
      </c>
      <c r="G1124">
        <v>610.97</v>
      </c>
      <c r="H1124">
        <v>0.1</v>
      </c>
      <c r="I1124" t="s">
        <v>2807</v>
      </c>
      <c r="J1124" t="s">
        <v>466</v>
      </c>
      <c r="K1124" t="s">
        <v>24</v>
      </c>
      <c r="L1124" t="s">
        <v>2396</v>
      </c>
      <c r="M1124" t="s">
        <v>56</v>
      </c>
      <c r="N1124" t="s">
        <v>3966</v>
      </c>
      <c r="P1124">
        <f t="shared" si="17"/>
        <v>0.29999803592296892</v>
      </c>
    </row>
    <row r="1125" spans="1:16" x14ac:dyDescent="0.25">
      <c r="A1125" t="s">
        <v>2228</v>
      </c>
      <c r="B1125" s="1">
        <v>45210</v>
      </c>
      <c r="C1125" t="s">
        <v>2229</v>
      </c>
      <c r="D1125" t="s">
        <v>22</v>
      </c>
      <c r="E1125">
        <v>1388.15</v>
      </c>
      <c r="F1125">
        <v>4</v>
      </c>
      <c r="G1125">
        <v>416.45</v>
      </c>
      <c r="H1125">
        <v>0.15</v>
      </c>
      <c r="I1125" t="s">
        <v>2229</v>
      </c>
      <c r="J1125" t="s">
        <v>2809</v>
      </c>
      <c r="K1125" t="s">
        <v>24</v>
      </c>
      <c r="L1125" t="s">
        <v>143</v>
      </c>
      <c r="M1125" t="s">
        <v>144</v>
      </c>
      <c r="N1125" t="s">
        <v>3966</v>
      </c>
      <c r="P1125">
        <f t="shared" si="17"/>
        <v>0.30000360191621939</v>
      </c>
    </row>
    <row r="1126" spans="1:16" x14ac:dyDescent="0.25">
      <c r="A1126" t="s">
        <v>2231</v>
      </c>
      <c r="B1126" s="1">
        <v>45178</v>
      </c>
      <c r="C1126" t="s">
        <v>2229</v>
      </c>
      <c r="D1126" t="s">
        <v>29</v>
      </c>
      <c r="E1126">
        <v>190.03</v>
      </c>
      <c r="F1126">
        <v>1</v>
      </c>
      <c r="G1126">
        <v>57.01</v>
      </c>
      <c r="H1126">
        <v>0.15</v>
      </c>
      <c r="I1126" t="s">
        <v>2229</v>
      </c>
      <c r="J1126" t="s">
        <v>2809</v>
      </c>
      <c r="K1126" t="s">
        <v>24</v>
      </c>
      <c r="L1126" t="s">
        <v>143</v>
      </c>
      <c r="M1126" t="s">
        <v>144</v>
      </c>
      <c r="N1126" t="s">
        <v>3966</v>
      </c>
      <c r="P1126">
        <f t="shared" si="17"/>
        <v>0.30000526232700098</v>
      </c>
    </row>
    <row r="1127" spans="1:16" x14ac:dyDescent="0.25">
      <c r="A1127" t="s">
        <v>2810</v>
      </c>
      <c r="B1127" s="1">
        <v>45316</v>
      </c>
      <c r="C1127" t="s">
        <v>2811</v>
      </c>
      <c r="D1127" t="s">
        <v>41</v>
      </c>
      <c r="E1127">
        <v>46.63</v>
      </c>
      <c r="F1127">
        <v>2</v>
      </c>
      <c r="G1127">
        <v>13.99</v>
      </c>
      <c r="H1127">
        <v>0.15</v>
      </c>
      <c r="I1127" t="s">
        <v>2811</v>
      </c>
      <c r="J1127" t="s">
        <v>1563</v>
      </c>
      <c r="K1127" t="s">
        <v>31</v>
      </c>
      <c r="L1127" t="s">
        <v>164</v>
      </c>
      <c r="M1127" t="s">
        <v>310</v>
      </c>
      <c r="N1127" t="s">
        <v>3966</v>
      </c>
      <c r="P1127">
        <f t="shared" si="17"/>
        <v>0.30002144542140252</v>
      </c>
    </row>
    <row r="1128" spans="1:16" x14ac:dyDescent="0.25">
      <c r="A1128" t="s">
        <v>2812</v>
      </c>
      <c r="B1128" s="1">
        <v>44960</v>
      </c>
      <c r="C1128" t="s">
        <v>2813</v>
      </c>
      <c r="D1128" t="s">
        <v>22</v>
      </c>
      <c r="E1128">
        <v>3185.03</v>
      </c>
      <c r="F1128">
        <v>11</v>
      </c>
      <c r="G1128">
        <v>955.51</v>
      </c>
      <c r="H1128">
        <v>0.1</v>
      </c>
      <c r="I1128" t="s">
        <v>2813</v>
      </c>
      <c r="J1128" t="s">
        <v>894</v>
      </c>
      <c r="K1128" t="s">
        <v>17</v>
      </c>
      <c r="L1128" t="s">
        <v>2814</v>
      </c>
      <c r="M1128" t="s">
        <v>412</v>
      </c>
      <c r="N1128" t="s">
        <v>3966</v>
      </c>
      <c r="P1128">
        <f t="shared" si="17"/>
        <v>0.30000031396878518</v>
      </c>
    </row>
    <row r="1129" spans="1:16" x14ac:dyDescent="0.25">
      <c r="A1129" t="s">
        <v>517</v>
      </c>
      <c r="B1129" s="1">
        <v>45481</v>
      </c>
      <c r="C1129" t="s">
        <v>518</v>
      </c>
      <c r="D1129" t="s">
        <v>29</v>
      </c>
      <c r="E1129">
        <v>838.44</v>
      </c>
      <c r="F1129">
        <v>5</v>
      </c>
      <c r="G1129">
        <v>251.53</v>
      </c>
      <c r="H1129">
        <v>0.1</v>
      </c>
      <c r="I1129" t="s">
        <v>518</v>
      </c>
      <c r="J1129" t="s">
        <v>947</v>
      </c>
      <c r="K1129" t="s">
        <v>31</v>
      </c>
      <c r="L1129" t="s">
        <v>2623</v>
      </c>
      <c r="M1129" t="s">
        <v>342</v>
      </c>
      <c r="N1129" t="s">
        <v>3968</v>
      </c>
      <c r="P1129">
        <f t="shared" si="17"/>
        <v>0.2999976146176232</v>
      </c>
    </row>
    <row r="1130" spans="1:16" x14ac:dyDescent="0.25">
      <c r="A1130" t="s">
        <v>520</v>
      </c>
      <c r="B1130" s="1">
        <v>45091</v>
      </c>
      <c r="C1130" t="s">
        <v>518</v>
      </c>
      <c r="D1130" t="s">
        <v>91</v>
      </c>
      <c r="E1130">
        <v>2590.4</v>
      </c>
      <c r="F1130">
        <v>8</v>
      </c>
      <c r="G1130">
        <v>777.12</v>
      </c>
      <c r="H1130">
        <v>0</v>
      </c>
      <c r="I1130" t="s">
        <v>518</v>
      </c>
      <c r="J1130" t="s">
        <v>947</v>
      </c>
      <c r="K1130" t="s">
        <v>31</v>
      </c>
      <c r="L1130" t="s">
        <v>2623</v>
      </c>
      <c r="M1130" t="s">
        <v>342</v>
      </c>
      <c r="N1130" t="s">
        <v>3968</v>
      </c>
      <c r="P1130">
        <f t="shared" si="17"/>
        <v>0.3</v>
      </c>
    </row>
    <row r="1131" spans="1:16" x14ac:dyDescent="0.25">
      <c r="A1131" t="s">
        <v>2815</v>
      </c>
      <c r="B1131" s="1">
        <v>45808</v>
      </c>
      <c r="C1131" t="s">
        <v>2816</v>
      </c>
      <c r="D1131" t="s">
        <v>48</v>
      </c>
      <c r="E1131">
        <v>1170.8399999999999</v>
      </c>
      <c r="F1131">
        <v>3</v>
      </c>
      <c r="G1131">
        <v>351.25</v>
      </c>
      <c r="H1131">
        <v>0</v>
      </c>
      <c r="I1131" t="s">
        <v>2816</v>
      </c>
      <c r="J1131" t="s">
        <v>2571</v>
      </c>
      <c r="K1131" t="s">
        <v>24</v>
      </c>
      <c r="L1131" t="s">
        <v>155</v>
      </c>
      <c r="M1131" t="s">
        <v>111</v>
      </c>
      <c r="N1131" t="s">
        <v>3966</v>
      </c>
      <c r="P1131">
        <f t="shared" si="17"/>
        <v>0.29999829182467291</v>
      </c>
    </row>
    <row r="1132" spans="1:16" x14ac:dyDescent="0.25">
      <c r="A1132" t="s">
        <v>2817</v>
      </c>
      <c r="B1132" s="1">
        <v>45239</v>
      </c>
      <c r="C1132" t="s">
        <v>2818</v>
      </c>
      <c r="D1132" t="s">
        <v>48</v>
      </c>
      <c r="E1132">
        <v>1932.65</v>
      </c>
      <c r="F1132">
        <v>13</v>
      </c>
      <c r="G1132">
        <v>579.79</v>
      </c>
      <c r="H1132">
        <v>0.15</v>
      </c>
      <c r="I1132" t="s">
        <v>2818</v>
      </c>
      <c r="J1132" t="s">
        <v>2819</v>
      </c>
      <c r="K1132" t="s">
        <v>24</v>
      </c>
      <c r="L1132" t="s">
        <v>155</v>
      </c>
      <c r="M1132" t="s">
        <v>111</v>
      </c>
      <c r="N1132" t="s">
        <v>3966</v>
      </c>
      <c r="P1132">
        <f t="shared" si="17"/>
        <v>0.29999741287868986</v>
      </c>
    </row>
    <row r="1133" spans="1:16" x14ac:dyDescent="0.25">
      <c r="A1133" t="s">
        <v>2820</v>
      </c>
      <c r="B1133" s="1">
        <v>45113</v>
      </c>
      <c r="C1133" t="s">
        <v>2821</v>
      </c>
      <c r="D1133" t="s">
        <v>36</v>
      </c>
      <c r="E1133">
        <v>3017.74</v>
      </c>
      <c r="F1133">
        <v>8</v>
      </c>
      <c r="G1133">
        <v>905.32</v>
      </c>
      <c r="H1133">
        <v>0.1</v>
      </c>
      <c r="I1133" t="s">
        <v>2821</v>
      </c>
      <c r="J1133" t="s">
        <v>563</v>
      </c>
      <c r="K1133" t="s">
        <v>31</v>
      </c>
      <c r="L1133" t="s">
        <v>919</v>
      </c>
      <c r="M1133" t="s">
        <v>186</v>
      </c>
      <c r="N1133" t="s">
        <v>3966</v>
      </c>
      <c r="P1133">
        <f t="shared" si="17"/>
        <v>0.29999933725238098</v>
      </c>
    </row>
    <row r="1134" spans="1:16" x14ac:dyDescent="0.25">
      <c r="A1134" t="s">
        <v>2822</v>
      </c>
      <c r="B1134" s="1">
        <v>45121</v>
      </c>
      <c r="C1134" t="s">
        <v>2823</v>
      </c>
      <c r="D1134" t="s">
        <v>36</v>
      </c>
      <c r="E1134">
        <v>1403.52</v>
      </c>
      <c r="F1134">
        <v>12</v>
      </c>
      <c r="G1134">
        <v>421.06</v>
      </c>
      <c r="H1134">
        <v>0</v>
      </c>
      <c r="I1134" t="s">
        <v>2823</v>
      </c>
      <c r="J1134" t="s">
        <v>922</v>
      </c>
      <c r="K1134" t="s">
        <v>31</v>
      </c>
      <c r="L1134" t="s">
        <v>1002</v>
      </c>
      <c r="M1134" t="s">
        <v>221</v>
      </c>
      <c r="N1134" t="s">
        <v>3967</v>
      </c>
      <c r="P1134">
        <f t="shared" si="17"/>
        <v>0.30000284997720017</v>
      </c>
    </row>
    <row r="1135" spans="1:16" x14ac:dyDescent="0.25">
      <c r="A1135" t="s">
        <v>2824</v>
      </c>
      <c r="B1135" s="1">
        <v>45243</v>
      </c>
      <c r="C1135" t="s">
        <v>2825</v>
      </c>
      <c r="D1135" t="s">
        <v>36</v>
      </c>
      <c r="E1135">
        <v>3204.83</v>
      </c>
      <c r="F1135">
        <v>11</v>
      </c>
      <c r="G1135">
        <v>961.45</v>
      </c>
      <c r="H1135">
        <v>0.1</v>
      </c>
      <c r="I1135" t="s">
        <v>2825</v>
      </c>
      <c r="J1135" t="s">
        <v>2051</v>
      </c>
      <c r="K1135" t="s">
        <v>71</v>
      </c>
      <c r="L1135" t="s">
        <v>2182</v>
      </c>
      <c r="M1135" t="s">
        <v>160</v>
      </c>
      <c r="N1135" t="s">
        <v>3968</v>
      </c>
      <c r="P1135">
        <f t="shared" si="17"/>
        <v>0.30000031202903121</v>
      </c>
    </row>
    <row r="1136" spans="1:16" x14ac:dyDescent="0.25">
      <c r="A1136" t="s">
        <v>2826</v>
      </c>
      <c r="B1136" s="1">
        <v>45690</v>
      </c>
      <c r="C1136" t="s">
        <v>2827</v>
      </c>
      <c r="D1136" t="s">
        <v>91</v>
      </c>
      <c r="E1136">
        <v>1624.87</v>
      </c>
      <c r="F1136">
        <v>11</v>
      </c>
      <c r="G1136">
        <v>487.46</v>
      </c>
      <c r="H1136">
        <v>0.05</v>
      </c>
      <c r="I1136" t="s">
        <v>2827</v>
      </c>
      <c r="J1136" t="s">
        <v>666</v>
      </c>
      <c r="K1136" t="s">
        <v>71</v>
      </c>
      <c r="L1136" t="s">
        <v>265</v>
      </c>
      <c r="M1136" t="s">
        <v>645</v>
      </c>
      <c r="N1136" t="s">
        <v>3968</v>
      </c>
      <c r="P1136">
        <f t="shared" si="17"/>
        <v>0.29999938456614994</v>
      </c>
    </row>
    <row r="1137" spans="1:16" x14ac:dyDescent="0.25">
      <c r="A1137" t="s">
        <v>2828</v>
      </c>
      <c r="B1137" s="1">
        <v>45418</v>
      </c>
      <c r="C1137" t="s">
        <v>2829</v>
      </c>
      <c r="D1137" t="s">
        <v>41</v>
      </c>
      <c r="E1137">
        <v>5404</v>
      </c>
      <c r="F1137">
        <v>20</v>
      </c>
      <c r="G1137">
        <v>1621.2</v>
      </c>
      <c r="H1137">
        <v>0</v>
      </c>
      <c r="I1137" t="s">
        <v>2829</v>
      </c>
      <c r="J1137" t="s">
        <v>689</v>
      </c>
      <c r="K1137" t="s">
        <v>24</v>
      </c>
      <c r="L1137" t="s">
        <v>2830</v>
      </c>
      <c r="M1137" t="s">
        <v>342</v>
      </c>
      <c r="N1137" t="s">
        <v>3966</v>
      </c>
      <c r="P1137">
        <f t="shared" si="17"/>
        <v>0.3</v>
      </c>
    </row>
    <row r="1138" spans="1:16" x14ac:dyDescent="0.25">
      <c r="A1138" t="s">
        <v>1957</v>
      </c>
      <c r="B1138" s="1">
        <v>45582</v>
      </c>
      <c r="C1138" t="s">
        <v>1958</v>
      </c>
      <c r="D1138" t="s">
        <v>41</v>
      </c>
      <c r="E1138">
        <v>6508.08</v>
      </c>
      <c r="F1138">
        <v>15</v>
      </c>
      <c r="G1138">
        <v>1952.42</v>
      </c>
      <c r="H1138">
        <v>0.1</v>
      </c>
      <c r="I1138" t="s">
        <v>1958</v>
      </c>
      <c r="J1138" t="s">
        <v>1981</v>
      </c>
      <c r="K1138" t="s">
        <v>24</v>
      </c>
      <c r="L1138" t="s">
        <v>511</v>
      </c>
      <c r="M1138" t="s">
        <v>26</v>
      </c>
      <c r="N1138" t="s">
        <v>3967</v>
      </c>
      <c r="P1138">
        <f t="shared" si="17"/>
        <v>0.29999938537940529</v>
      </c>
    </row>
    <row r="1139" spans="1:16" x14ac:dyDescent="0.25">
      <c r="A1139" t="s">
        <v>1959</v>
      </c>
      <c r="B1139" s="1">
        <v>45763</v>
      </c>
      <c r="C1139" t="s">
        <v>1958</v>
      </c>
      <c r="D1139" t="s">
        <v>48</v>
      </c>
      <c r="E1139">
        <v>4198.82</v>
      </c>
      <c r="F1139">
        <v>8</v>
      </c>
      <c r="G1139">
        <v>1259.6500000000001</v>
      </c>
      <c r="H1139">
        <v>0.1</v>
      </c>
      <c r="I1139" t="s">
        <v>1958</v>
      </c>
      <c r="J1139" t="s">
        <v>1981</v>
      </c>
      <c r="K1139" t="s">
        <v>24</v>
      </c>
      <c r="L1139" t="s">
        <v>511</v>
      </c>
      <c r="M1139" t="s">
        <v>26</v>
      </c>
      <c r="N1139" t="s">
        <v>3967</v>
      </c>
      <c r="P1139">
        <f t="shared" si="17"/>
        <v>0.30000095264860133</v>
      </c>
    </row>
    <row r="1140" spans="1:16" x14ac:dyDescent="0.25">
      <c r="A1140" t="s">
        <v>2831</v>
      </c>
      <c r="B1140" s="1">
        <v>45686</v>
      </c>
      <c r="C1140" t="s">
        <v>2832</v>
      </c>
      <c r="D1140" t="s">
        <v>15</v>
      </c>
      <c r="E1140">
        <v>4271.95</v>
      </c>
      <c r="F1140">
        <v>11</v>
      </c>
      <c r="G1140">
        <v>1281.58</v>
      </c>
      <c r="H1140">
        <v>0.1</v>
      </c>
      <c r="I1140" t="s">
        <v>2832</v>
      </c>
      <c r="J1140" t="s">
        <v>2833</v>
      </c>
      <c r="K1140" t="s">
        <v>31</v>
      </c>
      <c r="L1140" t="s">
        <v>265</v>
      </c>
      <c r="M1140" t="s">
        <v>266</v>
      </c>
      <c r="N1140" t="s">
        <v>3967</v>
      </c>
      <c r="P1140">
        <f t="shared" si="17"/>
        <v>0.29999882957431617</v>
      </c>
    </row>
    <row r="1141" spans="1:16" x14ac:dyDescent="0.25">
      <c r="A1141" t="s">
        <v>2834</v>
      </c>
      <c r="B1141" s="1">
        <v>45739</v>
      </c>
      <c r="C1141" t="s">
        <v>2835</v>
      </c>
      <c r="D1141" t="s">
        <v>36</v>
      </c>
      <c r="E1141">
        <v>1513.8</v>
      </c>
      <c r="F1141">
        <v>5</v>
      </c>
      <c r="G1141">
        <v>454.14</v>
      </c>
      <c r="H1141">
        <v>0</v>
      </c>
      <c r="I1141" t="s">
        <v>2835</v>
      </c>
      <c r="J1141" t="s">
        <v>2740</v>
      </c>
      <c r="K1141" t="s">
        <v>38</v>
      </c>
      <c r="L1141" t="s">
        <v>164</v>
      </c>
      <c r="M1141" t="s">
        <v>310</v>
      </c>
      <c r="N1141" t="s">
        <v>3967</v>
      </c>
      <c r="P1141">
        <f t="shared" si="17"/>
        <v>0.3</v>
      </c>
    </row>
    <row r="1142" spans="1:16" x14ac:dyDescent="0.25">
      <c r="A1142" t="s">
        <v>2836</v>
      </c>
      <c r="B1142" s="1">
        <v>45393</v>
      </c>
      <c r="C1142" t="s">
        <v>2837</v>
      </c>
      <c r="D1142" t="s">
        <v>36</v>
      </c>
      <c r="E1142">
        <v>6553.48</v>
      </c>
      <c r="F1142">
        <v>19</v>
      </c>
      <c r="G1142">
        <v>1966.04</v>
      </c>
      <c r="H1142">
        <v>0</v>
      </c>
      <c r="I1142" t="s">
        <v>2837</v>
      </c>
      <c r="J1142" t="s">
        <v>2833</v>
      </c>
      <c r="K1142" t="s">
        <v>71</v>
      </c>
      <c r="L1142" t="s">
        <v>82</v>
      </c>
      <c r="M1142" t="s">
        <v>83</v>
      </c>
      <c r="N1142" t="s">
        <v>3967</v>
      </c>
      <c r="P1142">
        <f t="shared" si="17"/>
        <v>0.29999938963726142</v>
      </c>
    </row>
    <row r="1143" spans="1:16" x14ac:dyDescent="0.25">
      <c r="A1143" t="s">
        <v>2838</v>
      </c>
      <c r="B1143" s="1">
        <v>45415</v>
      </c>
      <c r="C1143" t="s">
        <v>2839</v>
      </c>
      <c r="D1143" t="s">
        <v>36</v>
      </c>
      <c r="E1143">
        <v>3222.2</v>
      </c>
      <c r="F1143">
        <v>7</v>
      </c>
      <c r="G1143">
        <v>966.66</v>
      </c>
      <c r="H1143">
        <v>0.1</v>
      </c>
      <c r="I1143" t="s">
        <v>2839</v>
      </c>
      <c r="J1143" t="s">
        <v>2571</v>
      </c>
      <c r="K1143" t="s">
        <v>38</v>
      </c>
      <c r="L1143" t="s">
        <v>164</v>
      </c>
      <c r="M1143" t="s">
        <v>221</v>
      </c>
      <c r="N1143" t="s">
        <v>3966</v>
      </c>
      <c r="P1143">
        <f t="shared" si="17"/>
        <v>0.3</v>
      </c>
    </row>
    <row r="1144" spans="1:16" x14ac:dyDescent="0.25">
      <c r="A1144" t="s">
        <v>2840</v>
      </c>
      <c r="B1144" s="1">
        <v>45579</v>
      </c>
      <c r="C1144" t="s">
        <v>2841</v>
      </c>
      <c r="D1144" t="s">
        <v>48</v>
      </c>
      <c r="E1144">
        <v>896.07</v>
      </c>
      <c r="F1144">
        <v>7</v>
      </c>
      <c r="G1144">
        <v>268.82</v>
      </c>
      <c r="H1144">
        <v>0.15</v>
      </c>
      <c r="I1144" t="s">
        <v>2841</v>
      </c>
      <c r="J1144" t="s">
        <v>2842</v>
      </c>
      <c r="K1144" t="s">
        <v>17</v>
      </c>
      <c r="L1144" t="s">
        <v>99</v>
      </c>
      <c r="M1144" t="s">
        <v>56</v>
      </c>
      <c r="N1144" t="s">
        <v>3966</v>
      </c>
      <c r="P1144">
        <f t="shared" si="17"/>
        <v>0.29999888401575769</v>
      </c>
    </row>
    <row r="1145" spans="1:16" x14ac:dyDescent="0.25">
      <c r="A1145" t="s">
        <v>2843</v>
      </c>
      <c r="B1145" s="1">
        <v>45330</v>
      </c>
      <c r="C1145" t="s">
        <v>2844</v>
      </c>
      <c r="D1145" t="s">
        <v>22</v>
      </c>
      <c r="E1145">
        <v>1074.54</v>
      </c>
      <c r="F1145">
        <v>8</v>
      </c>
      <c r="G1145">
        <v>322.36</v>
      </c>
      <c r="H1145">
        <v>0.15</v>
      </c>
      <c r="I1145" t="s">
        <v>2844</v>
      </c>
      <c r="J1145" t="s">
        <v>2650</v>
      </c>
      <c r="K1145" t="s">
        <v>71</v>
      </c>
      <c r="L1145" t="s">
        <v>2845</v>
      </c>
      <c r="M1145" t="s">
        <v>165</v>
      </c>
      <c r="N1145" t="s">
        <v>3966</v>
      </c>
      <c r="P1145">
        <f t="shared" si="17"/>
        <v>0.29999813873843695</v>
      </c>
    </row>
    <row r="1146" spans="1:16" x14ac:dyDescent="0.25">
      <c r="A1146" t="s">
        <v>2846</v>
      </c>
      <c r="B1146" s="1">
        <v>45056</v>
      </c>
      <c r="C1146" t="s">
        <v>2847</v>
      </c>
      <c r="D1146" t="s">
        <v>91</v>
      </c>
      <c r="E1146">
        <v>965.12</v>
      </c>
      <c r="F1146">
        <v>2</v>
      </c>
      <c r="G1146">
        <v>289.54000000000002</v>
      </c>
      <c r="H1146">
        <v>0.1</v>
      </c>
      <c r="I1146" t="s">
        <v>2847</v>
      </c>
      <c r="J1146" t="s">
        <v>2848</v>
      </c>
      <c r="K1146" t="s">
        <v>38</v>
      </c>
      <c r="L1146" t="s">
        <v>314</v>
      </c>
      <c r="M1146" t="s">
        <v>26</v>
      </c>
      <c r="N1146" t="s">
        <v>3966</v>
      </c>
      <c r="P1146">
        <f t="shared" si="17"/>
        <v>0.30000414456233426</v>
      </c>
    </row>
    <row r="1147" spans="1:16" x14ac:dyDescent="0.25">
      <c r="A1147" t="s">
        <v>2849</v>
      </c>
      <c r="B1147" s="1">
        <v>44988</v>
      </c>
      <c r="C1147" t="s">
        <v>2850</v>
      </c>
      <c r="D1147" t="s">
        <v>36</v>
      </c>
      <c r="E1147">
        <v>7769.14</v>
      </c>
      <c r="F1147">
        <v>16</v>
      </c>
      <c r="G1147">
        <v>2330.7399999999998</v>
      </c>
      <c r="H1147">
        <v>0.15</v>
      </c>
      <c r="I1147" t="s">
        <v>2850</v>
      </c>
      <c r="J1147" t="s">
        <v>2557</v>
      </c>
      <c r="K1147" t="s">
        <v>31</v>
      </c>
      <c r="L1147" t="s">
        <v>746</v>
      </c>
      <c r="M1147" t="s">
        <v>19</v>
      </c>
      <c r="N1147" t="s">
        <v>3966</v>
      </c>
      <c r="P1147">
        <f t="shared" si="17"/>
        <v>0.29999974257124978</v>
      </c>
    </row>
    <row r="1148" spans="1:16" x14ac:dyDescent="0.25">
      <c r="A1148" t="s">
        <v>2314</v>
      </c>
      <c r="B1148" s="1">
        <v>45798</v>
      </c>
      <c r="C1148" t="s">
        <v>2315</v>
      </c>
      <c r="D1148" t="s">
        <v>91</v>
      </c>
      <c r="E1148">
        <v>1451.74</v>
      </c>
      <c r="F1148">
        <v>12</v>
      </c>
      <c r="G1148">
        <v>435.52</v>
      </c>
      <c r="H1148">
        <v>0.1</v>
      </c>
      <c r="I1148" t="s">
        <v>2315</v>
      </c>
      <c r="J1148" t="s">
        <v>1474</v>
      </c>
      <c r="K1148" t="s">
        <v>38</v>
      </c>
      <c r="L1148" t="s">
        <v>2851</v>
      </c>
      <c r="M1148" t="s">
        <v>56</v>
      </c>
      <c r="N1148" t="s">
        <v>3966</v>
      </c>
      <c r="P1148">
        <f t="shared" si="17"/>
        <v>0.29999862234284375</v>
      </c>
    </row>
    <row r="1149" spans="1:16" x14ac:dyDescent="0.25">
      <c r="A1149" t="s">
        <v>2316</v>
      </c>
      <c r="B1149" s="1">
        <v>45826</v>
      </c>
      <c r="C1149" t="s">
        <v>2315</v>
      </c>
      <c r="D1149" t="s">
        <v>48</v>
      </c>
      <c r="E1149">
        <v>7133.71</v>
      </c>
      <c r="F1149">
        <v>17</v>
      </c>
      <c r="G1149">
        <v>2140.11</v>
      </c>
      <c r="H1149">
        <v>0</v>
      </c>
      <c r="I1149" t="s">
        <v>2315</v>
      </c>
      <c r="J1149" t="s">
        <v>1474</v>
      </c>
      <c r="K1149" t="s">
        <v>38</v>
      </c>
      <c r="L1149" t="s">
        <v>2851</v>
      </c>
      <c r="M1149" t="s">
        <v>56</v>
      </c>
      <c r="N1149" t="s">
        <v>3966</v>
      </c>
      <c r="P1149">
        <f t="shared" si="17"/>
        <v>0.29999957946145833</v>
      </c>
    </row>
    <row r="1150" spans="1:16" x14ac:dyDescent="0.25">
      <c r="A1150" t="s">
        <v>2852</v>
      </c>
      <c r="B1150" s="1">
        <v>45777</v>
      </c>
      <c r="C1150" t="s">
        <v>2853</v>
      </c>
      <c r="D1150" t="s">
        <v>15</v>
      </c>
      <c r="E1150">
        <v>2818.5</v>
      </c>
      <c r="F1150">
        <v>5</v>
      </c>
      <c r="G1150">
        <v>845.55</v>
      </c>
      <c r="H1150">
        <v>0</v>
      </c>
      <c r="I1150" t="s">
        <v>2853</v>
      </c>
      <c r="J1150" t="s">
        <v>1482</v>
      </c>
      <c r="K1150" t="s">
        <v>38</v>
      </c>
      <c r="L1150" t="s">
        <v>200</v>
      </c>
      <c r="M1150" t="s">
        <v>310</v>
      </c>
      <c r="N1150" t="s">
        <v>3966</v>
      </c>
      <c r="P1150">
        <f t="shared" si="17"/>
        <v>0.3</v>
      </c>
    </row>
    <row r="1151" spans="1:16" x14ac:dyDescent="0.25">
      <c r="A1151" t="s">
        <v>2854</v>
      </c>
      <c r="B1151" s="1">
        <v>45018</v>
      </c>
      <c r="C1151" t="s">
        <v>2855</v>
      </c>
      <c r="D1151" t="s">
        <v>22</v>
      </c>
      <c r="E1151">
        <v>5110.43</v>
      </c>
      <c r="F1151">
        <v>11</v>
      </c>
      <c r="G1151">
        <v>1533.13</v>
      </c>
      <c r="H1151">
        <v>0.15</v>
      </c>
      <c r="I1151" t="s">
        <v>2855</v>
      </c>
      <c r="J1151" t="s">
        <v>2349</v>
      </c>
      <c r="K1151" t="s">
        <v>31</v>
      </c>
      <c r="L1151" t="s">
        <v>155</v>
      </c>
      <c r="M1151" t="s">
        <v>111</v>
      </c>
      <c r="N1151" t="s">
        <v>3966</v>
      </c>
      <c r="P1151">
        <f t="shared" si="17"/>
        <v>0.30000019567825015</v>
      </c>
    </row>
    <row r="1152" spans="1:16" x14ac:dyDescent="0.25">
      <c r="A1152" t="s">
        <v>1035</v>
      </c>
      <c r="B1152" s="1">
        <v>45530</v>
      </c>
      <c r="C1152" t="s">
        <v>1036</v>
      </c>
      <c r="D1152" t="s">
        <v>48</v>
      </c>
      <c r="E1152">
        <v>3119.72</v>
      </c>
      <c r="F1152">
        <v>9</v>
      </c>
      <c r="G1152">
        <v>935.92</v>
      </c>
      <c r="H1152">
        <v>0.05</v>
      </c>
      <c r="I1152" t="s">
        <v>1036</v>
      </c>
      <c r="J1152" t="s">
        <v>2021</v>
      </c>
      <c r="K1152" t="s">
        <v>31</v>
      </c>
      <c r="L1152" t="s">
        <v>2856</v>
      </c>
      <c r="M1152" t="s">
        <v>176</v>
      </c>
      <c r="N1152" t="s">
        <v>3966</v>
      </c>
      <c r="P1152">
        <f t="shared" si="17"/>
        <v>0.30000128216634825</v>
      </c>
    </row>
    <row r="1153" spans="1:16" x14ac:dyDescent="0.25">
      <c r="A1153" t="s">
        <v>1038</v>
      </c>
      <c r="B1153" s="1">
        <v>45509</v>
      </c>
      <c r="C1153" t="s">
        <v>1036</v>
      </c>
      <c r="D1153" t="s">
        <v>22</v>
      </c>
      <c r="E1153">
        <v>4637.8599999999997</v>
      </c>
      <c r="F1153">
        <v>19</v>
      </c>
      <c r="G1153">
        <v>1391.36</v>
      </c>
      <c r="H1153">
        <v>0.1</v>
      </c>
      <c r="I1153" t="s">
        <v>1036</v>
      </c>
      <c r="J1153" t="s">
        <v>2021</v>
      </c>
      <c r="K1153" t="s">
        <v>31</v>
      </c>
      <c r="L1153" t="s">
        <v>2856</v>
      </c>
      <c r="M1153" t="s">
        <v>176</v>
      </c>
      <c r="N1153" t="s">
        <v>3967</v>
      </c>
      <c r="P1153">
        <f t="shared" si="17"/>
        <v>0.30000043123337056</v>
      </c>
    </row>
    <row r="1154" spans="1:16" x14ac:dyDescent="0.25">
      <c r="A1154" t="s">
        <v>2857</v>
      </c>
      <c r="B1154" s="1">
        <v>45240</v>
      </c>
      <c r="C1154" t="s">
        <v>2858</v>
      </c>
      <c r="D1154" t="s">
        <v>48</v>
      </c>
      <c r="E1154">
        <v>2191.21</v>
      </c>
      <c r="F1154">
        <v>7</v>
      </c>
      <c r="G1154">
        <v>657.36</v>
      </c>
      <c r="H1154">
        <v>0.15</v>
      </c>
      <c r="I1154" t="s">
        <v>2858</v>
      </c>
      <c r="J1154" t="s">
        <v>2859</v>
      </c>
      <c r="K1154" t="s">
        <v>24</v>
      </c>
      <c r="L1154" t="s">
        <v>99</v>
      </c>
      <c r="M1154" t="s">
        <v>56</v>
      </c>
      <c r="N1154" t="s">
        <v>3967</v>
      </c>
      <c r="P1154">
        <f t="shared" si="17"/>
        <v>0.29999863089343332</v>
      </c>
    </row>
    <row r="1155" spans="1:16" x14ac:dyDescent="0.25">
      <c r="A1155" t="s">
        <v>2860</v>
      </c>
      <c r="B1155" s="1">
        <v>45684</v>
      </c>
      <c r="C1155" t="s">
        <v>2861</v>
      </c>
      <c r="D1155" t="s">
        <v>41</v>
      </c>
      <c r="E1155">
        <v>10745.6</v>
      </c>
      <c r="F1155">
        <v>20</v>
      </c>
      <c r="G1155">
        <v>3223.68</v>
      </c>
      <c r="H1155">
        <v>0</v>
      </c>
      <c r="I1155" t="s">
        <v>2861</v>
      </c>
      <c r="J1155" t="s">
        <v>2862</v>
      </c>
      <c r="K1155" t="s">
        <v>38</v>
      </c>
      <c r="L1155" t="s">
        <v>791</v>
      </c>
      <c r="M1155" t="s">
        <v>186</v>
      </c>
      <c r="N1155" t="s">
        <v>3967</v>
      </c>
      <c r="P1155">
        <f t="shared" ref="P1155:P1218" si="18">G1155/E1155</f>
        <v>0.3</v>
      </c>
    </row>
    <row r="1156" spans="1:16" x14ac:dyDescent="0.25">
      <c r="A1156" t="s">
        <v>2863</v>
      </c>
      <c r="B1156" s="1">
        <v>45408</v>
      </c>
      <c r="C1156" t="s">
        <v>2864</v>
      </c>
      <c r="D1156" t="s">
        <v>22</v>
      </c>
      <c r="E1156">
        <v>309.27</v>
      </c>
      <c r="F1156">
        <v>3</v>
      </c>
      <c r="G1156">
        <v>92.78</v>
      </c>
      <c r="H1156">
        <v>0</v>
      </c>
      <c r="I1156" t="s">
        <v>2864</v>
      </c>
      <c r="J1156" t="s">
        <v>1383</v>
      </c>
      <c r="K1156" t="s">
        <v>24</v>
      </c>
      <c r="L1156" t="s">
        <v>2865</v>
      </c>
      <c r="M1156" t="s">
        <v>26</v>
      </c>
      <c r="N1156" t="s">
        <v>3968</v>
      </c>
      <c r="P1156">
        <f t="shared" si="18"/>
        <v>0.2999967665793643</v>
      </c>
    </row>
    <row r="1157" spans="1:16" x14ac:dyDescent="0.25">
      <c r="A1157" t="s">
        <v>2866</v>
      </c>
      <c r="B1157" s="1">
        <v>45257</v>
      </c>
      <c r="C1157" t="s">
        <v>2867</v>
      </c>
      <c r="D1157" t="s">
        <v>91</v>
      </c>
      <c r="E1157">
        <v>878.04</v>
      </c>
      <c r="F1157">
        <v>9</v>
      </c>
      <c r="G1157">
        <v>263.41000000000003</v>
      </c>
      <c r="H1157">
        <v>0</v>
      </c>
      <c r="I1157" t="s">
        <v>2867</v>
      </c>
      <c r="J1157" t="s">
        <v>2868</v>
      </c>
      <c r="K1157" t="s">
        <v>17</v>
      </c>
      <c r="L1157" t="s">
        <v>1932</v>
      </c>
      <c r="M1157" t="s">
        <v>710</v>
      </c>
      <c r="N1157" t="s">
        <v>3968</v>
      </c>
      <c r="P1157">
        <f t="shared" si="18"/>
        <v>0.29999772219944426</v>
      </c>
    </row>
    <row r="1158" spans="1:16" x14ac:dyDescent="0.25">
      <c r="A1158" t="s">
        <v>2869</v>
      </c>
      <c r="B1158" s="1">
        <v>45015</v>
      </c>
      <c r="C1158" t="s">
        <v>2870</v>
      </c>
      <c r="D1158" t="s">
        <v>91</v>
      </c>
      <c r="E1158">
        <v>2879.38</v>
      </c>
      <c r="F1158">
        <v>10</v>
      </c>
      <c r="G1158">
        <v>863.81</v>
      </c>
      <c r="H1158">
        <v>0.15</v>
      </c>
      <c r="I1158" t="s">
        <v>2870</v>
      </c>
      <c r="J1158" t="s">
        <v>1931</v>
      </c>
      <c r="K1158" t="s">
        <v>38</v>
      </c>
      <c r="L1158" t="s">
        <v>1878</v>
      </c>
      <c r="M1158" t="s">
        <v>26</v>
      </c>
      <c r="N1158" t="s">
        <v>3968</v>
      </c>
      <c r="P1158">
        <f t="shared" si="18"/>
        <v>0.29999861081204976</v>
      </c>
    </row>
    <row r="1159" spans="1:16" x14ac:dyDescent="0.25">
      <c r="A1159" t="s">
        <v>2871</v>
      </c>
      <c r="B1159" s="1">
        <v>45355</v>
      </c>
      <c r="C1159" t="s">
        <v>2872</v>
      </c>
      <c r="D1159" t="s">
        <v>29</v>
      </c>
      <c r="E1159">
        <v>478.08</v>
      </c>
      <c r="F1159">
        <v>2</v>
      </c>
      <c r="G1159">
        <v>143.41999999999999</v>
      </c>
      <c r="H1159">
        <v>0</v>
      </c>
      <c r="I1159" t="s">
        <v>2872</v>
      </c>
      <c r="J1159" t="s">
        <v>2427</v>
      </c>
      <c r="K1159" t="s">
        <v>31</v>
      </c>
      <c r="L1159" t="s">
        <v>50</v>
      </c>
      <c r="M1159" t="s">
        <v>51</v>
      </c>
      <c r="N1159" t="s">
        <v>3968</v>
      </c>
      <c r="P1159">
        <f t="shared" si="18"/>
        <v>0.29999163319946454</v>
      </c>
    </row>
    <row r="1160" spans="1:16" x14ac:dyDescent="0.25">
      <c r="A1160" t="s">
        <v>2873</v>
      </c>
      <c r="B1160" s="1">
        <v>45118</v>
      </c>
      <c r="C1160" t="s">
        <v>2874</v>
      </c>
      <c r="D1160" t="s">
        <v>15</v>
      </c>
      <c r="E1160">
        <v>4566.74</v>
      </c>
      <c r="F1160">
        <v>14</v>
      </c>
      <c r="G1160">
        <v>1370.02</v>
      </c>
      <c r="H1160">
        <v>0.1</v>
      </c>
      <c r="I1160" t="s">
        <v>2874</v>
      </c>
      <c r="J1160" t="s">
        <v>410</v>
      </c>
      <c r="K1160" t="s">
        <v>24</v>
      </c>
      <c r="L1160" t="s">
        <v>1280</v>
      </c>
      <c r="M1160" t="s">
        <v>26</v>
      </c>
      <c r="N1160" t="s">
        <v>3967</v>
      </c>
      <c r="P1160">
        <f t="shared" si="18"/>
        <v>0.29999956205082839</v>
      </c>
    </row>
    <row r="1161" spans="1:16" x14ac:dyDescent="0.25">
      <c r="A1161" t="s">
        <v>2875</v>
      </c>
      <c r="B1161" s="1">
        <v>45555</v>
      </c>
      <c r="C1161" t="s">
        <v>2876</v>
      </c>
      <c r="D1161" t="s">
        <v>48</v>
      </c>
      <c r="E1161">
        <v>3306.78</v>
      </c>
      <c r="F1161">
        <v>6</v>
      </c>
      <c r="G1161">
        <v>992.03</v>
      </c>
      <c r="H1161">
        <v>0</v>
      </c>
      <c r="I1161" t="s">
        <v>2876</v>
      </c>
      <c r="J1161" t="s">
        <v>1401</v>
      </c>
      <c r="K1161" t="s">
        <v>71</v>
      </c>
      <c r="L1161" t="s">
        <v>2877</v>
      </c>
      <c r="M1161" t="s">
        <v>632</v>
      </c>
      <c r="N1161" t="s">
        <v>3966</v>
      </c>
      <c r="P1161">
        <f t="shared" si="18"/>
        <v>0.29999879036403992</v>
      </c>
    </row>
    <row r="1162" spans="1:16" x14ac:dyDescent="0.25">
      <c r="A1162" t="s">
        <v>2878</v>
      </c>
      <c r="B1162" s="1">
        <v>45706</v>
      </c>
      <c r="C1162" t="s">
        <v>2879</v>
      </c>
      <c r="D1162" t="s">
        <v>15</v>
      </c>
      <c r="E1162">
        <v>73.849999999999994</v>
      </c>
      <c r="F1162">
        <v>1</v>
      </c>
      <c r="G1162">
        <v>22.16</v>
      </c>
      <c r="H1162">
        <v>0.1</v>
      </c>
      <c r="I1162" t="s">
        <v>2879</v>
      </c>
      <c r="J1162" t="s">
        <v>1456</v>
      </c>
      <c r="K1162" t="s">
        <v>71</v>
      </c>
      <c r="L1162" t="s">
        <v>55</v>
      </c>
      <c r="M1162" t="s">
        <v>56</v>
      </c>
      <c r="N1162" t="s">
        <v>3966</v>
      </c>
      <c r="P1162">
        <f t="shared" si="18"/>
        <v>0.30006770480704131</v>
      </c>
    </row>
    <row r="1163" spans="1:16" x14ac:dyDescent="0.25">
      <c r="A1163" t="s">
        <v>2880</v>
      </c>
      <c r="B1163" s="1">
        <v>45489</v>
      </c>
      <c r="C1163" t="s">
        <v>2881</v>
      </c>
      <c r="D1163" t="s">
        <v>91</v>
      </c>
      <c r="E1163">
        <v>2965.84</v>
      </c>
      <c r="F1163">
        <v>7</v>
      </c>
      <c r="G1163">
        <v>889.75</v>
      </c>
      <c r="H1163">
        <v>0.15</v>
      </c>
      <c r="I1163" t="s">
        <v>2881</v>
      </c>
      <c r="J1163" t="s">
        <v>2882</v>
      </c>
      <c r="K1163" t="s">
        <v>17</v>
      </c>
      <c r="L1163" t="s">
        <v>206</v>
      </c>
      <c r="M1163" t="s">
        <v>123</v>
      </c>
      <c r="N1163" t="s">
        <v>3966</v>
      </c>
      <c r="P1163">
        <f t="shared" si="18"/>
        <v>0.29999932565478921</v>
      </c>
    </row>
    <row r="1164" spans="1:16" x14ac:dyDescent="0.25">
      <c r="A1164" t="s">
        <v>2883</v>
      </c>
      <c r="B1164" s="1">
        <v>45253</v>
      </c>
      <c r="C1164" t="s">
        <v>2884</v>
      </c>
      <c r="D1164" t="s">
        <v>36</v>
      </c>
      <c r="E1164">
        <v>456.14</v>
      </c>
      <c r="F1164">
        <v>2</v>
      </c>
      <c r="G1164">
        <v>136.84</v>
      </c>
      <c r="H1164">
        <v>0.1</v>
      </c>
      <c r="I1164" t="s">
        <v>2884</v>
      </c>
      <c r="J1164" t="s">
        <v>847</v>
      </c>
      <c r="K1164" t="s">
        <v>17</v>
      </c>
      <c r="L1164" t="s">
        <v>2885</v>
      </c>
      <c r="M1164" t="s">
        <v>891</v>
      </c>
      <c r="N1164" t="s">
        <v>3968</v>
      </c>
      <c r="P1164">
        <f t="shared" si="18"/>
        <v>0.29999561538124264</v>
      </c>
    </row>
    <row r="1165" spans="1:16" x14ac:dyDescent="0.25">
      <c r="A1165" t="s">
        <v>2886</v>
      </c>
      <c r="B1165" s="1">
        <v>45176</v>
      </c>
      <c r="C1165" t="s">
        <v>2887</v>
      </c>
      <c r="D1165" t="s">
        <v>22</v>
      </c>
      <c r="E1165">
        <v>2074.61</v>
      </c>
      <c r="F1165">
        <v>16</v>
      </c>
      <c r="G1165">
        <v>622.38</v>
      </c>
      <c r="H1165">
        <v>0.1</v>
      </c>
      <c r="I1165" t="s">
        <v>2887</v>
      </c>
      <c r="J1165" t="s">
        <v>1690</v>
      </c>
      <c r="K1165" t="s">
        <v>24</v>
      </c>
      <c r="L1165" t="s">
        <v>700</v>
      </c>
      <c r="M1165" t="s">
        <v>160</v>
      </c>
      <c r="N1165" t="s">
        <v>3968</v>
      </c>
      <c r="P1165">
        <f t="shared" si="18"/>
        <v>0.29999855394507879</v>
      </c>
    </row>
    <row r="1166" spans="1:16" x14ac:dyDescent="0.25">
      <c r="A1166" t="s">
        <v>2888</v>
      </c>
      <c r="B1166" s="1">
        <v>45323</v>
      </c>
      <c r="C1166" t="s">
        <v>2889</v>
      </c>
      <c r="D1166" t="s">
        <v>48</v>
      </c>
      <c r="E1166">
        <v>1880.19</v>
      </c>
      <c r="F1166">
        <v>11</v>
      </c>
      <c r="G1166">
        <v>564.05999999999995</v>
      </c>
      <c r="H1166">
        <v>0.15</v>
      </c>
      <c r="I1166" t="s">
        <v>2889</v>
      </c>
      <c r="J1166" t="s">
        <v>795</v>
      </c>
      <c r="K1166" t="s">
        <v>71</v>
      </c>
      <c r="L1166" t="s">
        <v>488</v>
      </c>
      <c r="M1166" t="s">
        <v>26</v>
      </c>
      <c r="N1166" t="s">
        <v>3968</v>
      </c>
      <c r="P1166">
        <f t="shared" si="18"/>
        <v>0.30000159558342504</v>
      </c>
    </row>
    <row r="1167" spans="1:16" x14ac:dyDescent="0.25">
      <c r="A1167" t="s">
        <v>2890</v>
      </c>
      <c r="B1167" s="1">
        <v>45785</v>
      </c>
      <c r="C1167" t="s">
        <v>2891</v>
      </c>
      <c r="D1167" t="s">
        <v>36</v>
      </c>
      <c r="E1167">
        <v>5795.96</v>
      </c>
      <c r="F1167">
        <v>11</v>
      </c>
      <c r="G1167">
        <v>1738.79</v>
      </c>
      <c r="H1167">
        <v>0.1</v>
      </c>
      <c r="I1167" t="s">
        <v>2891</v>
      </c>
      <c r="J1167" t="s">
        <v>2230</v>
      </c>
      <c r="K1167" t="s">
        <v>24</v>
      </c>
      <c r="L1167" t="s">
        <v>570</v>
      </c>
      <c r="M1167" t="s">
        <v>266</v>
      </c>
      <c r="N1167" t="s">
        <v>3966</v>
      </c>
      <c r="P1167">
        <f t="shared" si="18"/>
        <v>0.30000034506794387</v>
      </c>
    </row>
    <row r="1168" spans="1:16" x14ac:dyDescent="0.25">
      <c r="A1168" t="s">
        <v>1939</v>
      </c>
      <c r="B1168" s="1">
        <v>45674</v>
      </c>
      <c r="C1168" t="s">
        <v>1940</v>
      </c>
      <c r="D1168" t="s">
        <v>15</v>
      </c>
      <c r="E1168">
        <v>1346.31</v>
      </c>
      <c r="F1168">
        <v>3</v>
      </c>
      <c r="G1168">
        <v>403.89</v>
      </c>
      <c r="H1168">
        <v>0</v>
      </c>
      <c r="I1168" t="s">
        <v>1940</v>
      </c>
      <c r="J1168" t="s">
        <v>75</v>
      </c>
      <c r="K1168" t="s">
        <v>31</v>
      </c>
      <c r="L1168" t="s">
        <v>99</v>
      </c>
      <c r="M1168" t="s">
        <v>56</v>
      </c>
      <c r="N1168" t="s">
        <v>3966</v>
      </c>
      <c r="P1168">
        <f t="shared" si="18"/>
        <v>0.29999777168705571</v>
      </c>
    </row>
    <row r="1169" spans="1:16" x14ac:dyDescent="0.25">
      <c r="A1169" t="s">
        <v>1941</v>
      </c>
      <c r="B1169" s="1">
        <v>44965</v>
      </c>
      <c r="C1169" t="s">
        <v>1940</v>
      </c>
      <c r="D1169" t="s">
        <v>36</v>
      </c>
      <c r="E1169">
        <v>5328.99</v>
      </c>
      <c r="F1169">
        <v>20</v>
      </c>
      <c r="G1169">
        <v>1598.7</v>
      </c>
      <c r="H1169">
        <v>0.15</v>
      </c>
      <c r="I1169" t="s">
        <v>1940</v>
      </c>
      <c r="J1169" t="s">
        <v>75</v>
      </c>
      <c r="K1169" t="s">
        <v>31</v>
      </c>
      <c r="L1169" t="s">
        <v>99</v>
      </c>
      <c r="M1169" t="s">
        <v>56</v>
      </c>
      <c r="N1169" t="s">
        <v>3966</v>
      </c>
      <c r="P1169">
        <f t="shared" si="18"/>
        <v>0.30000056295845934</v>
      </c>
    </row>
    <row r="1170" spans="1:16" x14ac:dyDescent="0.25">
      <c r="A1170" t="s">
        <v>2892</v>
      </c>
      <c r="B1170" s="1">
        <v>45171</v>
      </c>
      <c r="C1170" t="s">
        <v>2893</v>
      </c>
      <c r="D1170" t="s">
        <v>48</v>
      </c>
      <c r="E1170">
        <v>1659.87</v>
      </c>
      <c r="F1170">
        <v>9</v>
      </c>
      <c r="G1170">
        <v>497.96</v>
      </c>
      <c r="H1170">
        <v>0</v>
      </c>
      <c r="I1170" t="s">
        <v>2893</v>
      </c>
      <c r="J1170" t="s">
        <v>2894</v>
      </c>
      <c r="K1170" t="s">
        <v>17</v>
      </c>
      <c r="L1170" t="s">
        <v>2895</v>
      </c>
      <c r="M1170" t="s">
        <v>412</v>
      </c>
      <c r="N1170" t="s">
        <v>3966</v>
      </c>
      <c r="P1170">
        <f t="shared" si="18"/>
        <v>0.29999939754318111</v>
      </c>
    </row>
    <row r="1171" spans="1:16" x14ac:dyDescent="0.25">
      <c r="A1171" t="s">
        <v>2896</v>
      </c>
      <c r="B1171" s="1">
        <v>45100</v>
      </c>
      <c r="C1171" t="s">
        <v>2897</v>
      </c>
      <c r="D1171" t="s">
        <v>15</v>
      </c>
      <c r="E1171">
        <v>9505.6</v>
      </c>
      <c r="F1171">
        <v>16</v>
      </c>
      <c r="G1171">
        <v>2851.68</v>
      </c>
      <c r="H1171">
        <v>0</v>
      </c>
      <c r="I1171" t="s">
        <v>2897</v>
      </c>
      <c r="J1171" t="s">
        <v>1030</v>
      </c>
      <c r="K1171" t="s">
        <v>38</v>
      </c>
      <c r="L1171" t="s">
        <v>82</v>
      </c>
      <c r="M1171" t="s">
        <v>83</v>
      </c>
      <c r="N1171" t="s">
        <v>3966</v>
      </c>
      <c r="P1171">
        <f t="shared" si="18"/>
        <v>0.3</v>
      </c>
    </row>
    <row r="1172" spans="1:16" x14ac:dyDescent="0.25">
      <c r="A1172" t="s">
        <v>2898</v>
      </c>
      <c r="B1172" s="1">
        <v>45311</v>
      </c>
      <c r="C1172" t="s">
        <v>2899</v>
      </c>
      <c r="D1172" t="s">
        <v>15</v>
      </c>
      <c r="E1172">
        <v>8243.4</v>
      </c>
      <c r="F1172">
        <v>19</v>
      </c>
      <c r="G1172">
        <v>2473.02</v>
      </c>
      <c r="H1172">
        <v>0.1</v>
      </c>
      <c r="I1172" t="s">
        <v>2899</v>
      </c>
      <c r="J1172" t="s">
        <v>2384</v>
      </c>
      <c r="K1172" t="s">
        <v>17</v>
      </c>
      <c r="L1172" t="s">
        <v>741</v>
      </c>
      <c r="M1172" t="s">
        <v>139</v>
      </c>
      <c r="N1172" t="s">
        <v>3966</v>
      </c>
      <c r="P1172">
        <f t="shared" si="18"/>
        <v>0.3</v>
      </c>
    </row>
    <row r="1173" spans="1:16" x14ac:dyDescent="0.25">
      <c r="A1173" t="s">
        <v>464</v>
      </c>
      <c r="B1173" s="1">
        <v>45469</v>
      </c>
      <c r="C1173" t="s">
        <v>465</v>
      </c>
      <c r="D1173" t="s">
        <v>36</v>
      </c>
      <c r="E1173">
        <v>1433.55</v>
      </c>
      <c r="F1173">
        <v>20</v>
      </c>
      <c r="G1173">
        <v>430.07</v>
      </c>
      <c r="H1173">
        <v>0.05</v>
      </c>
      <c r="I1173" t="s">
        <v>465</v>
      </c>
      <c r="J1173" t="s">
        <v>1013</v>
      </c>
      <c r="K1173" t="s">
        <v>17</v>
      </c>
      <c r="L1173" t="s">
        <v>459</v>
      </c>
      <c r="M1173" t="s">
        <v>129</v>
      </c>
      <c r="N1173" t="s">
        <v>3966</v>
      </c>
      <c r="P1173">
        <f t="shared" si="18"/>
        <v>0.30000348784486064</v>
      </c>
    </row>
    <row r="1174" spans="1:16" x14ac:dyDescent="0.25">
      <c r="A1174" t="s">
        <v>467</v>
      </c>
      <c r="B1174" s="1">
        <v>45374</v>
      </c>
      <c r="C1174" t="s">
        <v>465</v>
      </c>
      <c r="D1174" t="s">
        <v>41</v>
      </c>
      <c r="E1174">
        <v>446.73</v>
      </c>
      <c r="F1174">
        <v>14</v>
      </c>
      <c r="G1174">
        <v>134.02000000000001</v>
      </c>
      <c r="H1174">
        <v>0.15</v>
      </c>
      <c r="I1174" t="s">
        <v>465</v>
      </c>
      <c r="J1174" t="s">
        <v>1013</v>
      </c>
      <c r="K1174" t="s">
        <v>17</v>
      </c>
      <c r="L1174" t="s">
        <v>459</v>
      </c>
      <c r="M1174" t="s">
        <v>129</v>
      </c>
      <c r="N1174" t="s">
        <v>3966</v>
      </c>
      <c r="P1174">
        <f t="shared" si="18"/>
        <v>0.30000223848857255</v>
      </c>
    </row>
    <row r="1175" spans="1:16" x14ac:dyDescent="0.25">
      <c r="A1175" t="s">
        <v>2900</v>
      </c>
      <c r="B1175" s="1">
        <v>45638</v>
      </c>
      <c r="C1175" t="s">
        <v>2901</v>
      </c>
      <c r="D1175" t="s">
        <v>48</v>
      </c>
      <c r="E1175">
        <v>889.6</v>
      </c>
      <c r="F1175">
        <v>2</v>
      </c>
      <c r="G1175">
        <v>266.88</v>
      </c>
      <c r="H1175">
        <v>0.1</v>
      </c>
      <c r="I1175" t="s">
        <v>2901</v>
      </c>
      <c r="J1175" t="s">
        <v>273</v>
      </c>
      <c r="K1175" t="s">
        <v>38</v>
      </c>
      <c r="L1175" t="s">
        <v>25</v>
      </c>
      <c r="M1175" t="s">
        <v>26</v>
      </c>
      <c r="N1175" t="s">
        <v>3966</v>
      </c>
      <c r="P1175">
        <f t="shared" si="18"/>
        <v>0.3</v>
      </c>
    </row>
    <row r="1176" spans="1:16" x14ac:dyDescent="0.25">
      <c r="A1176" t="s">
        <v>2902</v>
      </c>
      <c r="B1176" s="1">
        <v>45343</v>
      </c>
      <c r="C1176" t="s">
        <v>2903</v>
      </c>
      <c r="D1176" t="s">
        <v>15</v>
      </c>
      <c r="E1176">
        <v>1607.69</v>
      </c>
      <c r="F1176">
        <v>15</v>
      </c>
      <c r="G1176">
        <v>482.31</v>
      </c>
      <c r="H1176">
        <v>0.05</v>
      </c>
      <c r="I1176" t="s">
        <v>2903</v>
      </c>
      <c r="J1176" t="s">
        <v>1001</v>
      </c>
      <c r="K1176" t="s">
        <v>17</v>
      </c>
      <c r="L1176" t="s">
        <v>2258</v>
      </c>
      <c r="M1176" t="s">
        <v>26</v>
      </c>
      <c r="N1176" t="s">
        <v>3967</v>
      </c>
      <c r="P1176">
        <f t="shared" si="18"/>
        <v>0.30000186603138662</v>
      </c>
    </row>
    <row r="1177" spans="1:16" x14ac:dyDescent="0.25">
      <c r="A1177" t="s">
        <v>2904</v>
      </c>
      <c r="B1177" s="1">
        <v>45125</v>
      </c>
      <c r="C1177" t="s">
        <v>2905</v>
      </c>
      <c r="D1177" t="s">
        <v>29</v>
      </c>
      <c r="E1177">
        <v>364.68</v>
      </c>
      <c r="F1177">
        <v>3</v>
      </c>
      <c r="G1177">
        <v>109.4</v>
      </c>
      <c r="H1177">
        <v>0</v>
      </c>
      <c r="I1177" t="s">
        <v>2905</v>
      </c>
      <c r="J1177" t="s">
        <v>2906</v>
      </c>
      <c r="K1177" t="s">
        <v>17</v>
      </c>
      <c r="L1177" t="s">
        <v>82</v>
      </c>
      <c r="M1177" t="s">
        <v>83</v>
      </c>
      <c r="N1177" t="s">
        <v>3968</v>
      </c>
      <c r="P1177">
        <f t="shared" si="18"/>
        <v>0.29998903147965339</v>
      </c>
    </row>
    <row r="1178" spans="1:16" x14ac:dyDescent="0.25">
      <c r="A1178" t="s">
        <v>2907</v>
      </c>
      <c r="B1178" s="1">
        <v>45567</v>
      </c>
      <c r="C1178" t="s">
        <v>2908</v>
      </c>
      <c r="D1178" t="s">
        <v>29</v>
      </c>
      <c r="E1178">
        <v>5591.28</v>
      </c>
      <c r="F1178">
        <v>12</v>
      </c>
      <c r="G1178">
        <v>1677.38</v>
      </c>
      <c r="H1178">
        <v>0</v>
      </c>
      <c r="I1178" t="s">
        <v>2908</v>
      </c>
      <c r="J1178" t="s">
        <v>2909</v>
      </c>
      <c r="K1178" t="s">
        <v>31</v>
      </c>
      <c r="L1178" t="s">
        <v>2910</v>
      </c>
      <c r="M1178" t="s">
        <v>26</v>
      </c>
      <c r="N1178" t="s">
        <v>3968</v>
      </c>
      <c r="P1178">
        <f t="shared" si="18"/>
        <v>0.29999928460030623</v>
      </c>
    </row>
    <row r="1179" spans="1:16" x14ac:dyDescent="0.25">
      <c r="A1179" t="s">
        <v>2911</v>
      </c>
      <c r="B1179" s="1">
        <v>45627</v>
      </c>
      <c r="C1179" t="s">
        <v>2912</v>
      </c>
      <c r="D1179" t="s">
        <v>22</v>
      </c>
      <c r="E1179">
        <v>1915.56</v>
      </c>
      <c r="F1179">
        <v>12</v>
      </c>
      <c r="G1179">
        <v>574.66999999999996</v>
      </c>
      <c r="H1179">
        <v>0.15</v>
      </c>
      <c r="I1179" t="s">
        <v>2912</v>
      </c>
      <c r="J1179" t="s">
        <v>2913</v>
      </c>
      <c r="K1179" t="s">
        <v>71</v>
      </c>
      <c r="L1179" t="s">
        <v>50</v>
      </c>
      <c r="M1179" t="s">
        <v>51</v>
      </c>
      <c r="N1179" t="s">
        <v>3966</v>
      </c>
      <c r="P1179">
        <f t="shared" si="18"/>
        <v>0.30000104408110423</v>
      </c>
    </row>
    <row r="1180" spans="1:16" x14ac:dyDescent="0.25">
      <c r="A1180" t="s">
        <v>2914</v>
      </c>
      <c r="B1180" s="1">
        <v>45538</v>
      </c>
      <c r="C1180" t="s">
        <v>2915</v>
      </c>
      <c r="D1180" t="s">
        <v>29</v>
      </c>
      <c r="E1180">
        <v>477.11</v>
      </c>
      <c r="F1180">
        <v>1</v>
      </c>
      <c r="G1180">
        <v>143.13</v>
      </c>
      <c r="H1180">
        <v>0.15</v>
      </c>
      <c r="I1180" t="s">
        <v>2915</v>
      </c>
      <c r="J1180" t="s">
        <v>2308</v>
      </c>
      <c r="K1180" t="s">
        <v>17</v>
      </c>
      <c r="L1180" t="s">
        <v>511</v>
      </c>
      <c r="M1180" t="s">
        <v>26</v>
      </c>
      <c r="N1180" t="s">
        <v>3966</v>
      </c>
      <c r="P1180">
        <f t="shared" si="18"/>
        <v>0.29999371214185405</v>
      </c>
    </row>
    <row r="1181" spans="1:16" x14ac:dyDescent="0.25">
      <c r="A1181" t="s">
        <v>2916</v>
      </c>
      <c r="B1181" s="1">
        <v>45710</v>
      </c>
      <c r="C1181" t="s">
        <v>2917</v>
      </c>
      <c r="D1181" t="s">
        <v>41</v>
      </c>
      <c r="E1181">
        <v>1060.6500000000001</v>
      </c>
      <c r="F1181">
        <v>7</v>
      </c>
      <c r="G1181">
        <v>318.19</v>
      </c>
      <c r="H1181">
        <v>0.15</v>
      </c>
      <c r="I1181" t="s">
        <v>2917</v>
      </c>
      <c r="J1181" t="s">
        <v>1336</v>
      </c>
      <c r="K1181" t="s">
        <v>71</v>
      </c>
      <c r="L1181" t="s">
        <v>72</v>
      </c>
      <c r="M1181" t="s">
        <v>26</v>
      </c>
      <c r="N1181" t="s">
        <v>3968</v>
      </c>
      <c r="P1181">
        <f t="shared" si="18"/>
        <v>0.29999528590958374</v>
      </c>
    </row>
    <row r="1182" spans="1:16" x14ac:dyDescent="0.25">
      <c r="A1182" t="s">
        <v>2918</v>
      </c>
      <c r="B1182" s="1">
        <v>45788</v>
      </c>
      <c r="C1182" t="s">
        <v>2919</v>
      </c>
      <c r="D1182" t="s">
        <v>48</v>
      </c>
      <c r="E1182">
        <v>9398.11</v>
      </c>
      <c r="F1182">
        <v>20</v>
      </c>
      <c r="G1182">
        <v>2819.43</v>
      </c>
      <c r="H1182">
        <v>0.15</v>
      </c>
      <c r="I1182" t="s">
        <v>2919</v>
      </c>
      <c r="J1182" t="s">
        <v>2920</v>
      </c>
      <c r="K1182" t="s">
        <v>71</v>
      </c>
      <c r="L1182" t="s">
        <v>2582</v>
      </c>
      <c r="M1182" t="s">
        <v>1435</v>
      </c>
      <c r="N1182" t="s">
        <v>3966</v>
      </c>
      <c r="P1182">
        <f t="shared" si="18"/>
        <v>0.29999968078688161</v>
      </c>
    </row>
    <row r="1183" spans="1:16" x14ac:dyDescent="0.25">
      <c r="A1183" t="s">
        <v>2921</v>
      </c>
      <c r="B1183" s="1">
        <v>45646</v>
      </c>
      <c r="C1183" t="s">
        <v>2922</v>
      </c>
      <c r="D1183" t="s">
        <v>91</v>
      </c>
      <c r="E1183">
        <v>916.5</v>
      </c>
      <c r="F1183">
        <v>2</v>
      </c>
      <c r="G1183">
        <v>274.95</v>
      </c>
      <c r="H1183">
        <v>0</v>
      </c>
      <c r="I1183" t="s">
        <v>2922</v>
      </c>
      <c r="J1183" t="s">
        <v>1453</v>
      </c>
      <c r="K1183" t="s">
        <v>38</v>
      </c>
      <c r="L1183" t="s">
        <v>289</v>
      </c>
      <c r="M1183" t="s">
        <v>160</v>
      </c>
      <c r="N1183" t="s">
        <v>3966</v>
      </c>
      <c r="P1183">
        <f t="shared" si="18"/>
        <v>0.3</v>
      </c>
    </row>
    <row r="1184" spans="1:16" x14ac:dyDescent="0.25">
      <c r="A1184" t="s">
        <v>2923</v>
      </c>
      <c r="B1184" s="1">
        <v>45034</v>
      </c>
      <c r="C1184" t="s">
        <v>2924</v>
      </c>
      <c r="D1184" t="s">
        <v>15</v>
      </c>
      <c r="E1184">
        <v>245.92</v>
      </c>
      <c r="F1184">
        <v>2</v>
      </c>
      <c r="G1184">
        <v>73.78</v>
      </c>
      <c r="H1184">
        <v>0.05</v>
      </c>
      <c r="I1184" t="s">
        <v>2924</v>
      </c>
      <c r="J1184" t="s">
        <v>1030</v>
      </c>
      <c r="K1184" t="s">
        <v>17</v>
      </c>
      <c r="L1184" t="s">
        <v>25</v>
      </c>
      <c r="M1184" t="s">
        <v>26</v>
      </c>
      <c r="N1184" t="s">
        <v>3966</v>
      </c>
      <c r="P1184">
        <f t="shared" si="18"/>
        <v>0.30001626545217958</v>
      </c>
    </row>
    <row r="1185" spans="1:16" x14ac:dyDescent="0.25">
      <c r="A1185" t="s">
        <v>1564</v>
      </c>
      <c r="B1185" s="1">
        <v>45533</v>
      </c>
      <c r="C1185" t="s">
        <v>1565</v>
      </c>
      <c r="D1185" t="s">
        <v>41</v>
      </c>
      <c r="E1185">
        <v>7664.39</v>
      </c>
      <c r="F1185">
        <v>19</v>
      </c>
      <c r="G1185">
        <v>2299.3200000000002</v>
      </c>
      <c r="H1185">
        <v>0.1</v>
      </c>
      <c r="I1185" t="s">
        <v>1565</v>
      </c>
      <c r="J1185" t="s">
        <v>2543</v>
      </c>
      <c r="K1185" t="s">
        <v>17</v>
      </c>
      <c r="L1185" t="s">
        <v>99</v>
      </c>
      <c r="M1185" t="s">
        <v>56</v>
      </c>
      <c r="N1185" t="s">
        <v>3966</v>
      </c>
      <c r="P1185">
        <f t="shared" si="18"/>
        <v>0.30000039142058271</v>
      </c>
    </row>
    <row r="1186" spans="1:16" x14ac:dyDescent="0.25">
      <c r="A1186" t="s">
        <v>1566</v>
      </c>
      <c r="B1186" s="1">
        <v>45230</v>
      </c>
      <c r="C1186" t="s">
        <v>1565</v>
      </c>
      <c r="D1186" t="s">
        <v>41</v>
      </c>
      <c r="E1186">
        <v>1096.04</v>
      </c>
      <c r="F1186">
        <v>6</v>
      </c>
      <c r="G1186">
        <v>328.81</v>
      </c>
      <c r="H1186">
        <v>0.1</v>
      </c>
      <c r="I1186" t="s">
        <v>1565</v>
      </c>
      <c r="J1186" t="s">
        <v>2543</v>
      </c>
      <c r="K1186" t="s">
        <v>17</v>
      </c>
      <c r="L1186" t="s">
        <v>99</v>
      </c>
      <c r="M1186" t="s">
        <v>56</v>
      </c>
      <c r="N1186" t="s">
        <v>3967</v>
      </c>
      <c r="P1186">
        <f t="shared" si="18"/>
        <v>0.29999817524907851</v>
      </c>
    </row>
    <row r="1187" spans="1:16" x14ac:dyDescent="0.25">
      <c r="A1187" t="s">
        <v>2925</v>
      </c>
      <c r="B1187" s="1">
        <v>45172</v>
      </c>
      <c r="C1187" t="s">
        <v>2926</v>
      </c>
      <c r="D1187" t="s">
        <v>29</v>
      </c>
      <c r="E1187">
        <v>6695.3</v>
      </c>
      <c r="F1187">
        <v>16</v>
      </c>
      <c r="G1187">
        <v>2008.59</v>
      </c>
      <c r="H1187">
        <v>0.05</v>
      </c>
      <c r="I1187" t="s">
        <v>2926</v>
      </c>
      <c r="J1187" t="s">
        <v>49</v>
      </c>
      <c r="K1187" t="s">
        <v>31</v>
      </c>
      <c r="L1187" t="s">
        <v>143</v>
      </c>
      <c r="M1187" t="s">
        <v>144</v>
      </c>
      <c r="N1187" t="s">
        <v>3967</v>
      </c>
      <c r="P1187">
        <f t="shared" si="18"/>
        <v>0.3</v>
      </c>
    </row>
    <row r="1188" spans="1:16" x14ac:dyDescent="0.25">
      <c r="A1188" t="s">
        <v>2927</v>
      </c>
      <c r="B1188" s="1">
        <v>45796</v>
      </c>
      <c r="C1188" t="s">
        <v>2928</v>
      </c>
      <c r="D1188" t="s">
        <v>15</v>
      </c>
      <c r="E1188">
        <v>2100.96</v>
      </c>
      <c r="F1188">
        <v>8</v>
      </c>
      <c r="G1188">
        <v>630.29</v>
      </c>
      <c r="H1188">
        <v>0</v>
      </c>
      <c r="I1188" t="s">
        <v>2928</v>
      </c>
      <c r="J1188" t="s">
        <v>871</v>
      </c>
      <c r="K1188" t="s">
        <v>17</v>
      </c>
      <c r="L1188" t="s">
        <v>2929</v>
      </c>
      <c r="M1188" t="s">
        <v>26</v>
      </c>
      <c r="N1188" t="s">
        <v>3967</v>
      </c>
      <c r="P1188">
        <f t="shared" si="18"/>
        <v>0.30000095194577714</v>
      </c>
    </row>
    <row r="1189" spans="1:16" x14ac:dyDescent="0.25">
      <c r="A1189" t="s">
        <v>2930</v>
      </c>
      <c r="B1189" s="1">
        <v>45095</v>
      </c>
      <c r="C1189" t="s">
        <v>2931</v>
      </c>
      <c r="D1189" t="s">
        <v>91</v>
      </c>
      <c r="E1189">
        <v>1686.29</v>
      </c>
      <c r="F1189">
        <v>15</v>
      </c>
      <c r="G1189">
        <v>505.89</v>
      </c>
      <c r="H1189">
        <v>0.1</v>
      </c>
      <c r="I1189" t="s">
        <v>2931</v>
      </c>
      <c r="J1189" t="s">
        <v>2932</v>
      </c>
      <c r="K1189" t="s">
        <v>17</v>
      </c>
      <c r="L1189" t="s">
        <v>278</v>
      </c>
      <c r="M1189" t="s">
        <v>134</v>
      </c>
      <c r="N1189" t="s">
        <v>3967</v>
      </c>
      <c r="P1189">
        <f t="shared" si="18"/>
        <v>0.30000177905342496</v>
      </c>
    </row>
    <row r="1190" spans="1:16" x14ac:dyDescent="0.25">
      <c r="A1190" t="s">
        <v>2933</v>
      </c>
      <c r="B1190" s="1">
        <v>45826</v>
      </c>
      <c r="C1190" t="s">
        <v>2934</v>
      </c>
      <c r="D1190" t="s">
        <v>48</v>
      </c>
      <c r="E1190">
        <v>3167.1</v>
      </c>
      <c r="F1190">
        <v>9</v>
      </c>
      <c r="G1190">
        <v>950.13</v>
      </c>
      <c r="H1190">
        <v>0.1</v>
      </c>
      <c r="I1190" t="s">
        <v>2934</v>
      </c>
      <c r="J1190" t="s">
        <v>399</v>
      </c>
      <c r="K1190" t="s">
        <v>71</v>
      </c>
      <c r="L1190" t="s">
        <v>2935</v>
      </c>
      <c r="M1190" t="s">
        <v>123</v>
      </c>
      <c r="N1190" t="s">
        <v>3968</v>
      </c>
      <c r="P1190">
        <f t="shared" si="18"/>
        <v>0.3</v>
      </c>
    </row>
    <row r="1191" spans="1:16" x14ac:dyDescent="0.25">
      <c r="A1191" t="s">
        <v>2936</v>
      </c>
      <c r="B1191" s="1">
        <v>45564</v>
      </c>
      <c r="C1191" t="s">
        <v>2937</v>
      </c>
      <c r="D1191" t="s">
        <v>15</v>
      </c>
      <c r="E1191">
        <v>2327.31</v>
      </c>
      <c r="F1191">
        <v>12</v>
      </c>
      <c r="G1191">
        <v>698.19</v>
      </c>
      <c r="H1191">
        <v>0.05</v>
      </c>
      <c r="I1191" t="s">
        <v>2937</v>
      </c>
      <c r="J1191" t="s">
        <v>2356</v>
      </c>
      <c r="K1191" t="s">
        <v>24</v>
      </c>
      <c r="L1191" t="s">
        <v>1510</v>
      </c>
      <c r="M1191" t="s">
        <v>354</v>
      </c>
      <c r="N1191" t="s">
        <v>3968</v>
      </c>
      <c r="P1191">
        <f t="shared" si="18"/>
        <v>0.29999871095814484</v>
      </c>
    </row>
    <row r="1192" spans="1:16" x14ac:dyDescent="0.25">
      <c r="A1192" t="s">
        <v>2938</v>
      </c>
      <c r="B1192" s="1">
        <v>45347</v>
      </c>
      <c r="C1192" t="s">
        <v>2939</v>
      </c>
      <c r="D1192" t="s">
        <v>15</v>
      </c>
      <c r="E1192">
        <v>231.88</v>
      </c>
      <c r="F1192">
        <v>20</v>
      </c>
      <c r="G1192">
        <v>69.56</v>
      </c>
      <c r="H1192">
        <v>0.15</v>
      </c>
      <c r="I1192" t="s">
        <v>2939</v>
      </c>
      <c r="J1192" t="s">
        <v>81</v>
      </c>
      <c r="K1192" t="s">
        <v>17</v>
      </c>
      <c r="L1192" t="s">
        <v>278</v>
      </c>
      <c r="M1192" t="s">
        <v>44</v>
      </c>
      <c r="N1192" t="s">
        <v>3968</v>
      </c>
      <c r="P1192">
        <f t="shared" si="18"/>
        <v>0.29998274969811972</v>
      </c>
    </row>
    <row r="1193" spans="1:16" x14ac:dyDescent="0.25">
      <c r="A1193" t="s">
        <v>2940</v>
      </c>
      <c r="B1193" s="1">
        <v>45372</v>
      </c>
      <c r="C1193" t="s">
        <v>2941</v>
      </c>
      <c r="D1193" t="s">
        <v>41</v>
      </c>
      <c r="E1193">
        <v>6981.17</v>
      </c>
      <c r="F1193">
        <v>14</v>
      </c>
      <c r="G1193">
        <v>2094.35</v>
      </c>
      <c r="H1193">
        <v>0.05</v>
      </c>
      <c r="I1193" t="s">
        <v>2941</v>
      </c>
      <c r="J1193" t="s">
        <v>106</v>
      </c>
      <c r="K1193" t="s">
        <v>31</v>
      </c>
      <c r="L1193" t="s">
        <v>171</v>
      </c>
      <c r="M1193" t="s">
        <v>754</v>
      </c>
      <c r="N1193" t="s">
        <v>3968</v>
      </c>
      <c r="P1193">
        <f t="shared" si="18"/>
        <v>0.29999985675753488</v>
      </c>
    </row>
    <row r="1194" spans="1:16" x14ac:dyDescent="0.25">
      <c r="A1194" t="s">
        <v>2942</v>
      </c>
      <c r="B1194" s="1">
        <v>45028</v>
      </c>
      <c r="C1194" t="s">
        <v>2943</v>
      </c>
      <c r="D1194" t="s">
        <v>36</v>
      </c>
      <c r="E1194">
        <v>3089.96</v>
      </c>
      <c r="F1194">
        <v>15</v>
      </c>
      <c r="G1194">
        <v>926.99</v>
      </c>
      <c r="H1194">
        <v>0.15</v>
      </c>
      <c r="I1194" t="s">
        <v>2943</v>
      </c>
      <c r="J1194" t="s">
        <v>352</v>
      </c>
      <c r="K1194" t="s">
        <v>31</v>
      </c>
      <c r="L1194" t="s">
        <v>220</v>
      </c>
      <c r="M1194" t="s">
        <v>221</v>
      </c>
      <c r="N1194" t="s">
        <v>3968</v>
      </c>
      <c r="P1194">
        <f t="shared" si="18"/>
        <v>0.3000006472575697</v>
      </c>
    </row>
    <row r="1195" spans="1:16" x14ac:dyDescent="0.25">
      <c r="A1195" t="s">
        <v>2944</v>
      </c>
      <c r="B1195" s="1">
        <v>45325</v>
      </c>
      <c r="C1195" t="s">
        <v>2943</v>
      </c>
      <c r="D1195" t="s">
        <v>15</v>
      </c>
      <c r="E1195">
        <v>1036.44</v>
      </c>
      <c r="F1195">
        <v>8</v>
      </c>
      <c r="G1195">
        <v>310.93</v>
      </c>
      <c r="H1195">
        <v>0.1</v>
      </c>
      <c r="I1195" t="s">
        <v>2943</v>
      </c>
      <c r="J1195" t="s">
        <v>352</v>
      </c>
      <c r="K1195" t="s">
        <v>31</v>
      </c>
      <c r="L1195" t="s">
        <v>220</v>
      </c>
      <c r="M1195" t="s">
        <v>221</v>
      </c>
      <c r="N1195" t="s">
        <v>3967</v>
      </c>
      <c r="P1195">
        <f t="shared" si="18"/>
        <v>0.29999807031762571</v>
      </c>
    </row>
    <row r="1196" spans="1:16" x14ac:dyDescent="0.25">
      <c r="A1196" t="s">
        <v>2945</v>
      </c>
      <c r="B1196" s="1">
        <v>45251</v>
      </c>
      <c r="C1196" t="s">
        <v>2946</v>
      </c>
      <c r="D1196" t="s">
        <v>15</v>
      </c>
      <c r="E1196">
        <v>1038.31</v>
      </c>
      <c r="F1196">
        <v>2</v>
      </c>
      <c r="G1196">
        <v>311.49</v>
      </c>
      <c r="H1196">
        <v>0.1</v>
      </c>
      <c r="I1196" t="s">
        <v>2946</v>
      </c>
      <c r="J1196" t="s">
        <v>1856</v>
      </c>
      <c r="K1196" t="s">
        <v>24</v>
      </c>
      <c r="L1196" t="s">
        <v>423</v>
      </c>
      <c r="M1196" t="s">
        <v>244</v>
      </c>
      <c r="N1196" t="s">
        <v>3967</v>
      </c>
      <c r="P1196">
        <f t="shared" si="18"/>
        <v>0.29999711068948581</v>
      </c>
    </row>
    <row r="1197" spans="1:16" x14ac:dyDescent="0.25">
      <c r="A1197" t="s">
        <v>2947</v>
      </c>
      <c r="B1197" s="1">
        <v>44936</v>
      </c>
      <c r="C1197" t="s">
        <v>2948</v>
      </c>
      <c r="D1197" t="s">
        <v>36</v>
      </c>
      <c r="E1197">
        <v>3513.72</v>
      </c>
      <c r="F1197">
        <v>14</v>
      </c>
      <c r="G1197">
        <v>1054.1199999999999</v>
      </c>
      <c r="H1197">
        <v>0</v>
      </c>
      <c r="I1197" t="s">
        <v>2948</v>
      </c>
      <c r="J1197" t="s">
        <v>2949</v>
      </c>
      <c r="K1197" t="s">
        <v>71</v>
      </c>
      <c r="L1197" t="s">
        <v>663</v>
      </c>
      <c r="M1197" t="s">
        <v>160</v>
      </c>
      <c r="N1197" t="s">
        <v>3967</v>
      </c>
      <c r="P1197">
        <f t="shared" si="18"/>
        <v>0.30000113839463588</v>
      </c>
    </row>
    <row r="1198" spans="1:16" x14ac:dyDescent="0.25">
      <c r="A1198" t="s">
        <v>999</v>
      </c>
      <c r="B1198" s="1">
        <v>44963</v>
      </c>
      <c r="C1198" t="s">
        <v>1000</v>
      </c>
      <c r="D1198" t="s">
        <v>22</v>
      </c>
      <c r="E1198">
        <v>2347.87</v>
      </c>
      <c r="F1198">
        <v>7</v>
      </c>
      <c r="G1198">
        <v>704.36</v>
      </c>
      <c r="H1198">
        <v>0</v>
      </c>
      <c r="I1198" t="s">
        <v>1000</v>
      </c>
      <c r="J1198" t="s">
        <v>1358</v>
      </c>
      <c r="K1198" t="s">
        <v>38</v>
      </c>
      <c r="L1198" t="s">
        <v>143</v>
      </c>
      <c r="M1198" t="s">
        <v>144</v>
      </c>
      <c r="N1198" t="s">
        <v>3967</v>
      </c>
      <c r="P1198">
        <f t="shared" si="18"/>
        <v>0.29999957408204031</v>
      </c>
    </row>
    <row r="1199" spans="1:16" x14ac:dyDescent="0.25">
      <c r="A1199" t="s">
        <v>1003</v>
      </c>
      <c r="B1199" s="1">
        <v>45722</v>
      </c>
      <c r="C1199" t="s">
        <v>1000</v>
      </c>
      <c r="D1199" t="s">
        <v>36</v>
      </c>
      <c r="E1199">
        <v>400.64</v>
      </c>
      <c r="F1199">
        <v>5</v>
      </c>
      <c r="G1199">
        <v>120.19</v>
      </c>
      <c r="H1199">
        <v>0.1</v>
      </c>
      <c r="I1199" t="s">
        <v>1000</v>
      </c>
      <c r="J1199" t="s">
        <v>1358</v>
      </c>
      <c r="K1199" t="s">
        <v>38</v>
      </c>
      <c r="L1199" t="s">
        <v>143</v>
      </c>
      <c r="M1199" t="s">
        <v>144</v>
      </c>
      <c r="N1199" t="s">
        <v>3966</v>
      </c>
      <c r="P1199">
        <f t="shared" si="18"/>
        <v>0.29999500798722045</v>
      </c>
    </row>
    <row r="1200" spans="1:16" x14ac:dyDescent="0.25">
      <c r="A1200" t="s">
        <v>2700</v>
      </c>
      <c r="B1200" s="1">
        <v>45757</v>
      </c>
      <c r="C1200" t="s">
        <v>2701</v>
      </c>
      <c r="D1200" t="s">
        <v>41</v>
      </c>
      <c r="E1200">
        <v>2249.5</v>
      </c>
      <c r="F1200">
        <v>11</v>
      </c>
      <c r="G1200">
        <v>674.85</v>
      </c>
      <c r="H1200">
        <v>0</v>
      </c>
      <c r="I1200" t="s">
        <v>2701</v>
      </c>
      <c r="J1200" t="s">
        <v>2950</v>
      </c>
      <c r="K1200" t="s">
        <v>31</v>
      </c>
      <c r="L1200" t="s">
        <v>1863</v>
      </c>
      <c r="M1200" t="s">
        <v>33</v>
      </c>
      <c r="N1200" t="s">
        <v>3966</v>
      </c>
      <c r="P1200">
        <f t="shared" si="18"/>
        <v>0.3</v>
      </c>
    </row>
    <row r="1201" spans="1:16" x14ac:dyDescent="0.25">
      <c r="A1201" t="s">
        <v>2702</v>
      </c>
      <c r="B1201" s="1">
        <v>45820</v>
      </c>
      <c r="C1201" t="s">
        <v>2701</v>
      </c>
      <c r="D1201" t="s">
        <v>41</v>
      </c>
      <c r="E1201">
        <v>5449.84</v>
      </c>
      <c r="F1201">
        <v>11</v>
      </c>
      <c r="G1201">
        <v>1634.95</v>
      </c>
      <c r="H1201">
        <v>0</v>
      </c>
      <c r="I1201" t="s">
        <v>2701</v>
      </c>
      <c r="J1201" t="s">
        <v>2950</v>
      </c>
      <c r="K1201" t="s">
        <v>31</v>
      </c>
      <c r="L1201" t="s">
        <v>1863</v>
      </c>
      <c r="M1201" t="s">
        <v>33</v>
      </c>
      <c r="N1201" t="s">
        <v>3966</v>
      </c>
      <c r="P1201">
        <f t="shared" si="18"/>
        <v>0.29999963301674909</v>
      </c>
    </row>
    <row r="1202" spans="1:16" x14ac:dyDescent="0.25">
      <c r="A1202" t="s">
        <v>2951</v>
      </c>
      <c r="B1202" s="1">
        <v>45336</v>
      </c>
      <c r="C1202" t="s">
        <v>2952</v>
      </c>
      <c r="D1202" t="s">
        <v>91</v>
      </c>
      <c r="E1202">
        <v>515.5</v>
      </c>
      <c r="F1202">
        <v>1</v>
      </c>
      <c r="G1202">
        <v>154.65</v>
      </c>
      <c r="H1202">
        <v>0.05</v>
      </c>
      <c r="I1202" t="s">
        <v>2952</v>
      </c>
      <c r="J1202" t="s">
        <v>1976</v>
      </c>
      <c r="K1202" t="s">
        <v>17</v>
      </c>
      <c r="L1202" t="s">
        <v>2953</v>
      </c>
      <c r="M1202" t="s">
        <v>56</v>
      </c>
      <c r="N1202" t="s">
        <v>3967</v>
      </c>
      <c r="P1202">
        <f t="shared" si="18"/>
        <v>0.3</v>
      </c>
    </row>
    <row r="1203" spans="1:16" x14ac:dyDescent="0.25">
      <c r="A1203" t="s">
        <v>2954</v>
      </c>
      <c r="B1203" s="1">
        <v>45803</v>
      </c>
      <c r="C1203" t="s">
        <v>2955</v>
      </c>
      <c r="D1203" t="s">
        <v>22</v>
      </c>
      <c r="E1203">
        <v>184.09</v>
      </c>
      <c r="F1203">
        <v>1</v>
      </c>
      <c r="G1203">
        <v>55.23</v>
      </c>
      <c r="H1203">
        <v>0.1</v>
      </c>
      <c r="I1203" t="s">
        <v>2955</v>
      </c>
      <c r="J1203" t="s">
        <v>308</v>
      </c>
      <c r="K1203" t="s">
        <v>17</v>
      </c>
      <c r="L1203" t="s">
        <v>403</v>
      </c>
      <c r="M1203" t="s">
        <v>26</v>
      </c>
      <c r="N1203" t="s">
        <v>3967</v>
      </c>
      <c r="P1203">
        <f t="shared" si="18"/>
        <v>0.30001629637677218</v>
      </c>
    </row>
    <row r="1204" spans="1:16" x14ac:dyDescent="0.25">
      <c r="A1204" t="s">
        <v>2429</v>
      </c>
      <c r="B1204" s="1">
        <v>45181</v>
      </c>
      <c r="C1204" t="s">
        <v>2430</v>
      </c>
      <c r="D1204" t="s">
        <v>36</v>
      </c>
      <c r="E1204">
        <v>3566.43</v>
      </c>
      <c r="F1204">
        <v>10</v>
      </c>
      <c r="G1204">
        <v>1069.93</v>
      </c>
      <c r="H1204">
        <v>0.15</v>
      </c>
      <c r="I1204" t="s">
        <v>2430</v>
      </c>
      <c r="J1204" t="s">
        <v>1503</v>
      </c>
      <c r="K1204" t="s">
        <v>71</v>
      </c>
      <c r="L1204" t="s">
        <v>206</v>
      </c>
      <c r="M1204" t="s">
        <v>144</v>
      </c>
      <c r="N1204" t="s">
        <v>3967</v>
      </c>
      <c r="P1204">
        <f t="shared" si="18"/>
        <v>0.30000028039243731</v>
      </c>
    </row>
    <row r="1205" spans="1:16" x14ac:dyDescent="0.25">
      <c r="A1205" t="s">
        <v>2431</v>
      </c>
      <c r="B1205" s="1">
        <v>45713</v>
      </c>
      <c r="C1205" t="s">
        <v>2430</v>
      </c>
      <c r="D1205" t="s">
        <v>48</v>
      </c>
      <c r="E1205">
        <v>254.51</v>
      </c>
      <c r="F1205">
        <v>19</v>
      </c>
      <c r="G1205">
        <v>76.349999999999994</v>
      </c>
      <c r="H1205">
        <v>0.05</v>
      </c>
      <c r="I1205" t="s">
        <v>2430</v>
      </c>
      <c r="J1205" t="s">
        <v>1503</v>
      </c>
      <c r="K1205" t="s">
        <v>71</v>
      </c>
      <c r="L1205" t="s">
        <v>206</v>
      </c>
      <c r="M1205" t="s">
        <v>144</v>
      </c>
      <c r="N1205" t="s">
        <v>3967</v>
      </c>
      <c r="P1205">
        <f t="shared" si="18"/>
        <v>0.29998821264390396</v>
      </c>
    </row>
    <row r="1206" spans="1:16" x14ac:dyDescent="0.25">
      <c r="A1206" t="s">
        <v>2956</v>
      </c>
      <c r="B1206" s="1">
        <v>45063</v>
      </c>
      <c r="C1206" t="s">
        <v>2957</v>
      </c>
      <c r="D1206" t="s">
        <v>29</v>
      </c>
      <c r="E1206">
        <v>522.89</v>
      </c>
      <c r="F1206">
        <v>7</v>
      </c>
      <c r="G1206">
        <v>156.87</v>
      </c>
      <c r="H1206">
        <v>0.15</v>
      </c>
      <c r="I1206" t="s">
        <v>2957</v>
      </c>
      <c r="J1206" t="s">
        <v>2958</v>
      </c>
      <c r="K1206" t="s">
        <v>17</v>
      </c>
      <c r="L1206" t="s">
        <v>2959</v>
      </c>
      <c r="M1206" t="s">
        <v>26</v>
      </c>
      <c r="N1206" t="s">
        <v>3967</v>
      </c>
      <c r="P1206">
        <f t="shared" si="18"/>
        <v>0.30000573734437452</v>
      </c>
    </row>
    <row r="1207" spans="1:16" x14ac:dyDescent="0.25">
      <c r="A1207" t="s">
        <v>2960</v>
      </c>
      <c r="B1207" s="1">
        <v>45320</v>
      </c>
      <c r="C1207" t="s">
        <v>2961</v>
      </c>
      <c r="D1207" t="s">
        <v>41</v>
      </c>
      <c r="E1207">
        <v>2572.75</v>
      </c>
      <c r="F1207">
        <v>7</v>
      </c>
      <c r="G1207">
        <v>771.83</v>
      </c>
      <c r="H1207">
        <v>0.05</v>
      </c>
      <c r="I1207" t="s">
        <v>2961</v>
      </c>
      <c r="J1207" t="s">
        <v>1482</v>
      </c>
      <c r="K1207" t="s">
        <v>71</v>
      </c>
      <c r="L1207" t="s">
        <v>50</v>
      </c>
      <c r="M1207" t="s">
        <v>51</v>
      </c>
      <c r="N1207" t="s">
        <v>3966</v>
      </c>
      <c r="P1207">
        <f t="shared" si="18"/>
        <v>0.30000194344572928</v>
      </c>
    </row>
    <row r="1208" spans="1:16" x14ac:dyDescent="0.25">
      <c r="A1208" t="s">
        <v>2962</v>
      </c>
      <c r="B1208" s="1">
        <v>45786</v>
      </c>
      <c r="C1208" t="s">
        <v>2963</v>
      </c>
      <c r="D1208" t="s">
        <v>29</v>
      </c>
      <c r="E1208">
        <v>922.64</v>
      </c>
      <c r="F1208">
        <v>4</v>
      </c>
      <c r="G1208">
        <v>276.79000000000002</v>
      </c>
      <c r="H1208">
        <v>0.05</v>
      </c>
      <c r="I1208" t="s">
        <v>2963</v>
      </c>
      <c r="J1208" t="s">
        <v>2151</v>
      </c>
      <c r="K1208" t="s">
        <v>31</v>
      </c>
      <c r="L1208" t="s">
        <v>2964</v>
      </c>
      <c r="M1208" t="s">
        <v>33</v>
      </c>
      <c r="N1208" t="s">
        <v>3967</v>
      </c>
      <c r="P1208">
        <f t="shared" si="18"/>
        <v>0.29999783230729216</v>
      </c>
    </row>
    <row r="1209" spans="1:16" x14ac:dyDescent="0.25">
      <c r="A1209" t="s">
        <v>2965</v>
      </c>
      <c r="B1209" s="1">
        <v>45387</v>
      </c>
      <c r="C1209" t="s">
        <v>2966</v>
      </c>
      <c r="D1209" t="s">
        <v>41</v>
      </c>
      <c r="E1209">
        <v>1642.36</v>
      </c>
      <c r="F1209">
        <v>4</v>
      </c>
      <c r="G1209">
        <v>492.71</v>
      </c>
      <c r="H1209">
        <v>0</v>
      </c>
      <c r="I1209" t="s">
        <v>2966</v>
      </c>
      <c r="J1209" t="s">
        <v>367</v>
      </c>
      <c r="K1209" t="s">
        <v>17</v>
      </c>
      <c r="L1209" t="s">
        <v>2967</v>
      </c>
      <c r="M1209" t="s">
        <v>26</v>
      </c>
      <c r="N1209" t="s">
        <v>3967</v>
      </c>
      <c r="P1209">
        <f t="shared" si="18"/>
        <v>0.30000121775980904</v>
      </c>
    </row>
    <row r="1210" spans="1:16" x14ac:dyDescent="0.25">
      <c r="A1210" t="s">
        <v>2968</v>
      </c>
      <c r="B1210" s="1">
        <v>45505</v>
      </c>
      <c r="C1210" t="s">
        <v>2969</v>
      </c>
      <c r="D1210" t="s">
        <v>36</v>
      </c>
      <c r="E1210">
        <v>27.87</v>
      </c>
      <c r="F1210">
        <v>3</v>
      </c>
      <c r="G1210">
        <v>8.36</v>
      </c>
      <c r="H1210">
        <v>0.15</v>
      </c>
      <c r="I1210" t="s">
        <v>2969</v>
      </c>
      <c r="J1210" t="s">
        <v>1691</v>
      </c>
      <c r="K1210" t="s">
        <v>24</v>
      </c>
      <c r="L1210" t="s">
        <v>1771</v>
      </c>
      <c r="M1210" t="s">
        <v>129</v>
      </c>
      <c r="N1210" t="s">
        <v>3967</v>
      </c>
      <c r="P1210">
        <f t="shared" si="18"/>
        <v>0.2999641191245066</v>
      </c>
    </row>
    <row r="1211" spans="1:16" x14ac:dyDescent="0.25">
      <c r="A1211" t="s">
        <v>2970</v>
      </c>
      <c r="B1211" s="1">
        <v>45483</v>
      </c>
      <c r="C1211" t="s">
        <v>2971</v>
      </c>
      <c r="D1211" t="s">
        <v>36</v>
      </c>
      <c r="E1211">
        <v>3003.2</v>
      </c>
      <c r="F1211">
        <v>20</v>
      </c>
      <c r="G1211">
        <v>900.96</v>
      </c>
      <c r="H1211">
        <v>0</v>
      </c>
      <c r="I1211" t="s">
        <v>2971</v>
      </c>
      <c r="J1211" t="s">
        <v>1691</v>
      </c>
      <c r="K1211" t="s">
        <v>24</v>
      </c>
      <c r="L1211" t="s">
        <v>82</v>
      </c>
      <c r="M1211" t="s">
        <v>83</v>
      </c>
      <c r="N1211" t="s">
        <v>3967</v>
      </c>
      <c r="P1211">
        <f t="shared" si="18"/>
        <v>0.30000000000000004</v>
      </c>
    </row>
    <row r="1212" spans="1:16" x14ac:dyDescent="0.25">
      <c r="A1212" t="s">
        <v>2972</v>
      </c>
      <c r="B1212" s="1">
        <v>45458</v>
      </c>
      <c r="C1212" t="s">
        <v>2973</v>
      </c>
      <c r="D1212" t="s">
        <v>36</v>
      </c>
      <c r="E1212">
        <v>354.97</v>
      </c>
      <c r="F1212">
        <v>1</v>
      </c>
      <c r="G1212">
        <v>106.49</v>
      </c>
      <c r="H1212">
        <v>0.1</v>
      </c>
      <c r="I1212" t="s">
        <v>2973</v>
      </c>
      <c r="J1212" t="s">
        <v>2974</v>
      </c>
      <c r="K1212" t="s">
        <v>17</v>
      </c>
      <c r="L1212" t="s">
        <v>82</v>
      </c>
      <c r="M1212" t="s">
        <v>83</v>
      </c>
      <c r="N1212" t="s">
        <v>3967</v>
      </c>
      <c r="P1212">
        <f t="shared" si="18"/>
        <v>0.2999971828605234</v>
      </c>
    </row>
    <row r="1213" spans="1:16" x14ac:dyDescent="0.25">
      <c r="A1213" t="s">
        <v>2975</v>
      </c>
      <c r="B1213" s="1">
        <v>45434</v>
      </c>
      <c r="C1213" t="s">
        <v>2976</v>
      </c>
      <c r="D1213" t="s">
        <v>48</v>
      </c>
      <c r="E1213">
        <v>2730.44</v>
      </c>
      <c r="F1213">
        <v>6</v>
      </c>
      <c r="G1213">
        <v>819.13</v>
      </c>
      <c r="H1213">
        <v>0.15</v>
      </c>
      <c r="I1213" t="s">
        <v>2976</v>
      </c>
      <c r="J1213" t="s">
        <v>2078</v>
      </c>
      <c r="K1213" t="s">
        <v>17</v>
      </c>
      <c r="L1213" t="s">
        <v>82</v>
      </c>
      <c r="M1213" t="s">
        <v>83</v>
      </c>
      <c r="N1213" t="s">
        <v>3967</v>
      </c>
      <c r="P1213">
        <f t="shared" si="18"/>
        <v>0.2999992675173232</v>
      </c>
    </row>
    <row r="1214" spans="1:16" x14ac:dyDescent="0.25">
      <c r="A1214" t="s">
        <v>2977</v>
      </c>
      <c r="B1214" s="1">
        <v>45305</v>
      </c>
      <c r="C1214" t="s">
        <v>2978</v>
      </c>
      <c r="D1214" t="s">
        <v>48</v>
      </c>
      <c r="E1214">
        <v>7361.15</v>
      </c>
      <c r="F1214">
        <v>19</v>
      </c>
      <c r="G1214">
        <v>2208.35</v>
      </c>
      <c r="H1214">
        <v>0.05</v>
      </c>
      <c r="I1214" t="s">
        <v>2978</v>
      </c>
      <c r="J1214" t="s">
        <v>2979</v>
      </c>
      <c r="K1214" t="s">
        <v>17</v>
      </c>
      <c r="L1214" t="s">
        <v>133</v>
      </c>
      <c r="M1214" t="s">
        <v>1407</v>
      </c>
      <c r="N1214" t="s">
        <v>3967</v>
      </c>
      <c r="P1214">
        <f t="shared" si="18"/>
        <v>0.3000006792416946</v>
      </c>
    </row>
    <row r="1215" spans="1:16" x14ac:dyDescent="0.25">
      <c r="A1215" t="s">
        <v>1447</v>
      </c>
      <c r="B1215" s="1">
        <v>45596</v>
      </c>
      <c r="C1215" t="s">
        <v>1448</v>
      </c>
      <c r="D1215" t="s">
        <v>91</v>
      </c>
      <c r="E1215">
        <v>1836.62</v>
      </c>
      <c r="F1215">
        <v>16</v>
      </c>
      <c r="G1215">
        <v>550.98</v>
      </c>
      <c r="H1215">
        <v>0.05</v>
      </c>
      <c r="I1215" t="s">
        <v>1448</v>
      </c>
      <c r="J1215" t="s">
        <v>2980</v>
      </c>
      <c r="K1215" t="s">
        <v>31</v>
      </c>
      <c r="L1215" t="s">
        <v>82</v>
      </c>
      <c r="M1215" t="s">
        <v>83</v>
      </c>
      <c r="N1215" t="s">
        <v>3967</v>
      </c>
      <c r="P1215">
        <f t="shared" si="18"/>
        <v>0.29999673312933545</v>
      </c>
    </row>
    <row r="1216" spans="1:16" x14ac:dyDescent="0.25">
      <c r="A1216" t="s">
        <v>1450</v>
      </c>
      <c r="B1216" s="1">
        <v>44993</v>
      </c>
      <c r="C1216" t="s">
        <v>1448</v>
      </c>
      <c r="D1216" t="s">
        <v>36</v>
      </c>
      <c r="E1216">
        <v>3091.76</v>
      </c>
      <c r="F1216">
        <v>19</v>
      </c>
      <c r="G1216">
        <v>927.53</v>
      </c>
      <c r="H1216">
        <v>0.15</v>
      </c>
      <c r="I1216" t="s">
        <v>1448</v>
      </c>
      <c r="J1216" t="s">
        <v>2980</v>
      </c>
      <c r="K1216" t="s">
        <v>31</v>
      </c>
      <c r="L1216" t="s">
        <v>82</v>
      </c>
      <c r="M1216" t="s">
        <v>83</v>
      </c>
      <c r="N1216" t="s">
        <v>3967</v>
      </c>
      <c r="P1216">
        <f t="shared" si="18"/>
        <v>0.30000064688074102</v>
      </c>
    </row>
    <row r="1217" spans="1:16" x14ac:dyDescent="0.25">
      <c r="A1217" t="s">
        <v>2981</v>
      </c>
      <c r="B1217" s="1">
        <v>45405</v>
      </c>
      <c r="C1217" t="s">
        <v>2982</v>
      </c>
      <c r="D1217" t="s">
        <v>41</v>
      </c>
      <c r="E1217">
        <v>249.04</v>
      </c>
      <c r="F1217">
        <v>7</v>
      </c>
      <c r="G1217">
        <v>74.709999999999994</v>
      </c>
      <c r="H1217">
        <v>0.1</v>
      </c>
      <c r="I1217" t="s">
        <v>2982</v>
      </c>
      <c r="J1217" t="s">
        <v>2983</v>
      </c>
      <c r="K1217" t="s">
        <v>71</v>
      </c>
      <c r="L1217" t="s">
        <v>396</v>
      </c>
      <c r="M1217" t="s">
        <v>56</v>
      </c>
      <c r="N1217" t="s">
        <v>3967</v>
      </c>
      <c r="P1217">
        <f t="shared" si="18"/>
        <v>0.29999196916158044</v>
      </c>
    </row>
    <row r="1218" spans="1:16" x14ac:dyDescent="0.25">
      <c r="A1218" t="s">
        <v>2984</v>
      </c>
      <c r="B1218" s="1">
        <v>45091</v>
      </c>
      <c r="C1218" t="s">
        <v>2985</v>
      </c>
      <c r="D1218" t="s">
        <v>91</v>
      </c>
      <c r="E1218">
        <v>425.75</v>
      </c>
      <c r="F1218">
        <v>2</v>
      </c>
      <c r="G1218">
        <v>127.73</v>
      </c>
      <c r="H1218">
        <v>0.05</v>
      </c>
      <c r="I1218" t="s">
        <v>2985</v>
      </c>
      <c r="J1218" t="s">
        <v>2833</v>
      </c>
      <c r="K1218" t="s">
        <v>24</v>
      </c>
      <c r="L1218" t="s">
        <v>143</v>
      </c>
      <c r="M1218" t="s">
        <v>144</v>
      </c>
      <c r="N1218" t="s">
        <v>3967</v>
      </c>
      <c r="P1218">
        <f t="shared" si="18"/>
        <v>0.30001174398120967</v>
      </c>
    </row>
    <row r="1219" spans="1:16" x14ac:dyDescent="0.25">
      <c r="A1219" t="s">
        <v>2986</v>
      </c>
      <c r="B1219" s="1">
        <v>45350</v>
      </c>
      <c r="C1219" t="s">
        <v>2987</v>
      </c>
      <c r="D1219" t="s">
        <v>41</v>
      </c>
      <c r="E1219">
        <v>3992.74</v>
      </c>
      <c r="F1219">
        <v>11</v>
      </c>
      <c r="G1219">
        <v>1197.82</v>
      </c>
      <c r="H1219">
        <v>0.05</v>
      </c>
      <c r="I1219" t="s">
        <v>2987</v>
      </c>
      <c r="J1219" t="s">
        <v>1136</v>
      </c>
      <c r="K1219" t="s">
        <v>31</v>
      </c>
      <c r="L1219" t="s">
        <v>597</v>
      </c>
      <c r="M1219" t="s">
        <v>144</v>
      </c>
      <c r="N1219" t="s">
        <v>3967</v>
      </c>
      <c r="P1219">
        <f t="shared" ref="P1219:P1282" si="19">G1219/E1219</f>
        <v>0.29999949909084989</v>
      </c>
    </row>
    <row r="1220" spans="1:16" x14ac:dyDescent="0.25">
      <c r="A1220" t="s">
        <v>2988</v>
      </c>
      <c r="B1220" s="1">
        <v>45462</v>
      </c>
      <c r="C1220" t="s">
        <v>2989</v>
      </c>
      <c r="D1220" t="s">
        <v>41</v>
      </c>
      <c r="E1220">
        <v>756.59</v>
      </c>
      <c r="F1220">
        <v>9</v>
      </c>
      <c r="G1220">
        <v>226.98</v>
      </c>
      <c r="H1220">
        <v>0.05</v>
      </c>
      <c r="I1220" t="s">
        <v>2989</v>
      </c>
      <c r="J1220" t="s">
        <v>1678</v>
      </c>
      <c r="K1220" t="s">
        <v>24</v>
      </c>
      <c r="L1220" t="s">
        <v>2990</v>
      </c>
      <c r="M1220" t="s">
        <v>83</v>
      </c>
      <c r="N1220" t="s">
        <v>3967</v>
      </c>
      <c r="P1220">
        <f t="shared" si="19"/>
        <v>0.30000396515946548</v>
      </c>
    </row>
    <row r="1221" spans="1:16" x14ac:dyDescent="0.25">
      <c r="A1221" t="s">
        <v>2991</v>
      </c>
      <c r="B1221" s="1">
        <v>45003</v>
      </c>
      <c r="C1221" t="s">
        <v>2992</v>
      </c>
      <c r="D1221" t="s">
        <v>91</v>
      </c>
      <c r="E1221">
        <v>2642.9</v>
      </c>
      <c r="F1221">
        <v>20</v>
      </c>
      <c r="G1221">
        <v>792.87</v>
      </c>
      <c r="H1221">
        <v>0.05</v>
      </c>
      <c r="I1221" t="s">
        <v>2992</v>
      </c>
      <c r="J1221" t="s">
        <v>2980</v>
      </c>
      <c r="K1221" t="s">
        <v>38</v>
      </c>
      <c r="L1221" t="s">
        <v>43</v>
      </c>
      <c r="M1221" t="s">
        <v>26</v>
      </c>
      <c r="N1221" t="s">
        <v>3967</v>
      </c>
      <c r="P1221">
        <f t="shared" si="19"/>
        <v>0.3</v>
      </c>
    </row>
    <row r="1222" spans="1:16" x14ac:dyDescent="0.25">
      <c r="A1222" t="s">
        <v>2993</v>
      </c>
      <c r="B1222" s="1">
        <v>45006</v>
      </c>
      <c r="C1222" t="s">
        <v>2994</v>
      </c>
      <c r="D1222" t="s">
        <v>29</v>
      </c>
      <c r="E1222">
        <v>5512.19</v>
      </c>
      <c r="F1222">
        <v>19</v>
      </c>
      <c r="G1222">
        <v>1653.66</v>
      </c>
      <c r="H1222">
        <v>0.1</v>
      </c>
      <c r="I1222" t="s">
        <v>2994</v>
      </c>
      <c r="J1222" t="s">
        <v>682</v>
      </c>
      <c r="K1222" t="s">
        <v>71</v>
      </c>
      <c r="L1222" t="s">
        <v>143</v>
      </c>
      <c r="M1222" t="s">
        <v>144</v>
      </c>
      <c r="N1222" t="s">
        <v>3968</v>
      </c>
      <c r="P1222">
        <f t="shared" si="19"/>
        <v>0.30000054424829337</v>
      </c>
    </row>
    <row r="1223" spans="1:16" x14ac:dyDescent="0.25">
      <c r="A1223" t="s">
        <v>2995</v>
      </c>
      <c r="B1223" s="1">
        <v>45440</v>
      </c>
      <c r="C1223" t="s">
        <v>2996</v>
      </c>
      <c r="D1223" t="s">
        <v>41</v>
      </c>
      <c r="E1223">
        <v>4817.5200000000004</v>
      </c>
      <c r="F1223">
        <v>16</v>
      </c>
      <c r="G1223">
        <v>1445.26</v>
      </c>
      <c r="H1223">
        <v>0.1</v>
      </c>
      <c r="I1223" t="s">
        <v>2996</v>
      </c>
      <c r="J1223" t="s">
        <v>2997</v>
      </c>
      <c r="K1223" t="s">
        <v>17</v>
      </c>
      <c r="L1223" t="s">
        <v>2998</v>
      </c>
      <c r="M1223" t="s">
        <v>56</v>
      </c>
      <c r="N1223" t="s">
        <v>3968</v>
      </c>
      <c r="P1223">
        <f t="shared" si="19"/>
        <v>0.30000083030272834</v>
      </c>
    </row>
    <row r="1224" spans="1:16" x14ac:dyDescent="0.25">
      <c r="A1224" t="s">
        <v>2999</v>
      </c>
      <c r="B1224" s="1">
        <v>45012</v>
      </c>
      <c r="C1224" t="s">
        <v>3000</v>
      </c>
      <c r="D1224" t="s">
        <v>29</v>
      </c>
      <c r="E1224">
        <v>6649.6</v>
      </c>
      <c r="F1224">
        <v>20</v>
      </c>
      <c r="G1224">
        <v>1994.88</v>
      </c>
      <c r="H1224">
        <v>0</v>
      </c>
      <c r="I1224" t="s">
        <v>3000</v>
      </c>
      <c r="J1224" t="s">
        <v>3001</v>
      </c>
      <c r="K1224" t="s">
        <v>71</v>
      </c>
      <c r="L1224" t="s">
        <v>3002</v>
      </c>
      <c r="M1224" t="s">
        <v>310</v>
      </c>
      <c r="N1224" t="s">
        <v>3966</v>
      </c>
      <c r="P1224">
        <f t="shared" si="19"/>
        <v>0.3</v>
      </c>
    </row>
    <row r="1225" spans="1:16" x14ac:dyDescent="0.25">
      <c r="A1225" t="s">
        <v>3003</v>
      </c>
      <c r="B1225" s="1">
        <v>45096</v>
      </c>
      <c r="C1225" t="s">
        <v>3004</v>
      </c>
      <c r="D1225" t="s">
        <v>41</v>
      </c>
      <c r="E1225">
        <v>123.4</v>
      </c>
      <c r="F1225">
        <v>1</v>
      </c>
      <c r="G1225">
        <v>37.020000000000003</v>
      </c>
      <c r="H1225">
        <v>0</v>
      </c>
      <c r="I1225" t="s">
        <v>3004</v>
      </c>
      <c r="J1225" t="s">
        <v>2249</v>
      </c>
      <c r="K1225" t="s">
        <v>38</v>
      </c>
      <c r="L1225" t="s">
        <v>667</v>
      </c>
      <c r="M1225" t="s">
        <v>632</v>
      </c>
      <c r="N1225" t="s">
        <v>3966</v>
      </c>
      <c r="P1225">
        <f t="shared" si="19"/>
        <v>0.3</v>
      </c>
    </row>
    <row r="1226" spans="1:16" x14ac:dyDescent="0.25">
      <c r="A1226" t="s">
        <v>3005</v>
      </c>
      <c r="B1226" s="1">
        <v>45230</v>
      </c>
      <c r="C1226" t="s">
        <v>3006</v>
      </c>
      <c r="D1226" t="s">
        <v>15</v>
      </c>
      <c r="E1226">
        <v>251.54</v>
      </c>
      <c r="F1226">
        <v>3</v>
      </c>
      <c r="G1226">
        <v>75.459999999999994</v>
      </c>
      <c r="H1226">
        <v>0.05</v>
      </c>
      <c r="I1226" t="s">
        <v>3006</v>
      </c>
      <c r="J1226" t="s">
        <v>494</v>
      </c>
      <c r="K1226" t="s">
        <v>24</v>
      </c>
      <c r="L1226" t="s">
        <v>143</v>
      </c>
      <c r="M1226" t="s">
        <v>144</v>
      </c>
      <c r="N1226" t="s">
        <v>3966</v>
      </c>
      <c r="P1226">
        <f t="shared" si="19"/>
        <v>0.29999204897829368</v>
      </c>
    </row>
    <row r="1227" spans="1:16" x14ac:dyDescent="0.25">
      <c r="A1227" t="s">
        <v>3007</v>
      </c>
      <c r="B1227" s="1">
        <v>45118</v>
      </c>
      <c r="C1227" t="s">
        <v>3008</v>
      </c>
      <c r="D1227" t="s">
        <v>22</v>
      </c>
      <c r="E1227">
        <v>590.97</v>
      </c>
      <c r="F1227">
        <v>13</v>
      </c>
      <c r="G1227">
        <v>177.29</v>
      </c>
      <c r="H1227">
        <v>0.1</v>
      </c>
      <c r="I1227" t="s">
        <v>3008</v>
      </c>
      <c r="J1227" t="s">
        <v>1848</v>
      </c>
      <c r="K1227" t="s">
        <v>71</v>
      </c>
      <c r="L1227" t="s">
        <v>427</v>
      </c>
      <c r="M1227" t="s">
        <v>56</v>
      </c>
      <c r="N1227" t="s">
        <v>3966</v>
      </c>
      <c r="P1227">
        <f t="shared" si="19"/>
        <v>0.29999830786672754</v>
      </c>
    </row>
    <row r="1228" spans="1:16" x14ac:dyDescent="0.25">
      <c r="A1228" t="s">
        <v>3009</v>
      </c>
      <c r="B1228" s="1">
        <v>45065</v>
      </c>
      <c r="C1228" t="s">
        <v>3010</v>
      </c>
      <c r="D1228" t="s">
        <v>48</v>
      </c>
      <c r="E1228">
        <v>2487</v>
      </c>
      <c r="F1228">
        <v>11</v>
      </c>
      <c r="G1228">
        <v>746.1</v>
      </c>
      <c r="H1228">
        <v>0.05</v>
      </c>
      <c r="I1228" t="s">
        <v>3010</v>
      </c>
      <c r="J1228" t="s">
        <v>2048</v>
      </c>
      <c r="K1228" t="s">
        <v>24</v>
      </c>
      <c r="L1228" t="s">
        <v>25</v>
      </c>
      <c r="M1228" t="s">
        <v>26</v>
      </c>
      <c r="N1228" t="s">
        <v>3966</v>
      </c>
      <c r="P1228">
        <f t="shared" si="19"/>
        <v>0.3</v>
      </c>
    </row>
    <row r="1229" spans="1:16" x14ac:dyDescent="0.25">
      <c r="A1229" t="s">
        <v>3011</v>
      </c>
      <c r="B1229" s="1">
        <v>45143</v>
      </c>
      <c r="C1229" t="s">
        <v>3012</v>
      </c>
      <c r="D1229" t="s">
        <v>36</v>
      </c>
      <c r="E1229">
        <v>2064.65</v>
      </c>
      <c r="F1229">
        <v>7</v>
      </c>
      <c r="G1229">
        <v>619.4</v>
      </c>
      <c r="H1229">
        <v>0</v>
      </c>
      <c r="I1229" t="s">
        <v>3012</v>
      </c>
      <c r="J1229" t="s">
        <v>995</v>
      </c>
      <c r="K1229" t="s">
        <v>31</v>
      </c>
      <c r="L1229" t="s">
        <v>216</v>
      </c>
      <c r="M1229" t="s">
        <v>123</v>
      </c>
      <c r="N1229" t="s">
        <v>3966</v>
      </c>
      <c r="P1229">
        <f t="shared" si="19"/>
        <v>0.30000242171796671</v>
      </c>
    </row>
    <row r="1230" spans="1:16" x14ac:dyDescent="0.25">
      <c r="A1230" t="s">
        <v>508</v>
      </c>
      <c r="B1230" s="1">
        <v>45009</v>
      </c>
      <c r="C1230" t="s">
        <v>509</v>
      </c>
      <c r="D1230" t="s">
        <v>29</v>
      </c>
      <c r="E1230">
        <v>2766.96</v>
      </c>
      <c r="F1230">
        <v>8</v>
      </c>
      <c r="G1230">
        <v>830.09</v>
      </c>
      <c r="H1230">
        <v>0.1</v>
      </c>
      <c r="I1230" t="s">
        <v>509</v>
      </c>
      <c r="J1230" t="s">
        <v>333</v>
      </c>
      <c r="K1230" t="s">
        <v>71</v>
      </c>
      <c r="L1230" t="s">
        <v>1982</v>
      </c>
      <c r="M1230" t="s">
        <v>33</v>
      </c>
      <c r="N1230" t="s">
        <v>3966</v>
      </c>
      <c r="P1230">
        <f t="shared" si="19"/>
        <v>0.30000072281493045</v>
      </c>
    </row>
    <row r="1231" spans="1:16" x14ac:dyDescent="0.25">
      <c r="A1231" t="s">
        <v>512</v>
      </c>
      <c r="B1231" s="1">
        <v>45313</v>
      </c>
      <c r="C1231" t="s">
        <v>509</v>
      </c>
      <c r="D1231" t="s">
        <v>91</v>
      </c>
      <c r="E1231">
        <v>479.57</v>
      </c>
      <c r="F1231">
        <v>5</v>
      </c>
      <c r="G1231">
        <v>143.87</v>
      </c>
      <c r="H1231">
        <v>0.1</v>
      </c>
      <c r="I1231" t="s">
        <v>509</v>
      </c>
      <c r="J1231" t="s">
        <v>333</v>
      </c>
      <c r="K1231" t="s">
        <v>71</v>
      </c>
      <c r="L1231" t="s">
        <v>1982</v>
      </c>
      <c r="M1231" t="s">
        <v>33</v>
      </c>
      <c r="N1231" t="s">
        <v>3966</v>
      </c>
      <c r="P1231">
        <f t="shared" si="19"/>
        <v>0.29999791479867383</v>
      </c>
    </row>
    <row r="1232" spans="1:16" x14ac:dyDescent="0.25">
      <c r="A1232" t="s">
        <v>1646</v>
      </c>
      <c r="B1232" s="1">
        <v>45702</v>
      </c>
      <c r="C1232" t="s">
        <v>1647</v>
      </c>
      <c r="D1232" t="s">
        <v>48</v>
      </c>
      <c r="E1232">
        <v>359.43</v>
      </c>
      <c r="F1232">
        <v>1</v>
      </c>
      <c r="G1232">
        <v>107.83</v>
      </c>
      <c r="H1232">
        <v>0.05</v>
      </c>
      <c r="I1232" t="s">
        <v>1647</v>
      </c>
      <c r="J1232" t="s">
        <v>484</v>
      </c>
      <c r="K1232" t="s">
        <v>71</v>
      </c>
      <c r="L1232" t="s">
        <v>524</v>
      </c>
      <c r="M1232" t="s">
        <v>266</v>
      </c>
      <c r="N1232" t="s">
        <v>3966</v>
      </c>
      <c r="P1232">
        <f t="shared" si="19"/>
        <v>0.30000278218290072</v>
      </c>
    </row>
    <row r="1233" spans="1:16" x14ac:dyDescent="0.25">
      <c r="A1233" t="s">
        <v>1649</v>
      </c>
      <c r="B1233" s="1">
        <v>45488</v>
      </c>
      <c r="C1233" t="s">
        <v>1647</v>
      </c>
      <c r="D1233" t="s">
        <v>22</v>
      </c>
      <c r="E1233">
        <v>464.58</v>
      </c>
      <c r="F1233">
        <v>16</v>
      </c>
      <c r="G1233">
        <v>139.37</v>
      </c>
      <c r="H1233">
        <v>0.15</v>
      </c>
      <c r="I1233" t="s">
        <v>1647</v>
      </c>
      <c r="J1233" t="s">
        <v>484</v>
      </c>
      <c r="K1233" t="s">
        <v>71</v>
      </c>
      <c r="L1233" t="s">
        <v>524</v>
      </c>
      <c r="M1233" t="s">
        <v>266</v>
      </c>
      <c r="N1233" t="s">
        <v>3966</v>
      </c>
      <c r="P1233">
        <f t="shared" si="19"/>
        <v>0.29999139007275388</v>
      </c>
    </row>
    <row r="1234" spans="1:16" x14ac:dyDescent="0.25">
      <c r="A1234" t="s">
        <v>3013</v>
      </c>
      <c r="B1234" s="1">
        <v>45640</v>
      </c>
      <c r="C1234" t="s">
        <v>3014</v>
      </c>
      <c r="D1234" t="s">
        <v>29</v>
      </c>
      <c r="E1234">
        <v>461.35</v>
      </c>
      <c r="F1234">
        <v>1</v>
      </c>
      <c r="G1234">
        <v>138.41</v>
      </c>
      <c r="H1234">
        <v>0</v>
      </c>
      <c r="I1234" t="s">
        <v>3014</v>
      </c>
      <c r="J1234" t="s">
        <v>480</v>
      </c>
      <c r="K1234" t="s">
        <v>31</v>
      </c>
      <c r="L1234" t="s">
        <v>1716</v>
      </c>
      <c r="M1234" t="s">
        <v>26</v>
      </c>
      <c r="N1234" t="s">
        <v>3966</v>
      </c>
      <c r="P1234">
        <f t="shared" si="19"/>
        <v>0.30001083775875148</v>
      </c>
    </row>
    <row r="1235" spans="1:16" x14ac:dyDescent="0.25">
      <c r="A1235" t="s">
        <v>3015</v>
      </c>
      <c r="B1235" s="1">
        <v>45105</v>
      </c>
      <c r="C1235" t="s">
        <v>3016</v>
      </c>
      <c r="D1235" t="s">
        <v>41</v>
      </c>
      <c r="E1235">
        <v>7098</v>
      </c>
      <c r="F1235">
        <v>20</v>
      </c>
      <c r="G1235">
        <v>2129.4</v>
      </c>
      <c r="H1235">
        <v>0</v>
      </c>
      <c r="I1235" t="s">
        <v>3016</v>
      </c>
      <c r="J1235" t="s">
        <v>3017</v>
      </c>
      <c r="K1235" t="s">
        <v>24</v>
      </c>
      <c r="L1235" t="s">
        <v>3018</v>
      </c>
      <c r="M1235" t="s">
        <v>26</v>
      </c>
      <c r="N1235" t="s">
        <v>3967</v>
      </c>
      <c r="P1235">
        <f t="shared" si="19"/>
        <v>0.3</v>
      </c>
    </row>
    <row r="1236" spans="1:16" x14ac:dyDescent="0.25">
      <c r="A1236" t="s">
        <v>3019</v>
      </c>
      <c r="B1236" s="1">
        <v>44950</v>
      </c>
      <c r="C1236" t="s">
        <v>3020</v>
      </c>
      <c r="D1236" t="s">
        <v>29</v>
      </c>
      <c r="E1236">
        <v>2761.98</v>
      </c>
      <c r="F1236">
        <v>7</v>
      </c>
      <c r="G1236">
        <v>828.59</v>
      </c>
      <c r="H1236">
        <v>0.1</v>
      </c>
      <c r="I1236" t="s">
        <v>3020</v>
      </c>
      <c r="J1236" t="s">
        <v>313</v>
      </c>
      <c r="K1236" t="s">
        <v>71</v>
      </c>
      <c r="L1236" t="s">
        <v>1007</v>
      </c>
      <c r="M1236" t="s">
        <v>56</v>
      </c>
      <c r="N1236" t="s">
        <v>3966</v>
      </c>
      <c r="P1236">
        <f t="shared" si="19"/>
        <v>0.29999855176358992</v>
      </c>
    </row>
    <row r="1237" spans="1:16" x14ac:dyDescent="0.25">
      <c r="A1237" t="s">
        <v>1504</v>
      </c>
      <c r="B1237" s="1">
        <v>45464</v>
      </c>
      <c r="C1237" t="s">
        <v>1505</v>
      </c>
      <c r="D1237" t="s">
        <v>91</v>
      </c>
      <c r="E1237">
        <v>7216.58</v>
      </c>
      <c r="F1237">
        <v>14</v>
      </c>
      <c r="G1237">
        <v>2164.9699999999998</v>
      </c>
      <c r="H1237">
        <v>0.05</v>
      </c>
      <c r="I1237" t="s">
        <v>1505</v>
      </c>
      <c r="J1237" t="s">
        <v>3021</v>
      </c>
      <c r="K1237" t="s">
        <v>38</v>
      </c>
      <c r="L1237" t="s">
        <v>2418</v>
      </c>
      <c r="M1237" t="s">
        <v>266</v>
      </c>
      <c r="N1237" t="s">
        <v>3966</v>
      </c>
      <c r="P1237">
        <f t="shared" si="19"/>
        <v>0.29999944572082621</v>
      </c>
    </row>
    <row r="1238" spans="1:16" x14ac:dyDescent="0.25">
      <c r="A1238" t="s">
        <v>1507</v>
      </c>
      <c r="B1238" s="1">
        <v>45745</v>
      </c>
      <c r="C1238" t="s">
        <v>1505</v>
      </c>
      <c r="D1238" t="s">
        <v>91</v>
      </c>
      <c r="E1238">
        <v>6451.81</v>
      </c>
      <c r="F1238">
        <v>18</v>
      </c>
      <c r="G1238">
        <v>1935.54</v>
      </c>
      <c r="H1238">
        <v>0.1</v>
      </c>
      <c r="I1238" t="s">
        <v>1505</v>
      </c>
      <c r="J1238" t="s">
        <v>3021</v>
      </c>
      <c r="K1238" t="s">
        <v>38</v>
      </c>
      <c r="L1238" t="s">
        <v>2418</v>
      </c>
      <c r="M1238" t="s">
        <v>266</v>
      </c>
      <c r="N1238" t="s">
        <v>3966</v>
      </c>
      <c r="P1238">
        <f t="shared" si="19"/>
        <v>0.29999953501420529</v>
      </c>
    </row>
    <row r="1239" spans="1:16" x14ac:dyDescent="0.25">
      <c r="A1239" t="s">
        <v>3022</v>
      </c>
      <c r="B1239" s="1">
        <v>45756</v>
      </c>
      <c r="C1239" t="s">
        <v>3023</v>
      </c>
      <c r="D1239" t="s">
        <v>41</v>
      </c>
      <c r="E1239">
        <v>644.80999999999995</v>
      </c>
      <c r="F1239">
        <v>3</v>
      </c>
      <c r="G1239">
        <v>193.44</v>
      </c>
      <c r="H1239">
        <v>0.1</v>
      </c>
      <c r="I1239" t="s">
        <v>3023</v>
      </c>
      <c r="J1239" t="s">
        <v>109</v>
      </c>
      <c r="K1239" t="s">
        <v>31</v>
      </c>
      <c r="L1239" t="s">
        <v>3024</v>
      </c>
      <c r="M1239" t="s">
        <v>56</v>
      </c>
      <c r="N1239" t="s">
        <v>3966</v>
      </c>
      <c r="P1239">
        <f t="shared" si="19"/>
        <v>0.29999534746669565</v>
      </c>
    </row>
    <row r="1240" spans="1:16" x14ac:dyDescent="0.25">
      <c r="A1240" t="s">
        <v>3025</v>
      </c>
      <c r="B1240" s="1">
        <v>45668</v>
      </c>
      <c r="C1240" t="s">
        <v>3026</v>
      </c>
      <c r="D1240" t="s">
        <v>91</v>
      </c>
      <c r="E1240">
        <v>4783.54</v>
      </c>
      <c r="F1240">
        <v>16</v>
      </c>
      <c r="G1240">
        <v>1435.06</v>
      </c>
      <c r="H1240">
        <v>0.1</v>
      </c>
      <c r="I1240" t="s">
        <v>3026</v>
      </c>
      <c r="J1240" t="s">
        <v>3027</v>
      </c>
      <c r="K1240" t="s">
        <v>31</v>
      </c>
      <c r="L1240" t="s">
        <v>72</v>
      </c>
      <c r="M1240" t="s">
        <v>26</v>
      </c>
      <c r="N1240" t="s">
        <v>3966</v>
      </c>
      <c r="P1240">
        <f t="shared" si="19"/>
        <v>0.29999958189959736</v>
      </c>
    </row>
    <row r="1241" spans="1:16" x14ac:dyDescent="0.25">
      <c r="A1241" t="s">
        <v>3028</v>
      </c>
      <c r="B1241" s="1">
        <v>45486</v>
      </c>
      <c r="C1241" t="s">
        <v>3029</v>
      </c>
      <c r="D1241" t="s">
        <v>41</v>
      </c>
      <c r="E1241">
        <v>3886.83</v>
      </c>
      <c r="F1241">
        <v>9</v>
      </c>
      <c r="G1241">
        <v>1166.05</v>
      </c>
      <c r="H1241">
        <v>0.05</v>
      </c>
      <c r="I1241" t="s">
        <v>3029</v>
      </c>
      <c r="J1241" t="s">
        <v>292</v>
      </c>
      <c r="K1241" t="s">
        <v>38</v>
      </c>
      <c r="L1241" t="s">
        <v>99</v>
      </c>
      <c r="M1241" t="s">
        <v>56</v>
      </c>
      <c r="N1241" t="s">
        <v>3966</v>
      </c>
      <c r="P1241">
        <f t="shared" si="19"/>
        <v>0.30000025727906804</v>
      </c>
    </row>
    <row r="1242" spans="1:16" x14ac:dyDescent="0.25">
      <c r="A1242" t="s">
        <v>3030</v>
      </c>
      <c r="B1242" s="1">
        <v>45661</v>
      </c>
      <c r="C1242" t="s">
        <v>3031</v>
      </c>
      <c r="D1242" t="s">
        <v>41</v>
      </c>
      <c r="E1242">
        <v>3081.08</v>
      </c>
      <c r="F1242">
        <v>6</v>
      </c>
      <c r="G1242">
        <v>924.32</v>
      </c>
      <c r="H1242">
        <v>0.05</v>
      </c>
      <c r="I1242" t="s">
        <v>3031</v>
      </c>
      <c r="J1242" t="s">
        <v>2906</v>
      </c>
      <c r="K1242" t="s">
        <v>71</v>
      </c>
      <c r="L1242" t="s">
        <v>99</v>
      </c>
      <c r="M1242" t="s">
        <v>56</v>
      </c>
      <c r="N1242" t="s">
        <v>3966</v>
      </c>
      <c r="P1242">
        <f t="shared" si="19"/>
        <v>0.29999870175393045</v>
      </c>
    </row>
    <row r="1243" spans="1:16" x14ac:dyDescent="0.25">
      <c r="A1243" t="s">
        <v>3032</v>
      </c>
      <c r="B1243" s="1">
        <v>45224</v>
      </c>
      <c r="C1243" t="s">
        <v>3033</v>
      </c>
      <c r="D1243" t="s">
        <v>29</v>
      </c>
      <c r="E1243">
        <v>1753.7</v>
      </c>
      <c r="F1243">
        <v>14</v>
      </c>
      <c r="G1243">
        <v>526.11</v>
      </c>
      <c r="H1243">
        <v>0.15</v>
      </c>
      <c r="I1243" t="s">
        <v>3033</v>
      </c>
      <c r="J1243" t="s">
        <v>3034</v>
      </c>
      <c r="K1243" t="s">
        <v>71</v>
      </c>
      <c r="L1243" t="s">
        <v>3035</v>
      </c>
      <c r="M1243" t="s">
        <v>67</v>
      </c>
      <c r="N1243" t="s">
        <v>3968</v>
      </c>
      <c r="P1243">
        <f t="shared" si="19"/>
        <v>0.3</v>
      </c>
    </row>
    <row r="1244" spans="1:16" x14ac:dyDescent="0.25">
      <c r="A1244" t="s">
        <v>3036</v>
      </c>
      <c r="B1244" s="1">
        <v>45199</v>
      </c>
      <c r="C1244" t="s">
        <v>3037</v>
      </c>
      <c r="D1244" t="s">
        <v>15</v>
      </c>
      <c r="E1244">
        <v>2505.66</v>
      </c>
      <c r="F1244">
        <v>7</v>
      </c>
      <c r="G1244">
        <v>751.7</v>
      </c>
      <c r="H1244">
        <v>0.15</v>
      </c>
      <c r="I1244" t="s">
        <v>3037</v>
      </c>
      <c r="J1244" t="s">
        <v>734</v>
      </c>
      <c r="K1244" t="s">
        <v>24</v>
      </c>
      <c r="L1244" t="s">
        <v>143</v>
      </c>
      <c r="M1244" t="s">
        <v>144</v>
      </c>
      <c r="N1244" t="s">
        <v>3966</v>
      </c>
      <c r="P1244">
        <f t="shared" si="19"/>
        <v>0.30000079819289133</v>
      </c>
    </row>
    <row r="1245" spans="1:16" x14ac:dyDescent="0.25">
      <c r="A1245" t="s">
        <v>3038</v>
      </c>
      <c r="B1245" s="1">
        <v>45001</v>
      </c>
      <c r="C1245" t="s">
        <v>3039</v>
      </c>
      <c r="D1245" t="s">
        <v>22</v>
      </c>
      <c r="E1245">
        <v>8726.4</v>
      </c>
      <c r="F1245">
        <v>20</v>
      </c>
      <c r="G1245">
        <v>2617.92</v>
      </c>
      <c r="H1245">
        <v>0</v>
      </c>
      <c r="I1245" t="s">
        <v>3039</v>
      </c>
      <c r="J1245" t="s">
        <v>430</v>
      </c>
      <c r="K1245" t="s">
        <v>31</v>
      </c>
      <c r="L1245" t="s">
        <v>1376</v>
      </c>
      <c r="M1245" t="s">
        <v>26</v>
      </c>
      <c r="N1245" t="s">
        <v>3966</v>
      </c>
      <c r="P1245">
        <f t="shared" si="19"/>
        <v>0.30000000000000004</v>
      </c>
    </row>
    <row r="1246" spans="1:16" x14ac:dyDescent="0.25">
      <c r="A1246" t="s">
        <v>1810</v>
      </c>
      <c r="B1246" s="1">
        <v>45133</v>
      </c>
      <c r="C1246" t="s">
        <v>1811</v>
      </c>
      <c r="D1246" t="s">
        <v>15</v>
      </c>
      <c r="E1246">
        <v>7076.65</v>
      </c>
      <c r="F1246">
        <v>18</v>
      </c>
      <c r="G1246">
        <v>2122.9899999999998</v>
      </c>
      <c r="H1246">
        <v>0.1</v>
      </c>
      <c r="I1246" t="s">
        <v>1811</v>
      </c>
      <c r="J1246" t="s">
        <v>3040</v>
      </c>
      <c r="K1246" t="s">
        <v>31</v>
      </c>
      <c r="L1246" t="s">
        <v>848</v>
      </c>
      <c r="M1246" t="s">
        <v>186</v>
      </c>
      <c r="N1246" t="s">
        <v>3966</v>
      </c>
      <c r="P1246">
        <f t="shared" si="19"/>
        <v>0.2999992934509973</v>
      </c>
    </row>
    <row r="1247" spans="1:16" x14ac:dyDescent="0.25">
      <c r="A1247" t="s">
        <v>1813</v>
      </c>
      <c r="B1247" s="1">
        <v>45100</v>
      </c>
      <c r="C1247" t="s">
        <v>1811</v>
      </c>
      <c r="D1247" t="s">
        <v>91</v>
      </c>
      <c r="E1247">
        <v>4482.18</v>
      </c>
      <c r="F1247">
        <v>16</v>
      </c>
      <c r="G1247">
        <v>1344.65</v>
      </c>
      <c r="H1247">
        <v>0.05</v>
      </c>
      <c r="I1247" t="s">
        <v>1811</v>
      </c>
      <c r="J1247" t="s">
        <v>3040</v>
      </c>
      <c r="K1247" t="s">
        <v>31</v>
      </c>
      <c r="L1247" t="s">
        <v>848</v>
      </c>
      <c r="M1247" t="s">
        <v>186</v>
      </c>
      <c r="N1247" t="s">
        <v>3966</v>
      </c>
      <c r="P1247">
        <f t="shared" si="19"/>
        <v>0.29999910757711651</v>
      </c>
    </row>
    <row r="1248" spans="1:16" x14ac:dyDescent="0.25">
      <c r="A1248" t="s">
        <v>1814</v>
      </c>
      <c r="B1248" s="1">
        <v>45613</v>
      </c>
      <c r="C1248" t="s">
        <v>1811</v>
      </c>
      <c r="D1248" t="s">
        <v>48</v>
      </c>
      <c r="E1248">
        <v>4528.62</v>
      </c>
      <c r="F1248">
        <v>9</v>
      </c>
      <c r="G1248">
        <v>1358.59</v>
      </c>
      <c r="H1248">
        <v>0</v>
      </c>
      <c r="I1248" t="s">
        <v>1811</v>
      </c>
      <c r="J1248" t="s">
        <v>3040</v>
      </c>
      <c r="K1248" t="s">
        <v>31</v>
      </c>
      <c r="L1248" t="s">
        <v>848</v>
      </c>
      <c r="M1248" t="s">
        <v>186</v>
      </c>
      <c r="N1248" t="s">
        <v>3966</v>
      </c>
      <c r="P1248">
        <f t="shared" si="19"/>
        <v>0.30000088327128349</v>
      </c>
    </row>
    <row r="1249" spans="1:16" x14ac:dyDescent="0.25">
      <c r="A1249" t="s">
        <v>3041</v>
      </c>
      <c r="B1249" s="1">
        <v>45117</v>
      </c>
      <c r="C1249" t="s">
        <v>3042</v>
      </c>
      <c r="D1249" t="s">
        <v>48</v>
      </c>
      <c r="E1249">
        <v>622.38</v>
      </c>
      <c r="F1249">
        <v>2</v>
      </c>
      <c r="G1249">
        <v>186.71</v>
      </c>
      <c r="H1249">
        <v>0.05</v>
      </c>
      <c r="I1249" t="s">
        <v>3042</v>
      </c>
      <c r="J1249" t="s">
        <v>3027</v>
      </c>
      <c r="K1249" t="s">
        <v>17</v>
      </c>
      <c r="L1249" t="s">
        <v>265</v>
      </c>
      <c r="M1249" t="s">
        <v>139</v>
      </c>
      <c r="N1249" t="s">
        <v>3966</v>
      </c>
      <c r="P1249">
        <f t="shared" si="19"/>
        <v>0.29999357305826024</v>
      </c>
    </row>
    <row r="1250" spans="1:16" x14ac:dyDescent="0.25">
      <c r="A1250" t="s">
        <v>3043</v>
      </c>
      <c r="B1250" s="1">
        <v>45510</v>
      </c>
      <c r="C1250" t="s">
        <v>3044</v>
      </c>
      <c r="D1250" t="s">
        <v>41</v>
      </c>
      <c r="E1250">
        <v>2854.33</v>
      </c>
      <c r="F1250">
        <v>18</v>
      </c>
      <c r="G1250">
        <v>856.3</v>
      </c>
      <c r="H1250">
        <v>0.05</v>
      </c>
      <c r="I1250" t="s">
        <v>3044</v>
      </c>
      <c r="J1250" t="s">
        <v>1020</v>
      </c>
      <c r="K1250" t="s">
        <v>17</v>
      </c>
      <c r="L1250" t="s">
        <v>25</v>
      </c>
      <c r="M1250" t="s">
        <v>26</v>
      </c>
      <c r="N1250" t="s">
        <v>3966</v>
      </c>
      <c r="P1250">
        <f t="shared" si="19"/>
        <v>0.30000035034491457</v>
      </c>
    </row>
    <row r="1251" spans="1:16" x14ac:dyDescent="0.25">
      <c r="A1251" t="s">
        <v>3045</v>
      </c>
      <c r="B1251" s="1">
        <v>45489</v>
      </c>
      <c r="C1251" t="s">
        <v>3046</v>
      </c>
      <c r="D1251" t="s">
        <v>22</v>
      </c>
      <c r="E1251">
        <v>3784.79</v>
      </c>
      <c r="F1251">
        <v>14</v>
      </c>
      <c r="G1251">
        <v>1135.44</v>
      </c>
      <c r="H1251">
        <v>0.1</v>
      </c>
      <c r="I1251" t="s">
        <v>3046</v>
      </c>
      <c r="J1251" t="s">
        <v>1175</v>
      </c>
      <c r="K1251" t="s">
        <v>38</v>
      </c>
      <c r="L1251" t="s">
        <v>50</v>
      </c>
      <c r="M1251" t="s">
        <v>51</v>
      </c>
      <c r="N1251" t="s">
        <v>3966</v>
      </c>
      <c r="P1251">
        <f t="shared" si="19"/>
        <v>0.30000079264635554</v>
      </c>
    </row>
    <row r="1252" spans="1:16" x14ac:dyDescent="0.25">
      <c r="A1252" t="s">
        <v>3047</v>
      </c>
      <c r="B1252" s="1">
        <v>45322</v>
      </c>
      <c r="C1252" t="s">
        <v>3048</v>
      </c>
      <c r="D1252" t="s">
        <v>41</v>
      </c>
      <c r="E1252">
        <v>1161.45</v>
      </c>
      <c r="F1252">
        <v>5</v>
      </c>
      <c r="G1252">
        <v>348.44</v>
      </c>
      <c r="H1252">
        <v>0</v>
      </c>
      <c r="I1252" t="s">
        <v>3048</v>
      </c>
      <c r="J1252" t="s">
        <v>1639</v>
      </c>
      <c r="K1252" t="s">
        <v>31</v>
      </c>
      <c r="L1252" t="s">
        <v>3049</v>
      </c>
      <c r="M1252" t="s">
        <v>176</v>
      </c>
      <c r="N1252" t="s">
        <v>3966</v>
      </c>
      <c r="P1252">
        <f t="shared" si="19"/>
        <v>0.30000430496362307</v>
      </c>
    </row>
    <row r="1253" spans="1:16" x14ac:dyDescent="0.25">
      <c r="A1253" t="s">
        <v>3050</v>
      </c>
      <c r="B1253" s="1">
        <v>45038</v>
      </c>
      <c r="C1253" t="s">
        <v>3051</v>
      </c>
      <c r="D1253" t="s">
        <v>91</v>
      </c>
      <c r="E1253">
        <v>173.44</v>
      </c>
      <c r="F1253">
        <v>1</v>
      </c>
      <c r="G1253">
        <v>52.03</v>
      </c>
      <c r="H1253">
        <v>0</v>
      </c>
      <c r="I1253" t="s">
        <v>3051</v>
      </c>
      <c r="J1253" t="s">
        <v>2920</v>
      </c>
      <c r="K1253" t="s">
        <v>38</v>
      </c>
      <c r="L1253" t="s">
        <v>919</v>
      </c>
      <c r="M1253" t="s">
        <v>186</v>
      </c>
      <c r="N1253" t="s">
        <v>3966</v>
      </c>
      <c r="P1253">
        <f t="shared" si="19"/>
        <v>0.29998846863468637</v>
      </c>
    </row>
    <row r="1254" spans="1:16" x14ac:dyDescent="0.25">
      <c r="A1254" t="s">
        <v>3052</v>
      </c>
      <c r="B1254" s="1">
        <v>45692</v>
      </c>
      <c r="C1254" t="s">
        <v>3053</v>
      </c>
      <c r="D1254" t="s">
        <v>22</v>
      </c>
      <c r="E1254">
        <v>1959.47</v>
      </c>
      <c r="F1254">
        <v>9</v>
      </c>
      <c r="G1254">
        <v>587.84</v>
      </c>
      <c r="H1254">
        <v>0.15</v>
      </c>
      <c r="I1254" t="s">
        <v>3053</v>
      </c>
      <c r="J1254" t="s">
        <v>1283</v>
      </c>
      <c r="K1254" t="s">
        <v>17</v>
      </c>
      <c r="L1254" t="s">
        <v>3054</v>
      </c>
      <c r="M1254" t="s">
        <v>865</v>
      </c>
      <c r="N1254" t="s">
        <v>3966</v>
      </c>
      <c r="P1254">
        <f t="shared" si="19"/>
        <v>0.29999948965791773</v>
      </c>
    </row>
    <row r="1255" spans="1:16" x14ac:dyDescent="0.25">
      <c r="A1255" t="s">
        <v>3055</v>
      </c>
      <c r="B1255" s="1">
        <v>45529</v>
      </c>
      <c r="C1255" t="s">
        <v>3056</v>
      </c>
      <c r="D1255" t="s">
        <v>15</v>
      </c>
      <c r="E1255">
        <v>4705.26</v>
      </c>
      <c r="F1255">
        <v>12</v>
      </c>
      <c r="G1255">
        <v>1411.58</v>
      </c>
      <c r="H1255">
        <v>0.15</v>
      </c>
      <c r="I1255" t="s">
        <v>3056</v>
      </c>
      <c r="J1255" t="s">
        <v>2109</v>
      </c>
      <c r="K1255" t="s">
        <v>38</v>
      </c>
      <c r="L1255" t="s">
        <v>50</v>
      </c>
      <c r="M1255" t="s">
        <v>51</v>
      </c>
      <c r="N1255" t="s">
        <v>3968</v>
      </c>
      <c r="P1255">
        <f t="shared" si="19"/>
        <v>0.30000042505621366</v>
      </c>
    </row>
    <row r="1256" spans="1:16" x14ac:dyDescent="0.25">
      <c r="A1256" t="s">
        <v>2521</v>
      </c>
      <c r="B1256" s="1">
        <v>45168</v>
      </c>
      <c r="C1256" t="s">
        <v>2522</v>
      </c>
      <c r="D1256" t="s">
        <v>22</v>
      </c>
      <c r="E1256">
        <v>183.43</v>
      </c>
      <c r="F1256">
        <v>1</v>
      </c>
      <c r="G1256">
        <v>55.03</v>
      </c>
      <c r="H1256">
        <v>0.05</v>
      </c>
      <c r="I1256" t="s">
        <v>2522</v>
      </c>
      <c r="J1256" t="s">
        <v>277</v>
      </c>
      <c r="K1256" t="s">
        <v>17</v>
      </c>
      <c r="L1256" t="s">
        <v>1280</v>
      </c>
      <c r="M1256" t="s">
        <v>83</v>
      </c>
      <c r="N1256" t="s">
        <v>3968</v>
      </c>
      <c r="P1256">
        <f t="shared" si="19"/>
        <v>0.30000545167093712</v>
      </c>
    </row>
    <row r="1257" spans="1:16" x14ac:dyDescent="0.25">
      <c r="A1257" t="s">
        <v>2523</v>
      </c>
      <c r="B1257" s="1">
        <v>45755</v>
      </c>
      <c r="C1257" t="s">
        <v>2522</v>
      </c>
      <c r="D1257" t="s">
        <v>22</v>
      </c>
      <c r="E1257">
        <v>4199.16</v>
      </c>
      <c r="F1257">
        <v>14</v>
      </c>
      <c r="G1257">
        <v>1259.75</v>
      </c>
      <c r="H1257">
        <v>0</v>
      </c>
      <c r="I1257" t="s">
        <v>2522</v>
      </c>
      <c r="J1257" t="s">
        <v>277</v>
      </c>
      <c r="K1257" t="s">
        <v>17</v>
      </c>
      <c r="L1257" t="s">
        <v>1280</v>
      </c>
      <c r="M1257" t="s">
        <v>83</v>
      </c>
      <c r="N1257" t="s">
        <v>3968</v>
      </c>
      <c r="P1257">
        <f t="shared" si="19"/>
        <v>0.30000047628573334</v>
      </c>
    </row>
    <row r="1258" spans="1:16" x14ac:dyDescent="0.25">
      <c r="A1258" t="s">
        <v>3057</v>
      </c>
      <c r="B1258" s="1">
        <v>45727</v>
      </c>
      <c r="C1258" t="s">
        <v>3058</v>
      </c>
      <c r="D1258" t="s">
        <v>91</v>
      </c>
      <c r="E1258">
        <v>32.26</v>
      </c>
      <c r="F1258">
        <v>3</v>
      </c>
      <c r="G1258">
        <v>9.68</v>
      </c>
      <c r="H1258">
        <v>0.05</v>
      </c>
      <c r="I1258" t="s">
        <v>3058</v>
      </c>
      <c r="J1258" t="s">
        <v>1506</v>
      </c>
      <c r="K1258" t="s">
        <v>71</v>
      </c>
      <c r="L1258" t="s">
        <v>274</v>
      </c>
      <c r="M1258" t="s">
        <v>176</v>
      </c>
      <c r="N1258" t="s">
        <v>3968</v>
      </c>
      <c r="P1258">
        <f t="shared" si="19"/>
        <v>0.30006199628022318</v>
      </c>
    </row>
    <row r="1259" spans="1:16" x14ac:dyDescent="0.25">
      <c r="A1259" t="s">
        <v>3059</v>
      </c>
      <c r="B1259" s="1">
        <v>45175</v>
      </c>
      <c r="C1259" t="s">
        <v>3058</v>
      </c>
      <c r="D1259" t="s">
        <v>36</v>
      </c>
      <c r="E1259">
        <v>891.96</v>
      </c>
      <c r="F1259">
        <v>3</v>
      </c>
      <c r="G1259">
        <v>267.58999999999997</v>
      </c>
      <c r="H1259">
        <v>0.05</v>
      </c>
      <c r="I1259" t="s">
        <v>3058</v>
      </c>
      <c r="J1259" t="s">
        <v>1506</v>
      </c>
      <c r="K1259" t="s">
        <v>71</v>
      </c>
      <c r="L1259" t="s">
        <v>274</v>
      </c>
      <c r="M1259" t="s">
        <v>176</v>
      </c>
      <c r="N1259" t="s">
        <v>3968</v>
      </c>
      <c r="P1259">
        <f t="shared" si="19"/>
        <v>0.30000224225301581</v>
      </c>
    </row>
    <row r="1260" spans="1:16" x14ac:dyDescent="0.25">
      <c r="A1260" t="s">
        <v>3060</v>
      </c>
      <c r="B1260" s="1">
        <v>45790</v>
      </c>
      <c r="C1260" t="s">
        <v>3061</v>
      </c>
      <c r="D1260" t="s">
        <v>15</v>
      </c>
      <c r="E1260">
        <v>1220.5999999999999</v>
      </c>
      <c r="F1260">
        <v>6</v>
      </c>
      <c r="G1260">
        <v>366.18</v>
      </c>
      <c r="H1260">
        <v>0.05</v>
      </c>
      <c r="I1260" t="s">
        <v>3061</v>
      </c>
      <c r="J1260" t="s">
        <v>3062</v>
      </c>
      <c r="K1260" t="s">
        <v>24</v>
      </c>
      <c r="L1260" t="s">
        <v>243</v>
      </c>
      <c r="M1260" t="s">
        <v>111</v>
      </c>
      <c r="N1260" t="s">
        <v>3968</v>
      </c>
      <c r="P1260">
        <f t="shared" si="19"/>
        <v>0.30000000000000004</v>
      </c>
    </row>
    <row r="1261" spans="1:16" x14ac:dyDescent="0.25">
      <c r="A1261" t="s">
        <v>3063</v>
      </c>
      <c r="B1261" s="1">
        <v>45228</v>
      </c>
      <c r="C1261" t="s">
        <v>3064</v>
      </c>
      <c r="D1261" t="s">
        <v>22</v>
      </c>
      <c r="E1261">
        <v>215.28</v>
      </c>
      <c r="F1261">
        <v>4</v>
      </c>
      <c r="G1261">
        <v>64.58</v>
      </c>
      <c r="H1261">
        <v>0.1</v>
      </c>
      <c r="I1261" t="s">
        <v>3064</v>
      </c>
      <c r="J1261" t="s">
        <v>219</v>
      </c>
      <c r="K1261" t="s">
        <v>31</v>
      </c>
      <c r="L1261" t="s">
        <v>143</v>
      </c>
      <c r="M1261" t="s">
        <v>144</v>
      </c>
      <c r="N1261" t="s">
        <v>3968</v>
      </c>
      <c r="P1261">
        <f t="shared" si="19"/>
        <v>0.29998141954663693</v>
      </c>
    </row>
    <row r="1262" spans="1:16" x14ac:dyDescent="0.25">
      <c r="A1262" t="s">
        <v>3065</v>
      </c>
      <c r="B1262" s="1">
        <v>45455</v>
      </c>
      <c r="C1262" t="s">
        <v>3066</v>
      </c>
      <c r="D1262" t="s">
        <v>15</v>
      </c>
      <c r="E1262">
        <v>3762</v>
      </c>
      <c r="F1262">
        <v>9</v>
      </c>
      <c r="G1262">
        <v>1128.5999999999999</v>
      </c>
      <c r="H1262">
        <v>0</v>
      </c>
      <c r="I1262" t="s">
        <v>3066</v>
      </c>
      <c r="J1262" t="s">
        <v>3067</v>
      </c>
      <c r="K1262" t="s">
        <v>17</v>
      </c>
      <c r="L1262" t="s">
        <v>388</v>
      </c>
      <c r="M1262" t="s">
        <v>389</v>
      </c>
      <c r="N1262" t="s">
        <v>3966</v>
      </c>
      <c r="P1262">
        <f t="shared" si="19"/>
        <v>0.3</v>
      </c>
    </row>
    <row r="1263" spans="1:16" x14ac:dyDescent="0.25">
      <c r="A1263" t="s">
        <v>3068</v>
      </c>
      <c r="B1263" s="1">
        <v>45130</v>
      </c>
      <c r="C1263" t="s">
        <v>3069</v>
      </c>
      <c r="D1263" t="s">
        <v>29</v>
      </c>
      <c r="E1263">
        <v>1934.66</v>
      </c>
      <c r="F1263">
        <v>6</v>
      </c>
      <c r="G1263">
        <v>580.4</v>
      </c>
      <c r="H1263">
        <v>0.1</v>
      </c>
      <c r="I1263" t="s">
        <v>3069</v>
      </c>
      <c r="J1263" t="s">
        <v>644</v>
      </c>
      <c r="K1263" t="s">
        <v>24</v>
      </c>
      <c r="L1263" t="s">
        <v>3070</v>
      </c>
      <c r="M1263" t="s">
        <v>129</v>
      </c>
      <c r="N1263" t="s">
        <v>3967</v>
      </c>
      <c r="P1263">
        <f t="shared" si="19"/>
        <v>0.30000103377337617</v>
      </c>
    </row>
    <row r="1264" spans="1:16" x14ac:dyDescent="0.25">
      <c r="A1264" t="s">
        <v>3071</v>
      </c>
      <c r="B1264" s="1">
        <v>44959</v>
      </c>
      <c r="C1264" t="s">
        <v>3069</v>
      </c>
      <c r="D1264" t="s">
        <v>36</v>
      </c>
      <c r="E1264">
        <v>80.959999999999994</v>
      </c>
      <c r="F1264">
        <v>1</v>
      </c>
      <c r="G1264">
        <v>24.29</v>
      </c>
      <c r="H1264">
        <v>0</v>
      </c>
      <c r="I1264" t="s">
        <v>3069</v>
      </c>
      <c r="J1264" t="s">
        <v>644</v>
      </c>
      <c r="K1264" t="s">
        <v>24</v>
      </c>
      <c r="L1264" t="s">
        <v>3070</v>
      </c>
      <c r="M1264" t="s">
        <v>129</v>
      </c>
      <c r="N1264" t="s">
        <v>3966</v>
      </c>
      <c r="P1264">
        <f t="shared" si="19"/>
        <v>0.30002470355731226</v>
      </c>
    </row>
    <row r="1265" spans="1:16" x14ac:dyDescent="0.25">
      <c r="A1265" t="s">
        <v>3072</v>
      </c>
      <c r="B1265" s="1">
        <v>45050</v>
      </c>
      <c r="C1265" t="s">
        <v>3073</v>
      </c>
      <c r="D1265" t="s">
        <v>22</v>
      </c>
      <c r="E1265">
        <v>716.04</v>
      </c>
      <c r="F1265">
        <v>20</v>
      </c>
      <c r="G1265">
        <v>214.81</v>
      </c>
      <c r="H1265">
        <v>0.15</v>
      </c>
      <c r="I1265" t="s">
        <v>3073</v>
      </c>
      <c r="J1265" t="s">
        <v>1535</v>
      </c>
      <c r="K1265" t="s">
        <v>17</v>
      </c>
      <c r="L1265" t="s">
        <v>143</v>
      </c>
      <c r="M1265" t="s">
        <v>144</v>
      </c>
      <c r="N1265" t="s">
        <v>3966</v>
      </c>
      <c r="P1265">
        <f t="shared" si="19"/>
        <v>0.29999720685995196</v>
      </c>
    </row>
    <row r="1266" spans="1:16" x14ac:dyDescent="0.25">
      <c r="A1266" t="s">
        <v>3074</v>
      </c>
      <c r="B1266" s="1">
        <v>45070</v>
      </c>
      <c r="C1266" t="s">
        <v>3075</v>
      </c>
      <c r="D1266" t="s">
        <v>48</v>
      </c>
      <c r="E1266">
        <v>1099.95</v>
      </c>
      <c r="F1266">
        <v>3</v>
      </c>
      <c r="G1266">
        <v>329.99</v>
      </c>
      <c r="H1266">
        <v>0</v>
      </c>
      <c r="I1266" t="s">
        <v>3075</v>
      </c>
      <c r="J1266" t="s">
        <v>2461</v>
      </c>
      <c r="K1266" t="s">
        <v>71</v>
      </c>
      <c r="L1266" t="s">
        <v>330</v>
      </c>
      <c r="M1266" t="s">
        <v>26</v>
      </c>
      <c r="N1266" t="s">
        <v>3966</v>
      </c>
      <c r="P1266">
        <f t="shared" si="19"/>
        <v>0.30000454566116641</v>
      </c>
    </row>
    <row r="1267" spans="1:16" x14ac:dyDescent="0.25">
      <c r="A1267" t="s">
        <v>3076</v>
      </c>
      <c r="B1267" s="1">
        <v>44960</v>
      </c>
      <c r="C1267" t="s">
        <v>3077</v>
      </c>
      <c r="D1267" t="s">
        <v>48</v>
      </c>
      <c r="E1267">
        <v>10163.48</v>
      </c>
      <c r="F1267">
        <v>19</v>
      </c>
      <c r="G1267">
        <v>3049.04</v>
      </c>
      <c r="H1267">
        <v>0</v>
      </c>
      <c r="I1267" t="s">
        <v>3077</v>
      </c>
      <c r="J1267" t="s">
        <v>3078</v>
      </c>
      <c r="K1267" t="s">
        <v>71</v>
      </c>
      <c r="L1267" t="s">
        <v>774</v>
      </c>
      <c r="M1267" t="s">
        <v>33</v>
      </c>
      <c r="N1267" t="s">
        <v>3966</v>
      </c>
      <c r="P1267">
        <f t="shared" si="19"/>
        <v>0.29999960643401669</v>
      </c>
    </row>
    <row r="1268" spans="1:16" x14ac:dyDescent="0.25">
      <c r="A1268" t="s">
        <v>3079</v>
      </c>
      <c r="B1268" s="1">
        <v>45285</v>
      </c>
      <c r="C1268" t="s">
        <v>3080</v>
      </c>
      <c r="D1268" t="s">
        <v>36</v>
      </c>
      <c r="E1268">
        <v>494.52</v>
      </c>
      <c r="F1268">
        <v>1</v>
      </c>
      <c r="G1268">
        <v>148.36000000000001</v>
      </c>
      <c r="H1268">
        <v>0</v>
      </c>
      <c r="I1268" t="s">
        <v>3080</v>
      </c>
      <c r="J1268" t="s">
        <v>3081</v>
      </c>
      <c r="K1268" t="s">
        <v>17</v>
      </c>
      <c r="L1268" t="s">
        <v>72</v>
      </c>
      <c r="M1268" t="s">
        <v>26</v>
      </c>
      <c r="N1268" t="s">
        <v>3967</v>
      </c>
      <c r="P1268">
        <f t="shared" si="19"/>
        <v>0.30000808865162182</v>
      </c>
    </row>
    <row r="1269" spans="1:16" x14ac:dyDescent="0.25">
      <c r="A1269" t="s">
        <v>3082</v>
      </c>
      <c r="B1269" s="1">
        <v>45133</v>
      </c>
      <c r="C1269" t="s">
        <v>3083</v>
      </c>
      <c r="D1269" t="s">
        <v>48</v>
      </c>
      <c r="E1269">
        <v>1861.22</v>
      </c>
      <c r="F1269">
        <v>6</v>
      </c>
      <c r="G1269">
        <v>558.37</v>
      </c>
      <c r="H1269">
        <v>0.1</v>
      </c>
      <c r="I1269" t="s">
        <v>3083</v>
      </c>
      <c r="J1269" t="s">
        <v>3084</v>
      </c>
      <c r="K1269" t="s">
        <v>17</v>
      </c>
      <c r="L1269" t="s">
        <v>3085</v>
      </c>
      <c r="M1269" t="s">
        <v>266</v>
      </c>
      <c r="N1269" t="s">
        <v>3967</v>
      </c>
      <c r="P1269">
        <f t="shared" si="19"/>
        <v>0.30000214912799134</v>
      </c>
    </row>
    <row r="1270" spans="1:16" x14ac:dyDescent="0.25">
      <c r="A1270" t="s">
        <v>334</v>
      </c>
      <c r="B1270" s="1">
        <v>45449</v>
      </c>
      <c r="C1270" t="s">
        <v>335</v>
      </c>
      <c r="D1270" t="s">
        <v>48</v>
      </c>
      <c r="E1270">
        <v>4989.2299999999996</v>
      </c>
      <c r="F1270">
        <v>12</v>
      </c>
      <c r="G1270">
        <v>1496.77</v>
      </c>
      <c r="H1270">
        <v>0.15</v>
      </c>
      <c r="I1270" t="s">
        <v>335</v>
      </c>
      <c r="J1270" t="s">
        <v>466</v>
      </c>
      <c r="K1270" t="s">
        <v>38</v>
      </c>
      <c r="L1270" t="s">
        <v>82</v>
      </c>
      <c r="M1270" t="s">
        <v>83</v>
      </c>
      <c r="N1270" t="s">
        <v>3967</v>
      </c>
      <c r="P1270">
        <f t="shared" si="19"/>
        <v>0.30000020043172998</v>
      </c>
    </row>
    <row r="1271" spans="1:16" x14ac:dyDescent="0.25">
      <c r="A1271" t="s">
        <v>337</v>
      </c>
      <c r="B1271" s="1">
        <v>45134</v>
      </c>
      <c r="C1271" t="s">
        <v>335</v>
      </c>
      <c r="D1271" t="s">
        <v>29</v>
      </c>
      <c r="E1271">
        <v>4985.1899999999996</v>
      </c>
      <c r="F1271">
        <v>10</v>
      </c>
      <c r="G1271">
        <v>1495.56</v>
      </c>
      <c r="H1271">
        <v>0.1</v>
      </c>
      <c r="I1271" t="s">
        <v>335</v>
      </c>
      <c r="J1271" t="s">
        <v>466</v>
      </c>
      <c r="K1271" t="s">
        <v>38</v>
      </c>
      <c r="L1271" t="s">
        <v>82</v>
      </c>
      <c r="M1271" t="s">
        <v>83</v>
      </c>
      <c r="N1271" t="s">
        <v>3966</v>
      </c>
      <c r="P1271">
        <f t="shared" si="19"/>
        <v>0.30000060178247973</v>
      </c>
    </row>
    <row r="1272" spans="1:16" x14ac:dyDescent="0.25">
      <c r="A1272" t="s">
        <v>3086</v>
      </c>
      <c r="B1272" s="1">
        <v>45059</v>
      </c>
      <c r="C1272" t="s">
        <v>3087</v>
      </c>
      <c r="D1272" t="s">
        <v>15</v>
      </c>
      <c r="E1272">
        <v>5071.1899999999996</v>
      </c>
      <c r="F1272">
        <v>18</v>
      </c>
      <c r="G1272">
        <v>1521.36</v>
      </c>
      <c r="H1272">
        <v>0.15</v>
      </c>
      <c r="I1272" t="s">
        <v>3087</v>
      </c>
      <c r="J1272" t="s">
        <v>3088</v>
      </c>
      <c r="K1272" t="s">
        <v>24</v>
      </c>
      <c r="L1272" t="s">
        <v>3089</v>
      </c>
      <c r="M1272" t="s">
        <v>244</v>
      </c>
      <c r="N1272" t="s">
        <v>3967</v>
      </c>
      <c r="P1272">
        <f t="shared" si="19"/>
        <v>0.30000059157712489</v>
      </c>
    </row>
    <row r="1273" spans="1:16" x14ac:dyDescent="0.25">
      <c r="A1273" t="s">
        <v>3090</v>
      </c>
      <c r="B1273" s="1">
        <v>45578</v>
      </c>
      <c r="C1273" t="s">
        <v>3087</v>
      </c>
      <c r="D1273" t="s">
        <v>41</v>
      </c>
      <c r="E1273">
        <v>4381.53</v>
      </c>
      <c r="F1273">
        <v>18</v>
      </c>
      <c r="G1273">
        <v>1314.46</v>
      </c>
      <c r="H1273">
        <v>0.05</v>
      </c>
      <c r="I1273" t="s">
        <v>3087</v>
      </c>
      <c r="J1273" t="s">
        <v>3088</v>
      </c>
      <c r="K1273" t="s">
        <v>24</v>
      </c>
      <c r="L1273" t="s">
        <v>3089</v>
      </c>
      <c r="M1273" t="s">
        <v>244</v>
      </c>
      <c r="N1273" t="s">
        <v>3967</v>
      </c>
      <c r="P1273">
        <f t="shared" si="19"/>
        <v>0.30000022823077788</v>
      </c>
    </row>
    <row r="1274" spans="1:16" x14ac:dyDescent="0.25">
      <c r="A1274" t="s">
        <v>1321</v>
      </c>
      <c r="B1274" s="1">
        <v>45599</v>
      </c>
      <c r="C1274" t="s">
        <v>1322</v>
      </c>
      <c r="D1274" t="s">
        <v>41</v>
      </c>
      <c r="E1274">
        <v>1695.92</v>
      </c>
      <c r="F1274">
        <v>17</v>
      </c>
      <c r="G1274">
        <v>508.78</v>
      </c>
      <c r="H1274">
        <v>0</v>
      </c>
      <c r="I1274" t="s">
        <v>1322</v>
      </c>
      <c r="J1274" t="s">
        <v>679</v>
      </c>
      <c r="K1274" t="s">
        <v>31</v>
      </c>
      <c r="L1274" t="s">
        <v>624</v>
      </c>
      <c r="M1274" t="s">
        <v>56</v>
      </c>
      <c r="N1274" t="s">
        <v>3967</v>
      </c>
      <c r="P1274">
        <f t="shared" si="19"/>
        <v>0.30000235860182078</v>
      </c>
    </row>
    <row r="1275" spans="1:16" x14ac:dyDescent="0.25">
      <c r="A1275" t="s">
        <v>1325</v>
      </c>
      <c r="B1275" s="1">
        <v>45801</v>
      </c>
      <c r="C1275" t="s">
        <v>1322</v>
      </c>
      <c r="D1275" t="s">
        <v>22</v>
      </c>
      <c r="E1275">
        <v>5455.79</v>
      </c>
      <c r="F1275">
        <v>19</v>
      </c>
      <c r="G1275">
        <v>1636.74</v>
      </c>
      <c r="H1275">
        <v>0.15</v>
      </c>
      <c r="I1275" t="s">
        <v>1322</v>
      </c>
      <c r="J1275" t="s">
        <v>679</v>
      </c>
      <c r="K1275" t="s">
        <v>31</v>
      </c>
      <c r="L1275" t="s">
        <v>624</v>
      </c>
      <c r="M1275" t="s">
        <v>56</v>
      </c>
      <c r="N1275" t="s">
        <v>3966</v>
      </c>
      <c r="P1275">
        <f t="shared" si="19"/>
        <v>0.30000054987453695</v>
      </c>
    </row>
    <row r="1276" spans="1:16" x14ac:dyDescent="0.25">
      <c r="A1276" t="s">
        <v>3091</v>
      </c>
      <c r="B1276" s="1">
        <v>45325</v>
      </c>
      <c r="C1276" t="s">
        <v>3092</v>
      </c>
      <c r="D1276" t="s">
        <v>41</v>
      </c>
      <c r="E1276">
        <v>7253.32</v>
      </c>
      <c r="F1276">
        <v>14</v>
      </c>
      <c r="G1276">
        <v>2175.9899999999998</v>
      </c>
      <c r="H1276">
        <v>0.1</v>
      </c>
      <c r="I1276" t="s">
        <v>3092</v>
      </c>
      <c r="J1276" t="s">
        <v>1866</v>
      </c>
      <c r="K1276" t="s">
        <v>31</v>
      </c>
      <c r="L1276" t="s">
        <v>143</v>
      </c>
      <c r="M1276" t="s">
        <v>144</v>
      </c>
      <c r="N1276" t="s">
        <v>3966</v>
      </c>
      <c r="P1276">
        <f t="shared" si="19"/>
        <v>0.29999917279259702</v>
      </c>
    </row>
    <row r="1277" spans="1:16" x14ac:dyDescent="0.25">
      <c r="A1277" t="s">
        <v>3093</v>
      </c>
      <c r="B1277" s="1">
        <v>45676</v>
      </c>
      <c r="C1277" t="s">
        <v>3094</v>
      </c>
      <c r="D1277" t="s">
        <v>29</v>
      </c>
      <c r="E1277">
        <v>1470.04</v>
      </c>
      <c r="F1277">
        <v>11</v>
      </c>
      <c r="G1277">
        <v>441.01</v>
      </c>
      <c r="H1277">
        <v>0</v>
      </c>
      <c r="I1277" t="s">
        <v>3094</v>
      </c>
      <c r="J1277" t="s">
        <v>1786</v>
      </c>
      <c r="K1277" t="s">
        <v>17</v>
      </c>
      <c r="L1277" t="s">
        <v>72</v>
      </c>
      <c r="M1277" t="s">
        <v>26</v>
      </c>
      <c r="N1277" t="s">
        <v>3966</v>
      </c>
      <c r="P1277">
        <f t="shared" si="19"/>
        <v>0.29999863949280292</v>
      </c>
    </row>
    <row r="1278" spans="1:16" x14ac:dyDescent="0.25">
      <c r="A1278" t="s">
        <v>3095</v>
      </c>
      <c r="B1278" s="1">
        <v>44936</v>
      </c>
      <c r="C1278" t="s">
        <v>3094</v>
      </c>
      <c r="D1278" t="s">
        <v>36</v>
      </c>
      <c r="E1278">
        <v>900.25</v>
      </c>
      <c r="F1278">
        <v>6</v>
      </c>
      <c r="G1278">
        <v>270.08</v>
      </c>
      <c r="H1278">
        <v>0.15</v>
      </c>
      <c r="I1278" t="s">
        <v>3094</v>
      </c>
      <c r="J1278" t="s">
        <v>1786</v>
      </c>
      <c r="K1278" t="s">
        <v>17</v>
      </c>
      <c r="L1278" t="s">
        <v>72</v>
      </c>
      <c r="M1278" t="s">
        <v>26</v>
      </c>
      <c r="N1278" t="s">
        <v>3966</v>
      </c>
      <c r="P1278">
        <f t="shared" si="19"/>
        <v>0.30000555401277423</v>
      </c>
    </row>
    <row r="1279" spans="1:16" x14ac:dyDescent="0.25">
      <c r="A1279" t="s">
        <v>3096</v>
      </c>
      <c r="B1279" s="1">
        <v>45215</v>
      </c>
      <c r="C1279" t="s">
        <v>3097</v>
      </c>
      <c r="D1279" t="s">
        <v>91</v>
      </c>
      <c r="E1279">
        <v>2768.26</v>
      </c>
      <c r="F1279">
        <v>6</v>
      </c>
      <c r="G1279">
        <v>830.48</v>
      </c>
      <c r="H1279">
        <v>0.05</v>
      </c>
      <c r="I1279" t="s">
        <v>3097</v>
      </c>
      <c r="J1279" t="s">
        <v>3098</v>
      </c>
      <c r="K1279" t="s">
        <v>17</v>
      </c>
      <c r="L1279" t="s">
        <v>1765</v>
      </c>
      <c r="M1279" t="s">
        <v>139</v>
      </c>
      <c r="N1279" t="s">
        <v>3966</v>
      </c>
      <c r="P1279">
        <f t="shared" si="19"/>
        <v>0.30000072247548998</v>
      </c>
    </row>
    <row r="1280" spans="1:16" x14ac:dyDescent="0.25">
      <c r="A1280" t="s">
        <v>3099</v>
      </c>
      <c r="B1280" s="1">
        <v>45735</v>
      </c>
      <c r="C1280" t="s">
        <v>3100</v>
      </c>
      <c r="D1280" t="s">
        <v>15</v>
      </c>
      <c r="E1280">
        <v>1019.59</v>
      </c>
      <c r="F1280">
        <v>8</v>
      </c>
      <c r="G1280">
        <v>305.88</v>
      </c>
      <c r="H1280">
        <v>0.1</v>
      </c>
      <c r="I1280" t="s">
        <v>3100</v>
      </c>
      <c r="J1280" t="s">
        <v>3021</v>
      </c>
      <c r="K1280" t="s">
        <v>38</v>
      </c>
      <c r="L1280" t="s">
        <v>155</v>
      </c>
      <c r="M1280" t="s">
        <v>111</v>
      </c>
      <c r="N1280" t="s">
        <v>3967</v>
      </c>
      <c r="P1280">
        <f t="shared" si="19"/>
        <v>0.30000294235918357</v>
      </c>
    </row>
    <row r="1281" spans="1:16" x14ac:dyDescent="0.25">
      <c r="A1281" t="s">
        <v>3101</v>
      </c>
      <c r="B1281" s="1">
        <v>45642</v>
      </c>
      <c r="C1281" t="s">
        <v>3102</v>
      </c>
      <c r="D1281" t="s">
        <v>29</v>
      </c>
      <c r="E1281">
        <v>1743.85</v>
      </c>
      <c r="F1281">
        <v>9</v>
      </c>
      <c r="G1281">
        <v>523.15</v>
      </c>
      <c r="H1281">
        <v>0.1</v>
      </c>
      <c r="I1281" t="s">
        <v>3102</v>
      </c>
      <c r="J1281" t="s">
        <v>1133</v>
      </c>
      <c r="K1281" t="s">
        <v>71</v>
      </c>
      <c r="L1281" t="s">
        <v>220</v>
      </c>
      <c r="M1281" t="s">
        <v>221</v>
      </c>
      <c r="N1281" t="s">
        <v>3967</v>
      </c>
      <c r="P1281">
        <f t="shared" si="19"/>
        <v>0.29999713278091578</v>
      </c>
    </row>
    <row r="1282" spans="1:16" x14ac:dyDescent="0.25">
      <c r="A1282" t="s">
        <v>3103</v>
      </c>
      <c r="B1282" s="1">
        <v>45154</v>
      </c>
      <c r="C1282" t="s">
        <v>3104</v>
      </c>
      <c r="D1282" t="s">
        <v>15</v>
      </c>
      <c r="E1282">
        <v>8502.4599999999991</v>
      </c>
      <c r="F1282">
        <v>18</v>
      </c>
      <c r="G1282">
        <v>2550.7399999999998</v>
      </c>
      <c r="H1282">
        <v>0.05</v>
      </c>
      <c r="I1282" t="s">
        <v>3104</v>
      </c>
      <c r="J1282" t="s">
        <v>1954</v>
      </c>
      <c r="K1282" t="s">
        <v>71</v>
      </c>
      <c r="L1282" t="s">
        <v>1137</v>
      </c>
      <c r="M1282" t="s">
        <v>3105</v>
      </c>
      <c r="N1282" t="s">
        <v>3966</v>
      </c>
      <c r="P1282">
        <f t="shared" si="19"/>
        <v>0.30000023522604047</v>
      </c>
    </row>
    <row r="1283" spans="1:16" x14ac:dyDescent="0.25">
      <c r="A1283" t="s">
        <v>3106</v>
      </c>
      <c r="B1283" s="1">
        <v>44936</v>
      </c>
      <c r="C1283" t="s">
        <v>3107</v>
      </c>
      <c r="D1283" t="s">
        <v>29</v>
      </c>
      <c r="E1283">
        <v>4294.47</v>
      </c>
      <c r="F1283">
        <v>13</v>
      </c>
      <c r="G1283">
        <v>1288.3399999999999</v>
      </c>
      <c r="H1283">
        <v>0.05</v>
      </c>
      <c r="I1283" t="s">
        <v>3107</v>
      </c>
      <c r="J1283" t="s">
        <v>2882</v>
      </c>
      <c r="K1283" t="s">
        <v>17</v>
      </c>
      <c r="L1283" t="s">
        <v>2496</v>
      </c>
      <c r="M1283" t="s">
        <v>139</v>
      </c>
      <c r="N1283" t="s">
        <v>3966</v>
      </c>
      <c r="P1283">
        <f t="shared" ref="P1283:P1346" si="20">G1283/E1283</f>
        <v>0.29999976714239474</v>
      </c>
    </row>
    <row r="1284" spans="1:16" x14ac:dyDescent="0.25">
      <c r="A1284" t="s">
        <v>3108</v>
      </c>
      <c r="B1284" s="1">
        <v>45786</v>
      </c>
      <c r="C1284" t="s">
        <v>3109</v>
      </c>
      <c r="D1284" t="s">
        <v>36</v>
      </c>
      <c r="E1284">
        <v>1002.27</v>
      </c>
      <c r="F1284">
        <v>3</v>
      </c>
      <c r="G1284">
        <v>300.68</v>
      </c>
      <c r="H1284">
        <v>0.1</v>
      </c>
      <c r="I1284" t="s">
        <v>3109</v>
      </c>
      <c r="J1284" t="s">
        <v>2868</v>
      </c>
      <c r="K1284" t="s">
        <v>38</v>
      </c>
      <c r="L1284" t="s">
        <v>2072</v>
      </c>
      <c r="M1284" t="s">
        <v>67</v>
      </c>
      <c r="N1284" t="s">
        <v>3966</v>
      </c>
      <c r="P1284">
        <f t="shared" si="20"/>
        <v>0.29999900226485876</v>
      </c>
    </row>
    <row r="1285" spans="1:16" x14ac:dyDescent="0.25">
      <c r="A1285" t="s">
        <v>971</v>
      </c>
      <c r="B1285" s="1">
        <v>45390</v>
      </c>
      <c r="C1285" t="s">
        <v>972</v>
      </c>
      <c r="D1285" t="s">
        <v>41</v>
      </c>
      <c r="E1285">
        <v>4430.17</v>
      </c>
      <c r="F1285">
        <v>12</v>
      </c>
      <c r="G1285">
        <v>1329.05</v>
      </c>
      <c r="H1285">
        <v>0.15</v>
      </c>
      <c r="I1285" t="s">
        <v>972</v>
      </c>
      <c r="J1285" t="s">
        <v>1386</v>
      </c>
      <c r="K1285" t="s">
        <v>17</v>
      </c>
      <c r="L1285" t="s">
        <v>155</v>
      </c>
      <c r="M1285" t="s">
        <v>111</v>
      </c>
      <c r="N1285" t="s">
        <v>3966</v>
      </c>
      <c r="P1285">
        <f t="shared" si="20"/>
        <v>0.29999977427502783</v>
      </c>
    </row>
    <row r="1286" spans="1:16" x14ac:dyDescent="0.25">
      <c r="A1286" t="s">
        <v>974</v>
      </c>
      <c r="B1286" s="1">
        <v>45468</v>
      </c>
      <c r="C1286" t="s">
        <v>972</v>
      </c>
      <c r="D1286" t="s">
        <v>41</v>
      </c>
      <c r="E1286">
        <v>1677.28</v>
      </c>
      <c r="F1286">
        <v>16</v>
      </c>
      <c r="G1286">
        <v>503.18</v>
      </c>
      <c r="H1286">
        <v>0</v>
      </c>
      <c r="I1286" t="s">
        <v>972</v>
      </c>
      <c r="J1286" t="s">
        <v>1386</v>
      </c>
      <c r="K1286" t="s">
        <v>17</v>
      </c>
      <c r="L1286" t="s">
        <v>155</v>
      </c>
      <c r="M1286" t="s">
        <v>111</v>
      </c>
      <c r="N1286" t="s">
        <v>3966</v>
      </c>
      <c r="P1286">
        <f t="shared" si="20"/>
        <v>0.29999761518649243</v>
      </c>
    </row>
    <row r="1287" spans="1:16" x14ac:dyDescent="0.25">
      <c r="A1287" t="s">
        <v>975</v>
      </c>
      <c r="B1287" s="1">
        <v>45252</v>
      </c>
      <c r="C1287" t="s">
        <v>972</v>
      </c>
      <c r="D1287" t="s">
        <v>48</v>
      </c>
      <c r="E1287">
        <v>1054.3499999999999</v>
      </c>
      <c r="F1287">
        <v>8</v>
      </c>
      <c r="G1287">
        <v>316.3</v>
      </c>
      <c r="H1287">
        <v>0.05</v>
      </c>
      <c r="I1287" t="s">
        <v>972</v>
      </c>
      <c r="J1287" t="s">
        <v>1386</v>
      </c>
      <c r="K1287" t="s">
        <v>17</v>
      </c>
      <c r="L1287" t="s">
        <v>155</v>
      </c>
      <c r="M1287" t="s">
        <v>111</v>
      </c>
      <c r="N1287" t="s">
        <v>3966</v>
      </c>
      <c r="P1287">
        <f t="shared" si="20"/>
        <v>0.29999525774173663</v>
      </c>
    </row>
    <row r="1288" spans="1:16" x14ac:dyDescent="0.25">
      <c r="A1288" t="s">
        <v>3110</v>
      </c>
      <c r="B1288" s="1">
        <v>45783</v>
      </c>
      <c r="C1288" t="s">
        <v>3111</v>
      </c>
      <c r="D1288" t="s">
        <v>48</v>
      </c>
      <c r="E1288">
        <v>6143.76</v>
      </c>
      <c r="F1288">
        <v>16</v>
      </c>
      <c r="G1288">
        <v>1843.13</v>
      </c>
      <c r="H1288">
        <v>0.1</v>
      </c>
      <c r="I1288" t="s">
        <v>3111</v>
      </c>
      <c r="J1288" t="s">
        <v>3112</v>
      </c>
      <c r="K1288" t="s">
        <v>17</v>
      </c>
      <c r="L1288" t="s">
        <v>25</v>
      </c>
      <c r="M1288" t="s">
        <v>26</v>
      </c>
      <c r="N1288" t="s">
        <v>3968</v>
      </c>
      <c r="P1288">
        <f t="shared" si="20"/>
        <v>0.30000032553354949</v>
      </c>
    </row>
    <row r="1289" spans="1:16" x14ac:dyDescent="0.25">
      <c r="A1289" t="s">
        <v>3113</v>
      </c>
      <c r="B1289" s="1">
        <v>45067</v>
      </c>
      <c r="C1289" t="s">
        <v>3114</v>
      </c>
      <c r="D1289" t="s">
        <v>29</v>
      </c>
      <c r="E1289">
        <v>1681.33</v>
      </c>
      <c r="F1289">
        <v>6</v>
      </c>
      <c r="G1289">
        <v>504.4</v>
      </c>
      <c r="H1289">
        <v>0.05</v>
      </c>
      <c r="I1289" t="s">
        <v>3114</v>
      </c>
      <c r="J1289" t="s">
        <v>2882</v>
      </c>
      <c r="K1289" t="s">
        <v>71</v>
      </c>
      <c r="L1289" t="s">
        <v>82</v>
      </c>
      <c r="M1289" t="s">
        <v>83</v>
      </c>
      <c r="N1289" t="s">
        <v>3967</v>
      </c>
      <c r="P1289">
        <f t="shared" si="20"/>
        <v>0.30000059476723784</v>
      </c>
    </row>
    <row r="1290" spans="1:16" x14ac:dyDescent="0.25">
      <c r="A1290" t="s">
        <v>3115</v>
      </c>
      <c r="B1290" s="1">
        <v>45253</v>
      </c>
      <c r="C1290" t="s">
        <v>3116</v>
      </c>
      <c r="D1290" t="s">
        <v>22</v>
      </c>
      <c r="E1290">
        <v>1335.18</v>
      </c>
      <c r="F1290">
        <v>12</v>
      </c>
      <c r="G1290">
        <v>400.55</v>
      </c>
      <c r="H1290">
        <v>0.15</v>
      </c>
      <c r="I1290" t="s">
        <v>3116</v>
      </c>
      <c r="J1290" t="s">
        <v>3117</v>
      </c>
      <c r="K1290" t="s">
        <v>38</v>
      </c>
      <c r="L1290" t="s">
        <v>314</v>
      </c>
      <c r="M1290" t="s">
        <v>26</v>
      </c>
      <c r="N1290" t="s">
        <v>3967</v>
      </c>
      <c r="P1290">
        <f t="shared" si="20"/>
        <v>0.29999700414925329</v>
      </c>
    </row>
    <row r="1291" spans="1:16" x14ac:dyDescent="0.25">
      <c r="A1291" t="s">
        <v>3118</v>
      </c>
      <c r="B1291" s="1">
        <v>45377</v>
      </c>
      <c r="C1291" t="s">
        <v>3119</v>
      </c>
      <c r="D1291" t="s">
        <v>48</v>
      </c>
      <c r="E1291">
        <v>8261.69</v>
      </c>
      <c r="F1291">
        <v>18</v>
      </c>
      <c r="G1291">
        <v>2478.5100000000002</v>
      </c>
      <c r="H1291">
        <v>0.15</v>
      </c>
      <c r="I1291" t="s">
        <v>3119</v>
      </c>
      <c r="J1291" t="s">
        <v>3120</v>
      </c>
      <c r="K1291" t="s">
        <v>31</v>
      </c>
      <c r="L1291" t="s">
        <v>25</v>
      </c>
      <c r="M1291" t="s">
        <v>26</v>
      </c>
      <c r="N1291" t="s">
        <v>3967</v>
      </c>
      <c r="P1291">
        <f t="shared" si="20"/>
        <v>0.30000036312183104</v>
      </c>
    </row>
    <row r="1292" spans="1:16" x14ac:dyDescent="0.25">
      <c r="A1292" t="s">
        <v>3121</v>
      </c>
      <c r="B1292" s="1">
        <v>45560</v>
      </c>
      <c r="C1292" t="s">
        <v>3122</v>
      </c>
      <c r="D1292" t="s">
        <v>29</v>
      </c>
      <c r="E1292">
        <v>1613.2</v>
      </c>
      <c r="F1292">
        <v>12</v>
      </c>
      <c r="G1292">
        <v>483.96</v>
      </c>
      <c r="H1292">
        <v>0.1</v>
      </c>
      <c r="I1292" t="s">
        <v>3122</v>
      </c>
      <c r="J1292" t="s">
        <v>2078</v>
      </c>
      <c r="K1292" t="s">
        <v>24</v>
      </c>
      <c r="L1292" t="s">
        <v>488</v>
      </c>
      <c r="M1292" t="s">
        <v>26</v>
      </c>
      <c r="N1292" t="s">
        <v>3968</v>
      </c>
      <c r="P1292">
        <f t="shared" si="20"/>
        <v>0.3</v>
      </c>
    </row>
    <row r="1293" spans="1:16" x14ac:dyDescent="0.25">
      <c r="A1293" t="s">
        <v>3123</v>
      </c>
      <c r="B1293" s="1">
        <v>45022</v>
      </c>
      <c r="C1293" t="s">
        <v>3124</v>
      </c>
      <c r="D1293" t="s">
        <v>36</v>
      </c>
      <c r="E1293">
        <v>1747.77</v>
      </c>
      <c r="F1293">
        <v>5</v>
      </c>
      <c r="G1293">
        <v>524.33000000000004</v>
      </c>
      <c r="H1293">
        <v>0.15</v>
      </c>
      <c r="I1293" t="s">
        <v>3124</v>
      </c>
      <c r="J1293" t="s">
        <v>1976</v>
      </c>
      <c r="K1293" t="s">
        <v>17</v>
      </c>
      <c r="L1293" t="s">
        <v>72</v>
      </c>
      <c r="M1293" t="s">
        <v>26</v>
      </c>
      <c r="N1293" t="s">
        <v>3968</v>
      </c>
      <c r="P1293">
        <f t="shared" si="20"/>
        <v>0.29999942784233624</v>
      </c>
    </row>
    <row r="1294" spans="1:16" x14ac:dyDescent="0.25">
      <c r="A1294" t="s">
        <v>3125</v>
      </c>
      <c r="B1294" s="1">
        <v>45467</v>
      </c>
      <c r="C1294" t="s">
        <v>3126</v>
      </c>
      <c r="D1294" t="s">
        <v>36</v>
      </c>
      <c r="E1294">
        <v>7035.47</v>
      </c>
      <c r="F1294">
        <v>16</v>
      </c>
      <c r="G1294">
        <v>2110.64</v>
      </c>
      <c r="H1294">
        <v>0.05</v>
      </c>
      <c r="I1294" t="s">
        <v>3126</v>
      </c>
      <c r="J1294" t="s">
        <v>679</v>
      </c>
      <c r="K1294" t="s">
        <v>31</v>
      </c>
      <c r="L1294" t="s">
        <v>3127</v>
      </c>
      <c r="M1294" t="s">
        <v>3128</v>
      </c>
      <c r="N1294" t="s">
        <v>3966</v>
      </c>
      <c r="P1294">
        <f t="shared" si="20"/>
        <v>0.29999985786308514</v>
      </c>
    </row>
    <row r="1295" spans="1:16" x14ac:dyDescent="0.25">
      <c r="A1295" t="s">
        <v>3129</v>
      </c>
      <c r="B1295" s="1">
        <v>45641</v>
      </c>
      <c r="C1295" t="s">
        <v>3130</v>
      </c>
      <c r="D1295" t="s">
        <v>15</v>
      </c>
      <c r="E1295">
        <v>8608.4599999999991</v>
      </c>
      <c r="F1295">
        <v>17</v>
      </c>
      <c r="G1295">
        <v>2582.54</v>
      </c>
      <c r="H1295">
        <v>0</v>
      </c>
      <c r="I1295" t="s">
        <v>3130</v>
      </c>
      <c r="J1295" t="s">
        <v>288</v>
      </c>
      <c r="K1295" t="s">
        <v>24</v>
      </c>
      <c r="L1295" t="s">
        <v>72</v>
      </c>
      <c r="M1295" t="s">
        <v>26</v>
      </c>
      <c r="N1295" t="s">
        <v>3966</v>
      </c>
      <c r="P1295">
        <f t="shared" si="20"/>
        <v>0.30000023232959205</v>
      </c>
    </row>
    <row r="1296" spans="1:16" x14ac:dyDescent="0.25">
      <c r="A1296" t="s">
        <v>1692</v>
      </c>
      <c r="B1296" s="1">
        <v>45568</v>
      </c>
      <c r="C1296" t="s">
        <v>1693</v>
      </c>
      <c r="D1296" t="s">
        <v>29</v>
      </c>
      <c r="E1296">
        <v>486.59</v>
      </c>
      <c r="F1296">
        <v>19</v>
      </c>
      <c r="G1296">
        <v>145.97999999999999</v>
      </c>
      <c r="H1296">
        <v>0</v>
      </c>
      <c r="I1296" t="s">
        <v>1693</v>
      </c>
      <c r="J1296" t="s">
        <v>3131</v>
      </c>
      <c r="K1296" t="s">
        <v>31</v>
      </c>
      <c r="L1296" t="s">
        <v>488</v>
      </c>
      <c r="M1296" t="s">
        <v>26</v>
      </c>
      <c r="N1296" t="s">
        <v>3966</v>
      </c>
      <c r="P1296">
        <f t="shared" si="20"/>
        <v>0.30000616535481617</v>
      </c>
    </row>
    <row r="1297" spans="1:16" x14ac:dyDescent="0.25">
      <c r="A1297" t="s">
        <v>1695</v>
      </c>
      <c r="B1297" s="1">
        <v>45471</v>
      </c>
      <c r="C1297" t="s">
        <v>1693</v>
      </c>
      <c r="D1297" t="s">
        <v>15</v>
      </c>
      <c r="E1297">
        <v>1297.32</v>
      </c>
      <c r="F1297">
        <v>6</v>
      </c>
      <c r="G1297">
        <v>389.2</v>
      </c>
      <c r="H1297">
        <v>0.05</v>
      </c>
      <c r="I1297" t="s">
        <v>1693</v>
      </c>
      <c r="J1297" t="s">
        <v>3131</v>
      </c>
      <c r="K1297" t="s">
        <v>31</v>
      </c>
      <c r="L1297" t="s">
        <v>488</v>
      </c>
      <c r="M1297" t="s">
        <v>26</v>
      </c>
      <c r="N1297" t="s">
        <v>3966</v>
      </c>
      <c r="P1297">
        <f t="shared" si="20"/>
        <v>0.30000308327937597</v>
      </c>
    </row>
    <row r="1298" spans="1:16" x14ac:dyDescent="0.25">
      <c r="A1298" t="s">
        <v>3132</v>
      </c>
      <c r="B1298" s="1">
        <v>45172</v>
      </c>
      <c r="C1298" t="s">
        <v>3133</v>
      </c>
      <c r="D1298" t="s">
        <v>29</v>
      </c>
      <c r="E1298">
        <v>1776.31</v>
      </c>
      <c r="F1298">
        <v>4</v>
      </c>
      <c r="G1298">
        <v>532.89</v>
      </c>
      <c r="H1298">
        <v>0.05</v>
      </c>
      <c r="I1298" t="s">
        <v>3133</v>
      </c>
      <c r="J1298" t="s">
        <v>3134</v>
      </c>
      <c r="K1298" t="s">
        <v>24</v>
      </c>
      <c r="L1298" t="s">
        <v>143</v>
      </c>
      <c r="M1298" t="s">
        <v>144</v>
      </c>
      <c r="N1298" t="s">
        <v>3967</v>
      </c>
      <c r="P1298">
        <f t="shared" si="20"/>
        <v>0.29999831110560654</v>
      </c>
    </row>
    <row r="1299" spans="1:16" x14ac:dyDescent="0.25">
      <c r="A1299" t="s">
        <v>2276</v>
      </c>
      <c r="B1299" s="1">
        <v>45107</v>
      </c>
      <c r="C1299" t="s">
        <v>2277</v>
      </c>
      <c r="D1299" t="s">
        <v>48</v>
      </c>
      <c r="E1299">
        <v>3217.44</v>
      </c>
      <c r="F1299">
        <v>6</v>
      </c>
      <c r="G1299">
        <v>965.23</v>
      </c>
      <c r="H1299">
        <v>0</v>
      </c>
      <c r="I1299" t="s">
        <v>2277</v>
      </c>
      <c r="J1299" t="s">
        <v>3135</v>
      </c>
      <c r="K1299" t="s">
        <v>31</v>
      </c>
      <c r="L1299" t="s">
        <v>574</v>
      </c>
      <c r="M1299" t="s">
        <v>165</v>
      </c>
      <c r="N1299" t="s">
        <v>3967</v>
      </c>
      <c r="P1299">
        <f t="shared" si="20"/>
        <v>0.29999937838778656</v>
      </c>
    </row>
    <row r="1300" spans="1:16" x14ac:dyDescent="0.25">
      <c r="A1300" t="s">
        <v>2279</v>
      </c>
      <c r="B1300" s="1">
        <v>44955</v>
      </c>
      <c r="C1300" t="s">
        <v>2277</v>
      </c>
      <c r="D1300" t="s">
        <v>41</v>
      </c>
      <c r="E1300">
        <v>1194.25</v>
      </c>
      <c r="F1300">
        <v>10</v>
      </c>
      <c r="G1300">
        <v>358.28</v>
      </c>
      <c r="H1300">
        <v>0.15</v>
      </c>
      <c r="I1300" t="s">
        <v>2277</v>
      </c>
      <c r="J1300" t="s">
        <v>3135</v>
      </c>
      <c r="K1300" t="s">
        <v>31</v>
      </c>
      <c r="L1300" t="s">
        <v>574</v>
      </c>
      <c r="M1300" t="s">
        <v>165</v>
      </c>
      <c r="N1300" t="s">
        <v>3967</v>
      </c>
      <c r="P1300">
        <f t="shared" si="20"/>
        <v>0.300004186728072</v>
      </c>
    </row>
    <row r="1301" spans="1:16" x14ac:dyDescent="0.25">
      <c r="A1301" t="s">
        <v>2280</v>
      </c>
      <c r="B1301" s="1">
        <v>45139</v>
      </c>
      <c r="C1301" t="s">
        <v>2277</v>
      </c>
      <c r="D1301" t="s">
        <v>41</v>
      </c>
      <c r="E1301">
        <v>1073.73</v>
      </c>
      <c r="F1301">
        <v>8</v>
      </c>
      <c r="G1301">
        <v>322.12</v>
      </c>
      <c r="H1301">
        <v>0.05</v>
      </c>
      <c r="I1301" t="s">
        <v>2277</v>
      </c>
      <c r="J1301" t="s">
        <v>3135</v>
      </c>
      <c r="K1301" t="s">
        <v>31</v>
      </c>
      <c r="L1301" t="s">
        <v>574</v>
      </c>
      <c r="M1301" t="s">
        <v>165</v>
      </c>
      <c r="N1301" t="s">
        <v>3966</v>
      </c>
      <c r="P1301">
        <f t="shared" si="20"/>
        <v>0.3000009313328304</v>
      </c>
    </row>
    <row r="1302" spans="1:16" x14ac:dyDescent="0.25">
      <c r="A1302" t="s">
        <v>2281</v>
      </c>
      <c r="B1302" s="1">
        <v>45752</v>
      </c>
      <c r="C1302" t="s">
        <v>2277</v>
      </c>
      <c r="D1302" t="s">
        <v>48</v>
      </c>
      <c r="E1302">
        <v>417.53</v>
      </c>
      <c r="F1302">
        <v>2</v>
      </c>
      <c r="G1302">
        <v>125.26</v>
      </c>
      <c r="H1302">
        <v>0.1</v>
      </c>
      <c r="I1302" t="s">
        <v>2277</v>
      </c>
      <c r="J1302" t="s">
        <v>3135</v>
      </c>
      <c r="K1302" t="s">
        <v>31</v>
      </c>
      <c r="L1302" t="s">
        <v>574</v>
      </c>
      <c r="M1302" t="s">
        <v>165</v>
      </c>
      <c r="N1302" t="s">
        <v>3966</v>
      </c>
      <c r="P1302">
        <f t="shared" si="20"/>
        <v>0.30000239503748238</v>
      </c>
    </row>
    <row r="1303" spans="1:16" x14ac:dyDescent="0.25">
      <c r="A1303" t="s">
        <v>3136</v>
      </c>
      <c r="B1303" s="1">
        <v>45455</v>
      </c>
      <c r="C1303" t="s">
        <v>3137</v>
      </c>
      <c r="D1303" t="s">
        <v>22</v>
      </c>
      <c r="E1303">
        <v>462.8</v>
      </c>
      <c r="F1303">
        <v>8</v>
      </c>
      <c r="G1303">
        <v>138.84</v>
      </c>
      <c r="H1303">
        <v>0</v>
      </c>
      <c r="I1303" t="s">
        <v>3137</v>
      </c>
      <c r="J1303" t="s">
        <v>922</v>
      </c>
      <c r="K1303" t="s">
        <v>31</v>
      </c>
      <c r="L1303" t="s">
        <v>878</v>
      </c>
      <c r="M1303" t="s">
        <v>645</v>
      </c>
      <c r="N1303" t="s">
        <v>3966</v>
      </c>
      <c r="P1303">
        <f t="shared" si="20"/>
        <v>0.3</v>
      </c>
    </row>
    <row r="1304" spans="1:16" x14ac:dyDescent="0.25">
      <c r="A1304" t="s">
        <v>3138</v>
      </c>
      <c r="B1304" s="1">
        <v>45620</v>
      </c>
      <c r="C1304" t="s">
        <v>3139</v>
      </c>
      <c r="D1304" t="s">
        <v>48</v>
      </c>
      <c r="E1304">
        <v>4128.25</v>
      </c>
      <c r="F1304">
        <v>9</v>
      </c>
      <c r="G1304">
        <v>1238.47</v>
      </c>
      <c r="H1304">
        <v>0.15</v>
      </c>
      <c r="I1304" t="s">
        <v>3139</v>
      </c>
      <c r="J1304" t="s">
        <v>3140</v>
      </c>
      <c r="K1304" t="s">
        <v>31</v>
      </c>
      <c r="L1304" t="s">
        <v>383</v>
      </c>
      <c r="M1304" t="s">
        <v>44</v>
      </c>
      <c r="N1304" t="s">
        <v>3968</v>
      </c>
      <c r="P1304">
        <f t="shared" si="20"/>
        <v>0.29999878883304065</v>
      </c>
    </row>
    <row r="1305" spans="1:16" x14ac:dyDescent="0.25">
      <c r="A1305" t="s">
        <v>3141</v>
      </c>
      <c r="B1305" s="1">
        <v>45153</v>
      </c>
      <c r="C1305" t="s">
        <v>3142</v>
      </c>
      <c r="D1305" t="s">
        <v>48</v>
      </c>
      <c r="E1305">
        <v>8573.76</v>
      </c>
      <c r="F1305">
        <v>18</v>
      </c>
      <c r="G1305">
        <v>2572.13</v>
      </c>
      <c r="H1305">
        <v>0</v>
      </c>
      <c r="I1305" t="s">
        <v>3142</v>
      </c>
      <c r="J1305" t="s">
        <v>3143</v>
      </c>
      <c r="K1305" t="s">
        <v>71</v>
      </c>
      <c r="L1305" t="s">
        <v>50</v>
      </c>
      <c r="M1305" t="s">
        <v>51</v>
      </c>
      <c r="N1305" t="s">
        <v>3966</v>
      </c>
      <c r="P1305">
        <f t="shared" si="20"/>
        <v>0.30000023326988395</v>
      </c>
    </row>
    <row r="1306" spans="1:16" x14ac:dyDescent="0.25">
      <c r="A1306" t="s">
        <v>3144</v>
      </c>
      <c r="B1306" s="1">
        <v>45525</v>
      </c>
      <c r="C1306" t="s">
        <v>3145</v>
      </c>
      <c r="D1306" t="s">
        <v>91</v>
      </c>
      <c r="E1306">
        <v>1424.12</v>
      </c>
      <c r="F1306">
        <v>11</v>
      </c>
      <c r="G1306">
        <v>427.23</v>
      </c>
      <c r="H1306">
        <v>0.1</v>
      </c>
      <c r="I1306" t="s">
        <v>3145</v>
      </c>
      <c r="J1306" t="s">
        <v>686</v>
      </c>
      <c r="K1306" t="s">
        <v>38</v>
      </c>
      <c r="L1306" t="s">
        <v>206</v>
      </c>
      <c r="M1306" t="s">
        <v>144</v>
      </c>
      <c r="N1306" t="s">
        <v>3966</v>
      </c>
      <c r="P1306">
        <f t="shared" si="20"/>
        <v>0.29999578687189288</v>
      </c>
    </row>
    <row r="1307" spans="1:16" x14ac:dyDescent="0.25">
      <c r="A1307" t="s">
        <v>3146</v>
      </c>
      <c r="B1307" s="1">
        <v>45070</v>
      </c>
      <c r="C1307" t="s">
        <v>3147</v>
      </c>
      <c r="D1307" t="s">
        <v>48</v>
      </c>
      <c r="E1307">
        <v>1165.07</v>
      </c>
      <c r="F1307">
        <v>4</v>
      </c>
      <c r="G1307">
        <v>349.52</v>
      </c>
      <c r="H1307">
        <v>0.1</v>
      </c>
      <c r="I1307" t="s">
        <v>3147</v>
      </c>
      <c r="J1307" t="s">
        <v>654</v>
      </c>
      <c r="K1307" t="s">
        <v>71</v>
      </c>
      <c r="L1307" t="s">
        <v>719</v>
      </c>
      <c r="M1307" t="s">
        <v>33</v>
      </c>
      <c r="N1307" t="s">
        <v>3966</v>
      </c>
      <c r="P1307">
        <f t="shared" si="20"/>
        <v>0.29999914168247399</v>
      </c>
    </row>
    <row r="1308" spans="1:16" x14ac:dyDescent="0.25">
      <c r="A1308" t="s">
        <v>3148</v>
      </c>
      <c r="B1308" s="1">
        <v>45043</v>
      </c>
      <c r="C1308" t="s">
        <v>3149</v>
      </c>
      <c r="D1308" t="s">
        <v>48</v>
      </c>
      <c r="E1308">
        <v>568.48</v>
      </c>
      <c r="F1308">
        <v>16</v>
      </c>
      <c r="G1308">
        <v>170.54</v>
      </c>
      <c r="H1308">
        <v>0.05</v>
      </c>
      <c r="I1308" t="s">
        <v>3149</v>
      </c>
      <c r="J1308" t="s">
        <v>364</v>
      </c>
      <c r="K1308" t="s">
        <v>71</v>
      </c>
      <c r="L1308" t="s">
        <v>50</v>
      </c>
      <c r="M1308" t="s">
        <v>51</v>
      </c>
      <c r="N1308" t="s">
        <v>3966</v>
      </c>
      <c r="P1308">
        <f t="shared" si="20"/>
        <v>0.29999296369265405</v>
      </c>
    </row>
    <row r="1309" spans="1:16" x14ac:dyDescent="0.25">
      <c r="A1309" t="s">
        <v>3150</v>
      </c>
      <c r="B1309" s="1">
        <v>45067</v>
      </c>
      <c r="C1309" t="s">
        <v>3151</v>
      </c>
      <c r="D1309" t="s">
        <v>91</v>
      </c>
      <c r="E1309">
        <v>377.08</v>
      </c>
      <c r="F1309">
        <v>1</v>
      </c>
      <c r="G1309">
        <v>113.12</v>
      </c>
      <c r="H1309">
        <v>0.1</v>
      </c>
      <c r="I1309" t="s">
        <v>3151</v>
      </c>
      <c r="J1309" t="s">
        <v>612</v>
      </c>
      <c r="K1309" t="s">
        <v>17</v>
      </c>
      <c r="L1309" t="s">
        <v>72</v>
      </c>
      <c r="M1309" t="s">
        <v>26</v>
      </c>
      <c r="N1309" t="s">
        <v>3966</v>
      </c>
      <c r="P1309">
        <f t="shared" si="20"/>
        <v>0.29998939217142251</v>
      </c>
    </row>
    <row r="1310" spans="1:16" x14ac:dyDescent="0.25">
      <c r="A1310" t="s">
        <v>3152</v>
      </c>
      <c r="B1310" s="1">
        <v>45704</v>
      </c>
      <c r="C1310" t="s">
        <v>3153</v>
      </c>
      <c r="D1310" t="s">
        <v>48</v>
      </c>
      <c r="E1310">
        <v>1300.2</v>
      </c>
      <c r="F1310">
        <v>12</v>
      </c>
      <c r="G1310">
        <v>390.06</v>
      </c>
      <c r="H1310">
        <v>0</v>
      </c>
      <c r="I1310" t="s">
        <v>3153</v>
      </c>
      <c r="J1310" t="s">
        <v>670</v>
      </c>
      <c r="K1310" t="s">
        <v>17</v>
      </c>
      <c r="L1310" t="s">
        <v>25</v>
      </c>
      <c r="M1310" t="s">
        <v>26</v>
      </c>
      <c r="N1310" t="s">
        <v>3966</v>
      </c>
      <c r="P1310">
        <f t="shared" si="20"/>
        <v>0.3</v>
      </c>
    </row>
    <row r="1311" spans="1:16" x14ac:dyDescent="0.25">
      <c r="A1311" t="s">
        <v>3154</v>
      </c>
      <c r="B1311" s="1">
        <v>45162</v>
      </c>
      <c r="C1311" t="s">
        <v>3155</v>
      </c>
      <c r="D1311" t="s">
        <v>91</v>
      </c>
      <c r="E1311">
        <v>1282.0999999999999</v>
      </c>
      <c r="F1311">
        <v>5</v>
      </c>
      <c r="G1311">
        <v>384.63</v>
      </c>
      <c r="H1311">
        <v>0</v>
      </c>
      <c r="I1311" t="s">
        <v>3155</v>
      </c>
      <c r="J1311" t="s">
        <v>936</v>
      </c>
      <c r="K1311" t="s">
        <v>17</v>
      </c>
      <c r="L1311" t="s">
        <v>3156</v>
      </c>
      <c r="M1311" t="s">
        <v>754</v>
      </c>
      <c r="N1311" t="s">
        <v>3966</v>
      </c>
      <c r="P1311">
        <f t="shared" si="20"/>
        <v>0.30000000000000004</v>
      </c>
    </row>
    <row r="1312" spans="1:16" x14ac:dyDescent="0.25">
      <c r="A1312" t="s">
        <v>3157</v>
      </c>
      <c r="B1312" s="1">
        <v>45365</v>
      </c>
      <c r="C1312" t="s">
        <v>3158</v>
      </c>
      <c r="D1312" t="s">
        <v>29</v>
      </c>
      <c r="E1312">
        <v>7846.7</v>
      </c>
      <c r="F1312">
        <v>16</v>
      </c>
      <c r="G1312">
        <v>2354.0100000000002</v>
      </c>
      <c r="H1312">
        <v>0.1</v>
      </c>
      <c r="I1312" t="s">
        <v>3158</v>
      </c>
      <c r="J1312" t="s">
        <v>3159</v>
      </c>
      <c r="K1312" t="s">
        <v>17</v>
      </c>
      <c r="L1312" t="s">
        <v>50</v>
      </c>
      <c r="M1312" t="s">
        <v>51</v>
      </c>
      <c r="N1312" t="s">
        <v>3966</v>
      </c>
      <c r="P1312">
        <f t="shared" si="20"/>
        <v>0.30000000000000004</v>
      </c>
    </row>
    <row r="1313" spans="1:16" x14ac:dyDescent="0.25">
      <c r="A1313" t="s">
        <v>3160</v>
      </c>
      <c r="B1313" s="1">
        <v>45320</v>
      </c>
      <c r="C1313" t="s">
        <v>3161</v>
      </c>
      <c r="D1313" t="s">
        <v>29</v>
      </c>
      <c r="E1313">
        <v>2154.98</v>
      </c>
      <c r="F1313">
        <v>19</v>
      </c>
      <c r="G1313">
        <v>646.49</v>
      </c>
      <c r="H1313">
        <v>0</v>
      </c>
      <c r="I1313" t="s">
        <v>3161</v>
      </c>
      <c r="J1313" t="s">
        <v>2530</v>
      </c>
      <c r="K1313" t="s">
        <v>31</v>
      </c>
      <c r="L1313" t="s">
        <v>2018</v>
      </c>
      <c r="M1313" t="s">
        <v>389</v>
      </c>
      <c r="N1313" t="s">
        <v>3966</v>
      </c>
      <c r="P1313">
        <f t="shared" si="20"/>
        <v>0.29999814383428153</v>
      </c>
    </row>
    <row r="1314" spans="1:16" x14ac:dyDescent="0.25">
      <c r="A1314" t="s">
        <v>3162</v>
      </c>
      <c r="B1314" s="1">
        <v>45513</v>
      </c>
      <c r="C1314" t="s">
        <v>3163</v>
      </c>
      <c r="D1314" t="s">
        <v>22</v>
      </c>
      <c r="E1314">
        <v>4704.57</v>
      </c>
      <c r="F1314">
        <v>10</v>
      </c>
      <c r="G1314">
        <v>1411.37</v>
      </c>
      <c r="H1314">
        <v>0.1</v>
      </c>
      <c r="I1314" t="s">
        <v>3163</v>
      </c>
      <c r="J1314" t="s">
        <v>984</v>
      </c>
      <c r="K1314" t="s">
        <v>24</v>
      </c>
      <c r="L1314" t="s">
        <v>3164</v>
      </c>
      <c r="M1314" t="s">
        <v>139</v>
      </c>
      <c r="N1314" t="s">
        <v>3966</v>
      </c>
      <c r="P1314">
        <f t="shared" si="20"/>
        <v>0.29999978744072253</v>
      </c>
    </row>
    <row r="1315" spans="1:16" x14ac:dyDescent="0.25">
      <c r="A1315" t="s">
        <v>3165</v>
      </c>
      <c r="B1315" s="1">
        <v>45481</v>
      </c>
      <c r="C1315" t="s">
        <v>3166</v>
      </c>
      <c r="D1315" t="s">
        <v>91</v>
      </c>
      <c r="E1315">
        <v>6854.86</v>
      </c>
      <c r="F1315">
        <v>18</v>
      </c>
      <c r="G1315">
        <v>2056.46</v>
      </c>
      <c r="H1315">
        <v>0.15</v>
      </c>
      <c r="I1315" t="s">
        <v>3166</v>
      </c>
      <c r="J1315" t="s">
        <v>3167</v>
      </c>
      <c r="K1315" t="s">
        <v>31</v>
      </c>
      <c r="L1315" t="s">
        <v>606</v>
      </c>
      <c r="M1315" t="s">
        <v>176</v>
      </c>
      <c r="N1315" t="s">
        <v>3966</v>
      </c>
      <c r="P1315">
        <f t="shared" si="20"/>
        <v>0.30000029176379972</v>
      </c>
    </row>
    <row r="1316" spans="1:16" x14ac:dyDescent="0.25">
      <c r="A1316" t="s">
        <v>3168</v>
      </c>
      <c r="B1316" s="1">
        <v>45493</v>
      </c>
      <c r="C1316" t="s">
        <v>3169</v>
      </c>
      <c r="D1316" t="s">
        <v>29</v>
      </c>
      <c r="E1316">
        <v>909.54</v>
      </c>
      <c r="F1316">
        <v>5</v>
      </c>
      <c r="G1316">
        <v>272.86</v>
      </c>
      <c r="H1316">
        <v>0.1</v>
      </c>
      <c r="I1316" t="s">
        <v>3169</v>
      </c>
      <c r="J1316" t="s">
        <v>1744</v>
      </c>
      <c r="K1316" t="s">
        <v>31</v>
      </c>
      <c r="L1316" t="s">
        <v>1002</v>
      </c>
      <c r="M1316" t="s">
        <v>165</v>
      </c>
      <c r="N1316" t="s">
        <v>3967</v>
      </c>
      <c r="P1316">
        <f t="shared" si="20"/>
        <v>0.29999780108626339</v>
      </c>
    </row>
    <row r="1317" spans="1:16" x14ac:dyDescent="0.25">
      <c r="A1317" t="s">
        <v>3170</v>
      </c>
      <c r="B1317" s="1">
        <v>45524</v>
      </c>
      <c r="C1317" t="s">
        <v>3169</v>
      </c>
      <c r="D1317" t="s">
        <v>48</v>
      </c>
      <c r="E1317">
        <v>2971.27</v>
      </c>
      <c r="F1317">
        <v>15</v>
      </c>
      <c r="G1317">
        <v>891.38</v>
      </c>
      <c r="H1317">
        <v>0.05</v>
      </c>
      <c r="I1317" t="s">
        <v>3169</v>
      </c>
      <c r="J1317" t="s">
        <v>1744</v>
      </c>
      <c r="K1317" t="s">
        <v>31</v>
      </c>
      <c r="L1317" t="s">
        <v>1002</v>
      </c>
      <c r="M1317" t="s">
        <v>165</v>
      </c>
      <c r="N1317" t="s">
        <v>3967</v>
      </c>
      <c r="P1317">
        <f t="shared" si="20"/>
        <v>0.29999966344357798</v>
      </c>
    </row>
    <row r="1318" spans="1:16" x14ac:dyDescent="0.25">
      <c r="A1318" t="s">
        <v>3171</v>
      </c>
      <c r="B1318" s="1">
        <v>45103</v>
      </c>
      <c r="C1318" t="s">
        <v>3172</v>
      </c>
      <c r="D1318" t="s">
        <v>15</v>
      </c>
      <c r="E1318">
        <v>4956.59</v>
      </c>
      <c r="F1318">
        <v>13</v>
      </c>
      <c r="G1318">
        <v>1486.98</v>
      </c>
      <c r="H1318">
        <v>0.1</v>
      </c>
      <c r="I1318" t="s">
        <v>3172</v>
      </c>
      <c r="J1318" t="s">
        <v>532</v>
      </c>
      <c r="K1318" t="s">
        <v>38</v>
      </c>
      <c r="L1318" t="s">
        <v>1500</v>
      </c>
      <c r="M1318" t="s">
        <v>266</v>
      </c>
      <c r="N1318" t="s">
        <v>3967</v>
      </c>
      <c r="P1318">
        <f t="shared" si="20"/>
        <v>0.30000060525482236</v>
      </c>
    </row>
    <row r="1319" spans="1:16" x14ac:dyDescent="0.25">
      <c r="A1319" t="s">
        <v>3173</v>
      </c>
      <c r="B1319" s="1">
        <v>45283</v>
      </c>
      <c r="C1319" t="s">
        <v>3174</v>
      </c>
      <c r="D1319" t="s">
        <v>36</v>
      </c>
      <c r="E1319">
        <v>2347.11</v>
      </c>
      <c r="F1319">
        <v>5</v>
      </c>
      <c r="G1319">
        <v>704.13</v>
      </c>
      <c r="H1319">
        <v>0.15</v>
      </c>
      <c r="I1319" t="s">
        <v>3174</v>
      </c>
      <c r="J1319" t="s">
        <v>2950</v>
      </c>
      <c r="K1319" t="s">
        <v>17</v>
      </c>
      <c r="L1319" t="s">
        <v>25</v>
      </c>
      <c r="M1319" t="s">
        <v>26</v>
      </c>
      <c r="N1319" t="s">
        <v>3966</v>
      </c>
      <c r="P1319">
        <f t="shared" si="20"/>
        <v>0.29999872183238108</v>
      </c>
    </row>
    <row r="1320" spans="1:16" x14ac:dyDescent="0.25">
      <c r="A1320" t="s">
        <v>3175</v>
      </c>
      <c r="B1320" s="1">
        <v>45158</v>
      </c>
      <c r="C1320" t="s">
        <v>3176</v>
      </c>
      <c r="D1320" t="s">
        <v>29</v>
      </c>
      <c r="E1320">
        <v>163.9</v>
      </c>
      <c r="F1320">
        <v>1</v>
      </c>
      <c r="G1320">
        <v>49.17</v>
      </c>
      <c r="H1320">
        <v>0.1</v>
      </c>
      <c r="I1320" t="s">
        <v>3176</v>
      </c>
      <c r="J1320" t="s">
        <v>3177</v>
      </c>
      <c r="K1320" t="s">
        <v>38</v>
      </c>
      <c r="L1320" t="s">
        <v>50</v>
      </c>
      <c r="M1320" t="s">
        <v>51</v>
      </c>
      <c r="N1320" t="s">
        <v>3967</v>
      </c>
      <c r="P1320">
        <f t="shared" si="20"/>
        <v>0.3</v>
      </c>
    </row>
    <row r="1321" spans="1:16" x14ac:dyDescent="0.25">
      <c r="A1321" t="s">
        <v>3178</v>
      </c>
      <c r="B1321" s="1">
        <v>45593</v>
      </c>
      <c r="C1321" t="s">
        <v>3179</v>
      </c>
      <c r="D1321" t="s">
        <v>29</v>
      </c>
      <c r="E1321">
        <v>3101.29</v>
      </c>
      <c r="F1321">
        <v>7</v>
      </c>
      <c r="G1321">
        <v>930.39</v>
      </c>
      <c r="H1321">
        <v>0.05</v>
      </c>
      <c r="I1321" t="s">
        <v>3179</v>
      </c>
      <c r="J1321" t="s">
        <v>1678</v>
      </c>
      <c r="K1321" t="s">
        <v>71</v>
      </c>
      <c r="L1321" t="s">
        <v>265</v>
      </c>
      <c r="M1321" t="s">
        <v>645</v>
      </c>
      <c r="N1321" t="s">
        <v>3967</v>
      </c>
      <c r="P1321">
        <f t="shared" si="20"/>
        <v>0.30000096733939746</v>
      </c>
    </row>
    <row r="1322" spans="1:16" x14ac:dyDescent="0.25">
      <c r="A1322" t="s">
        <v>3180</v>
      </c>
      <c r="B1322" s="1">
        <v>45607</v>
      </c>
      <c r="C1322" t="s">
        <v>3181</v>
      </c>
      <c r="D1322" t="s">
        <v>41</v>
      </c>
      <c r="E1322">
        <v>1897.29</v>
      </c>
      <c r="F1322">
        <v>15</v>
      </c>
      <c r="G1322">
        <v>569.19000000000005</v>
      </c>
      <c r="H1322">
        <v>0.1</v>
      </c>
      <c r="I1322" t="s">
        <v>3181</v>
      </c>
      <c r="J1322" t="s">
        <v>1954</v>
      </c>
      <c r="K1322" t="s">
        <v>17</v>
      </c>
      <c r="L1322" t="s">
        <v>143</v>
      </c>
      <c r="M1322" t="s">
        <v>144</v>
      </c>
      <c r="N1322" t="s">
        <v>3966</v>
      </c>
      <c r="P1322">
        <f t="shared" si="20"/>
        <v>0.30000158120266279</v>
      </c>
    </row>
    <row r="1323" spans="1:16" x14ac:dyDescent="0.25">
      <c r="A1323" t="s">
        <v>3182</v>
      </c>
      <c r="B1323" s="1">
        <v>45267</v>
      </c>
      <c r="C1323" t="s">
        <v>3183</v>
      </c>
      <c r="D1323" t="s">
        <v>29</v>
      </c>
      <c r="E1323">
        <v>6651.48</v>
      </c>
      <c r="F1323">
        <v>17</v>
      </c>
      <c r="G1323">
        <v>1995.44</v>
      </c>
      <c r="H1323">
        <v>0.15</v>
      </c>
      <c r="I1323" t="s">
        <v>3183</v>
      </c>
      <c r="J1323" t="s">
        <v>463</v>
      </c>
      <c r="K1323" t="s">
        <v>71</v>
      </c>
      <c r="L1323" t="s">
        <v>143</v>
      </c>
      <c r="M1323" t="s">
        <v>144</v>
      </c>
      <c r="N1323" t="s">
        <v>3966</v>
      </c>
      <c r="P1323">
        <f t="shared" si="20"/>
        <v>0.29999939863007935</v>
      </c>
    </row>
    <row r="1324" spans="1:16" x14ac:dyDescent="0.25">
      <c r="A1324" t="s">
        <v>3184</v>
      </c>
      <c r="B1324" s="1">
        <v>45374</v>
      </c>
      <c r="C1324" t="s">
        <v>3185</v>
      </c>
      <c r="D1324" t="s">
        <v>15</v>
      </c>
      <c r="E1324">
        <v>664.35</v>
      </c>
      <c r="F1324">
        <v>5</v>
      </c>
      <c r="G1324">
        <v>199.31</v>
      </c>
      <c r="H1324">
        <v>0</v>
      </c>
      <c r="I1324" t="s">
        <v>3185</v>
      </c>
      <c r="J1324" t="s">
        <v>638</v>
      </c>
      <c r="K1324" t="s">
        <v>71</v>
      </c>
      <c r="L1324" t="s">
        <v>3186</v>
      </c>
      <c r="M1324" t="s">
        <v>129</v>
      </c>
      <c r="N1324" t="s">
        <v>3966</v>
      </c>
      <c r="P1324">
        <f t="shared" si="20"/>
        <v>0.300007526153383</v>
      </c>
    </row>
    <row r="1325" spans="1:16" x14ac:dyDescent="0.25">
      <c r="A1325" t="s">
        <v>3187</v>
      </c>
      <c r="B1325" s="1">
        <v>45594</v>
      </c>
      <c r="C1325" t="s">
        <v>3188</v>
      </c>
      <c r="D1325" t="s">
        <v>91</v>
      </c>
      <c r="E1325">
        <v>2392.4</v>
      </c>
      <c r="F1325">
        <v>12</v>
      </c>
      <c r="G1325">
        <v>717.72</v>
      </c>
      <c r="H1325">
        <v>0.05</v>
      </c>
      <c r="I1325" t="s">
        <v>3188</v>
      </c>
      <c r="J1325" t="s">
        <v>1741</v>
      </c>
      <c r="K1325" t="s">
        <v>71</v>
      </c>
      <c r="L1325" t="s">
        <v>265</v>
      </c>
      <c r="M1325" t="s">
        <v>645</v>
      </c>
      <c r="N1325" t="s">
        <v>3966</v>
      </c>
      <c r="P1325">
        <f t="shared" si="20"/>
        <v>0.3</v>
      </c>
    </row>
    <row r="1326" spans="1:16" x14ac:dyDescent="0.25">
      <c r="A1326" t="s">
        <v>3189</v>
      </c>
      <c r="B1326" s="1">
        <v>45825</v>
      </c>
      <c r="C1326" t="s">
        <v>3190</v>
      </c>
      <c r="D1326" t="s">
        <v>15</v>
      </c>
      <c r="E1326">
        <v>253.94</v>
      </c>
      <c r="F1326">
        <v>9</v>
      </c>
      <c r="G1326">
        <v>76.180000000000007</v>
      </c>
      <c r="H1326">
        <v>0.1</v>
      </c>
      <c r="I1326" t="s">
        <v>3190</v>
      </c>
      <c r="J1326" t="s">
        <v>1045</v>
      </c>
      <c r="K1326" t="s">
        <v>17</v>
      </c>
      <c r="L1326" t="s">
        <v>1745</v>
      </c>
      <c r="M1326" t="s">
        <v>645</v>
      </c>
      <c r="N1326" t="s">
        <v>3967</v>
      </c>
      <c r="P1326">
        <f t="shared" si="20"/>
        <v>0.29999212412380882</v>
      </c>
    </row>
    <row r="1327" spans="1:16" x14ac:dyDescent="0.25">
      <c r="A1327" t="s">
        <v>3191</v>
      </c>
      <c r="B1327" s="1">
        <v>45003</v>
      </c>
      <c r="C1327" t="s">
        <v>3192</v>
      </c>
      <c r="D1327" t="s">
        <v>36</v>
      </c>
      <c r="E1327">
        <v>3686.21</v>
      </c>
      <c r="F1327">
        <v>11</v>
      </c>
      <c r="G1327">
        <v>1105.8599999999999</v>
      </c>
      <c r="H1327">
        <v>0</v>
      </c>
      <c r="I1327" t="s">
        <v>3192</v>
      </c>
      <c r="J1327" t="s">
        <v>577</v>
      </c>
      <c r="K1327" t="s">
        <v>31</v>
      </c>
      <c r="L1327" t="s">
        <v>155</v>
      </c>
      <c r="M1327" t="s">
        <v>111</v>
      </c>
      <c r="N1327" t="s">
        <v>3966</v>
      </c>
      <c r="P1327">
        <f t="shared" si="20"/>
        <v>0.29999918615597049</v>
      </c>
    </row>
    <row r="1328" spans="1:16" x14ac:dyDescent="0.25">
      <c r="A1328" t="s">
        <v>3193</v>
      </c>
      <c r="B1328" s="1">
        <v>44945</v>
      </c>
      <c r="C1328" t="s">
        <v>3194</v>
      </c>
      <c r="D1328" t="s">
        <v>22</v>
      </c>
      <c r="E1328">
        <v>2219.44</v>
      </c>
      <c r="F1328">
        <v>8</v>
      </c>
      <c r="G1328">
        <v>665.83</v>
      </c>
      <c r="H1328">
        <v>0</v>
      </c>
      <c r="I1328" t="s">
        <v>3194</v>
      </c>
      <c r="J1328" t="s">
        <v>443</v>
      </c>
      <c r="K1328" t="s">
        <v>17</v>
      </c>
      <c r="L1328" t="s">
        <v>99</v>
      </c>
      <c r="M1328" t="s">
        <v>56</v>
      </c>
      <c r="N1328" t="s">
        <v>3968</v>
      </c>
      <c r="P1328">
        <f t="shared" si="20"/>
        <v>0.2999990988717875</v>
      </c>
    </row>
    <row r="1329" spans="1:16" x14ac:dyDescent="0.25">
      <c r="A1329" t="s">
        <v>3195</v>
      </c>
      <c r="B1329" s="1">
        <v>45116</v>
      </c>
      <c r="C1329" t="s">
        <v>3196</v>
      </c>
      <c r="D1329" t="s">
        <v>29</v>
      </c>
      <c r="E1329">
        <v>1640</v>
      </c>
      <c r="F1329">
        <v>6</v>
      </c>
      <c r="G1329">
        <v>492</v>
      </c>
      <c r="H1329">
        <v>0.05</v>
      </c>
      <c r="I1329" t="s">
        <v>3196</v>
      </c>
      <c r="J1329" t="s">
        <v>3197</v>
      </c>
      <c r="K1329" t="s">
        <v>71</v>
      </c>
      <c r="L1329" t="s">
        <v>143</v>
      </c>
      <c r="M1329" t="s">
        <v>144</v>
      </c>
      <c r="N1329" t="s">
        <v>3967</v>
      </c>
      <c r="P1329">
        <f t="shared" si="20"/>
        <v>0.3</v>
      </c>
    </row>
    <row r="1330" spans="1:16" x14ac:dyDescent="0.25">
      <c r="A1330" t="s">
        <v>3198</v>
      </c>
      <c r="B1330" s="1">
        <v>45732</v>
      </c>
      <c r="C1330" t="s">
        <v>3199</v>
      </c>
      <c r="D1330" t="s">
        <v>15</v>
      </c>
      <c r="E1330">
        <v>6112.81</v>
      </c>
      <c r="F1330">
        <v>14</v>
      </c>
      <c r="G1330">
        <v>1833.84</v>
      </c>
      <c r="H1330">
        <v>0.05</v>
      </c>
      <c r="I1330" t="s">
        <v>3199</v>
      </c>
      <c r="J1330" t="s">
        <v>3200</v>
      </c>
      <c r="K1330" t="s">
        <v>17</v>
      </c>
      <c r="L1330" t="s">
        <v>700</v>
      </c>
      <c r="M1330" t="s">
        <v>160</v>
      </c>
      <c r="N1330" t="s">
        <v>3968</v>
      </c>
      <c r="P1330">
        <f t="shared" si="20"/>
        <v>0.29999950922734386</v>
      </c>
    </row>
    <row r="1331" spans="1:16" x14ac:dyDescent="0.25">
      <c r="A1331" t="s">
        <v>3201</v>
      </c>
      <c r="B1331" s="1">
        <v>45696</v>
      </c>
      <c r="C1331" t="s">
        <v>3202</v>
      </c>
      <c r="D1331" t="s">
        <v>91</v>
      </c>
      <c r="E1331">
        <v>3570.57</v>
      </c>
      <c r="F1331">
        <v>10</v>
      </c>
      <c r="G1331">
        <v>1071.17</v>
      </c>
      <c r="H1331">
        <v>0.1</v>
      </c>
      <c r="I1331" t="s">
        <v>3202</v>
      </c>
      <c r="J1331" t="s">
        <v>3203</v>
      </c>
      <c r="K1331" t="s">
        <v>31</v>
      </c>
      <c r="L1331" t="s">
        <v>3204</v>
      </c>
      <c r="M1331" t="s">
        <v>3205</v>
      </c>
      <c r="N1331" t="s">
        <v>3966</v>
      </c>
      <c r="P1331">
        <f t="shared" si="20"/>
        <v>0.29999971993267183</v>
      </c>
    </row>
    <row r="1332" spans="1:16" x14ac:dyDescent="0.25">
      <c r="A1332" t="s">
        <v>495</v>
      </c>
      <c r="B1332" s="1">
        <v>45402</v>
      </c>
      <c r="C1332" t="s">
        <v>496</v>
      </c>
      <c r="D1332" t="s">
        <v>41</v>
      </c>
      <c r="E1332">
        <v>10328.6</v>
      </c>
      <c r="F1332">
        <v>20</v>
      </c>
      <c r="G1332">
        <v>3098.58</v>
      </c>
      <c r="H1332">
        <v>0</v>
      </c>
      <c r="I1332" t="s">
        <v>496</v>
      </c>
      <c r="J1332" t="s">
        <v>930</v>
      </c>
      <c r="K1332" t="s">
        <v>24</v>
      </c>
      <c r="L1332" t="s">
        <v>741</v>
      </c>
      <c r="M1332" t="s">
        <v>165</v>
      </c>
      <c r="N1332" t="s">
        <v>3968</v>
      </c>
      <c r="P1332">
        <f t="shared" si="20"/>
        <v>0.3</v>
      </c>
    </row>
    <row r="1333" spans="1:16" x14ac:dyDescent="0.25">
      <c r="A1333" t="s">
        <v>498</v>
      </c>
      <c r="B1333" s="1">
        <v>45261</v>
      </c>
      <c r="C1333" t="s">
        <v>496</v>
      </c>
      <c r="D1333" t="s">
        <v>29</v>
      </c>
      <c r="E1333">
        <v>1984.65</v>
      </c>
      <c r="F1333">
        <v>5</v>
      </c>
      <c r="G1333">
        <v>595.4</v>
      </c>
      <c r="H1333">
        <v>0</v>
      </c>
      <c r="I1333" t="s">
        <v>496</v>
      </c>
      <c r="J1333" t="s">
        <v>930</v>
      </c>
      <c r="K1333" t="s">
        <v>24</v>
      </c>
      <c r="L1333" t="s">
        <v>741</v>
      </c>
      <c r="M1333" t="s">
        <v>165</v>
      </c>
      <c r="N1333" t="s">
        <v>3968</v>
      </c>
      <c r="P1333">
        <f t="shared" si="20"/>
        <v>0.30000251933590305</v>
      </c>
    </row>
    <row r="1334" spans="1:16" x14ac:dyDescent="0.25">
      <c r="A1334" t="s">
        <v>3206</v>
      </c>
      <c r="B1334" s="1">
        <v>45813</v>
      </c>
      <c r="C1334" t="s">
        <v>3207</v>
      </c>
      <c r="D1334" t="s">
        <v>15</v>
      </c>
      <c r="E1334">
        <v>269.69</v>
      </c>
      <c r="F1334">
        <v>1</v>
      </c>
      <c r="G1334">
        <v>80.91</v>
      </c>
      <c r="H1334">
        <v>0.1</v>
      </c>
      <c r="I1334" t="s">
        <v>3207</v>
      </c>
      <c r="J1334" t="s">
        <v>1305</v>
      </c>
      <c r="K1334" t="s">
        <v>17</v>
      </c>
      <c r="L1334" t="s">
        <v>50</v>
      </c>
      <c r="M1334" t="s">
        <v>51</v>
      </c>
      <c r="N1334" t="s">
        <v>3966</v>
      </c>
      <c r="P1334">
        <f t="shared" si="20"/>
        <v>0.30001112388297674</v>
      </c>
    </row>
    <row r="1335" spans="1:16" x14ac:dyDescent="0.25">
      <c r="A1335" t="s">
        <v>3208</v>
      </c>
      <c r="B1335" s="1">
        <v>45772</v>
      </c>
      <c r="C1335" t="s">
        <v>3209</v>
      </c>
      <c r="D1335" t="s">
        <v>36</v>
      </c>
      <c r="E1335">
        <v>380.64</v>
      </c>
      <c r="F1335">
        <v>12</v>
      </c>
      <c r="G1335">
        <v>114.19</v>
      </c>
      <c r="H1335">
        <v>0</v>
      </c>
      <c r="I1335" t="s">
        <v>3209</v>
      </c>
      <c r="J1335" t="s">
        <v>1517</v>
      </c>
      <c r="K1335" t="s">
        <v>24</v>
      </c>
      <c r="L1335" t="s">
        <v>18</v>
      </c>
      <c r="M1335" t="s">
        <v>19</v>
      </c>
      <c r="N1335" t="s">
        <v>3966</v>
      </c>
      <c r="P1335">
        <f t="shared" si="20"/>
        <v>0.299994745691467</v>
      </c>
    </row>
    <row r="1336" spans="1:16" x14ac:dyDescent="0.25">
      <c r="A1336" t="s">
        <v>3210</v>
      </c>
      <c r="B1336" s="1">
        <v>45175</v>
      </c>
      <c r="C1336" t="s">
        <v>3211</v>
      </c>
      <c r="D1336" t="s">
        <v>22</v>
      </c>
      <c r="E1336">
        <v>9505.57</v>
      </c>
      <c r="F1336">
        <v>17</v>
      </c>
      <c r="G1336">
        <v>2851.67</v>
      </c>
      <c r="H1336">
        <v>0.05</v>
      </c>
      <c r="I1336" t="s">
        <v>3211</v>
      </c>
      <c r="J1336" t="s">
        <v>3212</v>
      </c>
      <c r="K1336" t="s">
        <v>38</v>
      </c>
      <c r="L1336" t="s">
        <v>143</v>
      </c>
      <c r="M1336" t="s">
        <v>144</v>
      </c>
      <c r="N1336" t="s">
        <v>3968</v>
      </c>
      <c r="P1336">
        <f t="shared" si="20"/>
        <v>0.2999998947985234</v>
      </c>
    </row>
    <row r="1337" spans="1:16" x14ac:dyDescent="0.25">
      <c r="A1337" t="s">
        <v>3213</v>
      </c>
      <c r="B1337" s="1">
        <v>45198</v>
      </c>
      <c r="C1337" t="s">
        <v>3214</v>
      </c>
      <c r="D1337" t="s">
        <v>15</v>
      </c>
      <c r="E1337">
        <v>2011.19</v>
      </c>
      <c r="F1337">
        <v>11</v>
      </c>
      <c r="G1337">
        <v>603.36</v>
      </c>
      <c r="H1337">
        <v>0.1</v>
      </c>
      <c r="I1337" t="s">
        <v>3214</v>
      </c>
      <c r="J1337" t="s">
        <v>3215</v>
      </c>
      <c r="K1337" t="s">
        <v>17</v>
      </c>
      <c r="L1337" t="s">
        <v>3216</v>
      </c>
      <c r="M1337" t="s">
        <v>244</v>
      </c>
      <c r="N1337" t="s">
        <v>3966</v>
      </c>
      <c r="P1337">
        <f t="shared" si="20"/>
        <v>0.30000149165419476</v>
      </c>
    </row>
    <row r="1338" spans="1:16" x14ac:dyDescent="0.25">
      <c r="A1338" t="s">
        <v>3217</v>
      </c>
      <c r="B1338" s="1">
        <v>45433</v>
      </c>
      <c r="C1338" t="s">
        <v>3218</v>
      </c>
      <c r="D1338" t="s">
        <v>48</v>
      </c>
      <c r="E1338">
        <v>2504.52</v>
      </c>
      <c r="F1338">
        <v>18</v>
      </c>
      <c r="G1338">
        <v>751.36</v>
      </c>
      <c r="H1338">
        <v>0</v>
      </c>
      <c r="I1338" t="s">
        <v>3218</v>
      </c>
      <c r="J1338" t="s">
        <v>1070</v>
      </c>
      <c r="K1338" t="s">
        <v>38</v>
      </c>
      <c r="L1338" t="s">
        <v>82</v>
      </c>
      <c r="M1338" t="s">
        <v>83</v>
      </c>
      <c r="N1338" t="s">
        <v>3966</v>
      </c>
      <c r="P1338">
        <f t="shared" si="20"/>
        <v>0.30000159711242075</v>
      </c>
    </row>
    <row r="1339" spans="1:16" x14ac:dyDescent="0.25">
      <c r="A1339" t="s">
        <v>3219</v>
      </c>
      <c r="B1339" s="1">
        <v>45760</v>
      </c>
      <c r="C1339" t="s">
        <v>3220</v>
      </c>
      <c r="D1339" t="s">
        <v>48</v>
      </c>
      <c r="E1339">
        <v>317.98</v>
      </c>
      <c r="F1339">
        <v>2</v>
      </c>
      <c r="G1339">
        <v>95.39</v>
      </c>
      <c r="H1339">
        <v>0</v>
      </c>
      <c r="I1339" t="s">
        <v>3220</v>
      </c>
      <c r="J1339" t="s">
        <v>679</v>
      </c>
      <c r="K1339" t="s">
        <v>71</v>
      </c>
      <c r="L1339" t="s">
        <v>25</v>
      </c>
      <c r="M1339" t="s">
        <v>26</v>
      </c>
      <c r="N1339" t="s">
        <v>3966</v>
      </c>
      <c r="P1339">
        <f t="shared" si="20"/>
        <v>0.29998742059249006</v>
      </c>
    </row>
    <row r="1340" spans="1:16" x14ac:dyDescent="0.25">
      <c r="A1340" t="s">
        <v>3221</v>
      </c>
      <c r="B1340" s="1">
        <v>45612</v>
      </c>
      <c r="C1340" t="s">
        <v>3222</v>
      </c>
      <c r="D1340" t="s">
        <v>36</v>
      </c>
      <c r="E1340">
        <v>1162.8900000000001</v>
      </c>
      <c r="F1340">
        <v>3</v>
      </c>
      <c r="G1340">
        <v>348.87</v>
      </c>
      <c r="H1340">
        <v>0</v>
      </c>
      <c r="I1340" t="s">
        <v>3222</v>
      </c>
      <c r="J1340" t="s">
        <v>1563</v>
      </c>
      <c r="K1340" t="s">
        <v>17</v>
      </c>
      <c r="L1340" t="s">
        <v>2428</v>
      </c>
      <c r="M1340" t="s">
        <v>139</v>
      </c>
      <c r="N1340" t="s">
        <v>3966</v>
      </c>
      <c r="P1340">
        <f t="shared" si="20"/>
        <v>0.30000257977968681</v>
      </c>
    </row>
    <row r="1341" spans="1:16" x14ac:dyDescent="0.25">
      <c r="A1341" t="s">
        <v>3168</v>
      </c>
      <c r="B1341" s="1">
        <v>45493</v>
      </c>
      <c r="C1341" t="s">
        <v>3169</v>
      </c>
      <c r="D1341" t="s">
        <v>29</v>
      </c>
      <c r="E1341">
        <v>909.54</v>
      </c>
      <c r="F1341">
        <v>5</v>
      </c>
      <c r="G1341">
        <v>272.86</v>
      </c>
      <c r="H1341">
        <v>0.1</v>
      </c>
      <c r="I1341" t="s">
        <v>3169</v>
      </c>
      <c r="J1341" t="s">
        <v>3223</v>
      </c>
      <c r="K1341" t="s">
        <v>31</v>
      </c>
      <c r="L1341" t="s">
        <v>3224</v>
      </c>
      <c r="M1341" t="s">
        <v>176</v>
      </c>
      <c r="N1341" t="s">
        <v>3966</v>
      </c>
      <c r="P1341">
        <f t="shared" si="20"/>
        <v>0.29999780108626339</v>
      </c>
    </row>
    <row r="1342" spans="1:16" x14ac:dyDescent="0.25">
      <c r="A1342" t="s">
        <v>3170</v>
      </c>
      <c r="B1342" s="1">
        <v>45524</v>
      </c>
      <c r="C1342" t="s">
        <v>3169</v>
      </c>
      <c r="D1342" t="s">
        <v>48</v>
      </c>
      <c r="E1342">
        <v>2971.27</v>
      </c>
      <c r="F1342">
        <v>15</v>
      </c>
      <c r="G1342">
        <v>891.38</v>
      </c>
      <c r="H1342">
        <v>0.05</v>
      </c>
      <c r="I1342" t="s">
        <v>3169</v>
      </c>
      <c r="J1342" t="s">
        <v>3223</v>
      </c>
      <c r="K1342" t="s">
        <v>31</v>
      </c>
      <c r="L1342" t="s">
        <v>3224</v>
      </c>
      <c r="M1342" t="s">
        <v>176</v>
      </c>
      <c r="N1342" t="s">
        <v>3967</v>
      </c>
      <c r="P1342">
        <f t="shared" si="20"/>
        <v>0.29999966344357798</v>
      </c>
    </row>
    <row r="1343" spans="1:16" x14ac:dyDescent="0.25">
      <c r="A1343" t="s">
        <v>3225</v>
      </c>
      <c r="B1343" s="1">
        <v>45066</v>
      </c>
      <c r="C1343" t="s">
        <v>3226</v>
      </c>
      <c r="D1343" t="s">
        <v>29</v>
      </c>
      <c r="E1343">
        <v>1137.54</v>
      </c>
      <c r="F1343">
        <v>4</v>
      </c>
      <c r="G1343">
        <v>341.26</v>
      </c>
      <c r="H1343">
        <v>0.15</v>
      </c>
      <c r="I1343" t="s">
        <v>3226</v>
      </c>
      <c r="J1343" t="s">
        <v>1901</v>
      </c>
      <c r="K1343" t="s">
        <v>31</v>
      </c>
      <c r="L1343" t="s">
        <v>388</v>
      </c>
      <c r="M1343" t="s">
        <v>389</v>
      </c>
      <c r="N1343" t="s">
        <v>3967</v>
      </c>
      <c r="P1343">
        <f t="shared" si="20"/>
        <v>0.29999824182006785</v>
      </c>
    </row>
    <row r="1344" spans="1:16" x14ac:dyDescent="0.25">
      <c r="A1344" t="s">
        <v>3227</v>
      </c>
      <c r="B1344" s="1">
        <v>45221</v>
      </c>
      <c r="C1344" t="s">
        <v>3228</v>
      </c>
      <c r="D1344" t="s">
        <v>22</v>
      </c>
      <c r="E1344">
        <v>6619.26</v>
      </c>
      <c r="F1344">
        <v>16</v>
      </c>
      <c r="G1344">
        <v>1985.78</v>
      </c>
      <c r="H1344">
        <v>0.15</v>
      </c>
      <c r="I1344" t="s">
        <v>3228</v>
      </c>
      <c r="J1344" t="s">
        <v>1296</v>
      </c>
      <c r="K1344" t="s">
        <v>71</v>
      </c>
      <c r="L1344" t="s">
        <v>143</v>
      </c>
      <c r="M1344" t="s">
        <v>144</v>
      </c>
      <c r="N1344" t="s">
        <v>3967</v>
      </c>
      <c r="P1344">
        <f t="shared" si="20"/>
        <v>0.30000030214857853</v>
      </c>
    </row>
    <row r="1345" spans="1:16" x14ac:dyDescent="0.25">
      <c r="A1345" t="s">
        <v>3229</v>
      </c>
      <c r="B1345" s="1">
        <v>45795</v>
      </c>
      <c r="C1345" t="s">
        <v>3230</v>
      </c>
      <c r="D1345" t="s">
        <v>48</v>
      </c>
      <c r="E1345">
        <v>320.08999999999997</v>
      </c>
      <c r="F1345">
        <v>2</v>
      </c>
      <c r="G1345">
        <v>96.03</v>
      </c>
      <c r="H1345">
        <v>0.15</v>
      </c>
      <c r="I1345" t="s">
        <v>3230</v>
      </c>
      <c r="J1345" t="s">
        <v>3159</v>
      </c>
      <c r="K1345" t="s">
        <v>31</v>
      </c>
      <c r="L1345" t="s">
        <v>265</v>
      </c>
      <c r="M1345" t="s">
        <v>266</v>
      </c>
      <c r="N1345" t="s">
        <v>3966</v>
      </c>
      <c r="P1345">
        <f t="shared" si="20"/>
        <v>0.30000937236402264</v>
      </c>
    </row>
    <row r="1346" spans="1:16" x14ac:dyDescent="0.25">
      <c r="A1346" t="s">
        <v>3231</v>
      </c>
      <c r="B1346" s="1">
        <v>45354</v>
      </c>
      <c r="C1346" t="s">
        <v>3232</v>
      </c>
      <c r="D1346" t="s">
        <v>15</v>
      </c>
      <c r="E1346">
        <v>664.84</v>
      </c>
      <c r="F1346">
        <v>3</v>
      </c>
      <c r="G1346">
        <v>199.45</v>
      </c>
      <c r="H1346">
        <v>0.15</v>
      </c>
      <c r="I1346" t="s">
        <v>3232</v>
      </c>
      <c r="J1346" t="s">
        <v>1240</v>
      </c>
      <c r="K1346" t="s">
        <v>24</v>
      </c>
      <c r="L1346" t="s">
        <v>1061</v>
      </c>
      <c r="M1346" t="s">
        <v>645</v>
      </c>
      <c r="N1346" t="s">
        <v>3966</v>
      </c>
      <c r="P1346">
        <f t="shared" si="20"/>
        <v>0.29999699175741529</v>
      </c>
    </row>
    <row r="1347" spans="1:16" x14ac:dyDescent="0.25">
      <c r="A1347" t="s">
        <v>3068</v>
      </c>
      <c r="B1347" s="1">
        <v>45130</v>
      </c>
      <c r="C1347" t="s">
        <v>3069</v>
      </c>
      <c r="D1347" t="s">
        <v>29</v>
      </c>
      <c r="E1347">
        <v>1934.66</v>
      </c>
      <c r="F1347">
        <v>6</v>
      </c>
      <c r="G1347">
        <v>580.4</v>
      </c>
      <c r="H1347">
        <v>0.1</v>
      </c>
      <c r="I1347" t="s">
        <v>3069</v>
      </c>
      <c r="J1347" t="s">
        <v>209</v>
      </c>
      <c r="K1347" t="s">
        <v>17</v>
      </c>
      <c r="L1347" t="s">
        <v>322</v>
      </c>
      <c r="M1347" t="s">
        <v>632</v>
      </c>
      <c r="N1347" t="s">
        <v>3966</v>
      </c>
      <c r="P1347">
        <f t="shared" ref="P1347:P1410" si="21">G1347/E1347</f>
        <v>0.30000103377337617</v>
      </c>
    </row>
    <row r="1348" spans="1:16" x14ac:dyDescent="0.25">
      <c r="A1348" t="s">
        <v>3071</v>
      </c>
      <c r="B1348" s="1">
        <v>44959</v>
      </c>
      <c r="C1348" t="s">
        <v>3069</v>
      </c>
      <c r="D1348" t="s">
        <v>36</v>
      </c>
      <c r="E1348">
        <v>80.959999999999994</v>
      </c>
      <c r="F1348">
        <v>1</v>
      </c>
      <c r="G1348">
        <v>24.29</v>
      </c>
      <c r="H1348">
        <v>0</v>
      </c>
      <c r="I1348" t="s">
        <v>3069</v>
      </c>
      <c r="J1348" t="s">
        <v>209</v>
      </c>
      <c r="K1348" t="s">
        <v>17</v>
      </c>
      <c r="L1348" t="s">
        <v>322</v>
      </c>
      <c r="M1348" t="s">
        <v>632</v>
      </c>
      <c r="N1348" t="s">
        <v>3966</v>
      </c>
      <c r="P1348">
        <f t="shared" si="21"/>
        <v>0.30002470355731226</v>
      </c>
    </row>
    <row r="1349" spans="1:16" x14ac:dyDescent="0.25">
      <c r="A1349" t="s">
        <v>3233</v>
      </c>
      <c r="B1349" s="1">
        <v>45697</v>
      </c>
      <c r="C1349" t="s">
        <v>3234</v>
      </c>
      <c r="D1349" t="s">
        <v>29</v>
      </c>
      <c r="E1349">
        <v>5764.12</v>
      </c>
      <c r="F1349">
        <v>13</v>
      </c>
      <c r="G1349">
        <v>1729.24</v>
      </c>
      <c r="H1349">
        <v>0.1</v>
      </c>
      <c r="I1349" t="s">
        <v>3234</v>
      </c>
      <c r="J1349" t="s">
        <v>2304</v>
      </c>
      <c r="K1349" t="s">
        <v>31</v>
      </c>
      <c r="L1349" t="s">
        <v>155</v>
      </c>
      <c r="M1349" t="s">
        <v>111</v>
      </c>
      <c r="N1349" t="s">
        <v>3966</v>
      </c>
      <c r="P1349">
        <f t="shared" si="21"/>
        <v>0.30000069394807882</v>
      </c>
    </row>
    <row r="1350" spans="1:16" x14ac:dyDescent="0.25">
      <c r="A1350" t="s">
        <v>3235</v>
      </c>
      <c r="B1350" s="1">
        <v>44943</v>
      </c>
      <c r="C1350" t="s">
        <v>3236</v>
      </c>
      <c r="D1350" t="s">
        <v>36</v>
      </c>
      <c r="E1350">
        <v>1045.1400000000001</v>
      </c>
      <c r="F1350">
        <v>3</v>
      </c>
      <c r="G1350">
        <v>313.54000000000002</v>
      </c>
      <c r="H1350">
        <v>0</v>
      </c>
      <c r="I1350" t="s">
        <v>3236</v>
      </c>
      <c r="J1350" t="s">
        <v>1730</v>
      </c>
      <c r="K1350" t="s">
        <v>24</v>
      </c>
      <c r="L1350" t="s">
        <v>1329</v>
      </c>
      <c r="M1350" t="s">
        <v>61</v>
      </c>
      <c r="N1350" t="s">
        <v>3966</v>
      </c>
      <c r="P1350">
        <f t="shared" si="21"/>
        <v>0.29999808638077197</v>
      </c>
    </row>
    <row r="1351" spans="1:16" x14ac:dyDescent="0.25">
      <c r="A1351" t="s">
        <v>3237</v>
      </c>
      <c r="B1351" s="1">
        <v>45186</v>
      </c>
      <c r="C1351" t="s">
        <v>3238</v>
      </c>
      <c r="D1351" t="s">
        <v>22</v>
      </c>
      <c r="E1351">
        <v>2494.2600000000002</v>
      </c>
      <c r="F1351">
        <v>6</v>
      </c>
      <c r="G1351">
        <v>748.28</v>
      </c>
      <c r="H1351">
        <v>0.05</v>
      </c>
      <c r="I1351" t="s">
        <v>3238</v>
      </c>
      <c r="J1351" t="s">
        <v>1283</v>
      </c>
      <c r="K1351" t="s">
        <v>31</v>
      </c>
      <c r="L1351" t="s">
        <v>361</v>
      </c>
      <c r="M1351" t="s">
        <v>56</v>
      </c>
      <c r="N1351" t="s">
        <v>3966</v>
      </c>
      <c r="P1351">
        <f t="shared" si="21"/>
        <v>0.30000080184102695</v>
      </c>
    </row>
    <row r="1352" spans="1:16" x14ac:dyDescent="0.25">
      <c r="A1352" t="s">
        <v>3239</v>
      </c>
      <c r="B1352" s="1">
        <v>45703</v>
      </c>
      <c r="C1352" t="s">
        <v>3240</v>
      </c>
      <c r="D1352" t="s">
        <v>41</v>
      </c>
      <c r="E1352">
        <v>2019.34</v>
      </c>
      <c r="F1352">
        <v>19</v>
      </c>
      <c r="G1352">
        <v>605.79999999999995</v>
      </c>
      <c r="H1352">
        <v>0.1</v>
      </c>
      <c r="I1352" t="s">
        <v>3240</v>
      </c>
      <c r="J1352" t="s">
        <v>395</v>
      </c>
      <c r="K1352" t="s">
        <v>31</v>
      </c>
      <c r="L1352" t="s">
        <v>25</v>
      </c>
      <c r="M1352" t="s">
        <v>26</v>
      </c>
      <c r="N1352" t="s">
        <v>3966</v>
      </c>
      <c r="P1352">
        <f t="shared" si="21"/>
        <v>0.29999900957738668</v>
      </c>
    </row>
    <row r="1353" spans="1:16" x14ac:dyDescent="0.25">
      <c r="A1353" t="s">
        <v>3241</v>
      </c>
      <c r="B1353" s="1">
        <v>45206</v>
      </c>
      <c r="C1353" t="s">
        <v>3242</v>
      </c>
      <c r="D1353" t="s">
        <v>91</v>
      </c>
      <c r="E1353">
        <v>2687.12</v>
      </c>
      <c r="F1353">
        <v>15</v>
      </c>
      <c r="G1353">
        <v>806.14</v>
      </c>
      <c r="H1353">
        <v>0.05</v>
      </c>
      <c r="I1353" t="s">
        <v>3242</v>
      </c>
      <c r="J1353" t="s">
        <v>3243</v>
      </c>
      <c r="K1353" t="s">
        <v>71</v>
      </c>
      <c r="L1353" t="s">
        <v>72</v>
      </c>
      <c r="M1353" t="s">
        <v>26</v>
      </c>
      <c r="N1353" t="s">
        <v>3967</v>
      </c>
      <c r="P1353">
        <f t="shared" si="21"/>
        <v>0.3000014885825717</v>
      </c>
    </row>
    <row r="1354" spans="1:16" x14ac:dyDescent="0.25">
      <c r="A1354" t="s">
        <v>3244</v>
      </c>
      <c r="B1354" s="1">
        <v>45146</v>
      </c>
      <c r="C1354" t="s">
        <v>3245</v>
      </c>
      <c r="D1354" t="s">
        <v>22</v>
      </c>
      <c r="E1354">
        <v>1605.92</v>
      </c>
      <c r="F1354">
        <v>8</v>
      </c>
      <c r="G1354">
        <v>481.78</v>
      </c>
      <c r="H1354">
        <v>0</v>
      </c>
      <c r="I1354" t="s">
        <v>3245</v>
      </c>
      <c r="J1354" t="s">
        <v>1244</v>
      </c>
      <c r="K1354" t="s">
        <v>71</v>
      </c>
      <c r="L1354" t="s">
        <v>143</v>
      </c>
      <c r="M1354" t="s">
        <v>144</v>
      </c>
      <c r="N1354" t="s">
        <v>3967</v>
      </c>
      <c r="P1354">
        <f t="shared" si="21"/>
        <v>0.3000024907840988</v>
      </c>
    </row>
    <row r="1355" spans="1:16" x14ac:dyDescent="0.25">
      <c r="A1355" t="s">
        <v>1314</v>
      </c>
      <c r="B1355" s="1">
        <v>45159</v>
      </c>
      <c r="C1355" t="s">
        <v>1315</v>
      </c>
      <c r="D1355" t="s">
        <v>15</v>
      </c>
      <c r="E1355">
        <v>362.33</v>
      </c>
      <c r="F1355">
        <v>3</v>
      </c>
      <c r="G1355">
        <v>108.7</v>
      </c>
      <c r="H1355">
        <v>0.15</v>
      </c>
      <c r="I1355" t="s">
        <v>1315</v>
      </c>
      <c r="J1355" t="s">
        <v>724</v>
      </c>
      <c r="K1355" t="s">
        <v>17</v>
      </c>
      <c r="L1355" t="s">
        <v>265</v>
      </c>
      <c r="M1355" t="s">
        <v>266</v>
      </c>
      <c r="N1355" t="s">
        <v>3967</v>
      </c>
      <c r="P1355">
        <f t="shared" si="21"/>
        <v>0.30000275991499464</v>
      </c>
    </row>
    <row r="1356" spans="1:16" x14ac:dyDescent="0.25">
      <c r="A1356" t="s">
        <v>1317</v>
      </c>
      <c r="B1356" s="1">
        <v>45143</v>
      </c>
      <c r="C1356" t="s">
        <v>1315</v>
      </c>
      <c r="D1356" t="s">
        <v>91</v>
      </c>
      <c r="E1356">
        <v>2206.2600000000002</v>
      </c>
      <c r="F1356">
        <v>9</v>
      </c>
      <c r="G1356">
        <v>661.88</v>
      </c>
      <c r="H1356">
        <v>0</v>
      </c>
      <c r="I1356" t="s">
        <v>1315</v>
      </c>
      <c r="J1356" t="s">
        <v>724</v>
      </c>
      <c r="K1356" t="s">
        <v>17</v>
      </c>
      <c r="L1356" t="s">
        <v>265</v>
      </c>
      <c r="M1356" t="s">
        <v>266</v>
      </c>
      <c r="N1356" t="s">
        <v>3967</v>
      </c>
      <c r="P1356">
        <f t="shared" si="21"/>
        <v>0.30000090651147188</v>
      </c>
    </row>
    <row r="1357" spans="1:16" x14ac:dyDescent="0.25">
      <c r="A1357" t="s">
        <v>3246</v>
      </c>
      <c r="B1357" s="1">
        <v>45480</v>
      </c>
      <c r="C1357" t="s">
        <v>3247</v>
      </c>
      <c r="D1357" t="s">
        <v>91</v>
      </c>
      <c r="E1357">
        <v>7777.62</v>
      </c>
      <c r="F1357">
        <v>15</v>
      </c>
      <c r="G1357">
        <v>2333.29</v>
      </c>
      <c r="H1357">
        <v>0.1</v>
      </c>
      <c r="I1357" t="s">
        <v>3247</v>
      </c>
      <c r="J1357" t="s">
        <v>635</v>
      </c>
      <c r="K1357" t="s">
        <v>31</v>
      </c>
      <c r="L1357" t="s">
        <v>1147</v>
      </c>
      <c r="M1357" t="s">
        <v>165</v>
      </c>
      <c r="N1357" t="s">
        <v>3966</v>
      </c>
      <c r="P1357">
        <f t="shared" si="21"/>
        <v>0.30000051429614716</v>
      </c>
    </row>
    <row r="1358" spans="1:16" x14ac:dyDescent="0.25">
      <c r="A1358" t="s">
        <v>3248</v>
      </c>
      <c r="B1358" s="1">
        <v>45674</v>
      </c>
      <c r="C1358" t="s">
        <v>3249</v>
      </c>
      <c r="D1358" t="s">
        <v>29</v>
      </c>
      <c r="E1358">
        <v>741.82</v>
      </c>
      <c r="F1358">
        <v>9</v>
      </c>
      <c r="G1358">
        <v>222.55</v>
      </c>
      <c r="H1358">
        <v>0.15</v>
      </c>
      <c r="I1358" t="s">
        <v>3249</v>
      </c>
      <c r="J1358" t="s">
        <v>2773</v>
      </c>
      <c r="K1358" t="s">
        <v>24</v>
      </c>
      <c r="L1358" t="s">
        <v>3250</v>
      </c>
      <c r="M1358" t="s">
        <v>26</v>
      </c>
      <c r="N1358" t="s">
        <v>3966</v>
      </c>
      <c r="P1358">
        <f t="shared" si="21"/>
        <v>0.30000539214364669</v>
      </c>
    </row>
    <row r="1359" spans="1:16" x14ac:dyDescent="0.25">
      <c r="A1359" t="s">
        <v>3251</v>
      </c>
      <c r="B1359" s="1">
        <v>45266</v>
      </c>
      <c r="C1359" t="s">
        <v>3252</v>
      </c>
      <c r="D1359" t="s">
        <v>91</v>
      </c>
      <c r="E1359">
        <v>3150.68</v>
      </c>
      <c r="F1359">
        <v>17</v>
      </c>
      <c r="G1359">
        <v>945.2</v>
      </c>
      <c r="H1359">
        <v>0.15</v>
      </c>
      <c r="I1359" t="s">
        <v>3252</v>
      </c>
      <c r="J1359" t="s">
        <v>2012</v>
      </c>
      <c r="K1359" t="s">
        <v>31</v>
      </c>
      <c r="L1359" t="s">
        <v>1722</v>
      </c>
      <c r="M1359" t="s">
        <v>1435</v>
      </c>
      <c r="N1359" t="s">
        <v>3966</v>
      </c>
      <c r="P1359">
        <f t="shared" si="21"/>
        <v>0.29999873043279551</v>
      </c>
    </row>
    <row r="1360" spans="1:16" x14ac:dyDescent="0.25">
      <c r="A1360" t="s">
        <v>3253</v>
      </c>
      <c r="B1360" s="1">
        <v>44986</v>
      </c>
      <c r="C1360" t="s">
        <v>3254</v>
      </c>
      <c r="D1360" t="s">
        <v>29</v>
      </c>
      <c r="E1360">
        <v>291.33</v>
      </c>
      <c r="F1360">
        <v>2</v>
      </c>
      <c r="G1360">
        <v>87.4</v>
      </c>
      <c r="H1360">
        <v>0.05</v>
      </c>
      <c r="I1360" t="s">
        <v>3254</v>
      </c>
      <c r="J1360" t="s">
        <v>554</v>
      </c>
      <c r="K1360" t="s">
        <v>24</v>
      </c>
      <c r="L1360" t="s">
        <v>388</v>
      </c>
      <c r="M1360" t="s">
        <v>266</v>
      </c>
      <c r="N1360" t="s">
        <v>3966</v>
      </c>
      <c r="P1360">
        <f t="shared" si="21"/>
        <v>0.30000343253355305</v>
      </c>
    </row>
    <row r="1361" spans="1:16" x14ac:dyDescent="0.25">
      <c r="A1361" t="s">
        <v>3255</v>
      </c>
      <c r="B1361" s="1">
        <v>45699</v>
      </c>
      <c r="C1361" t="s">
        <v>3256</v>
      </c>
      <c r="D1361" t="s">
        <v>41</v>
      </c>
      <c r="E1361">
        <v>2276.06</v>
      </c>
      <c r="F1361">
        <v>8</v>
      </c>
      <c r="G1361">
        <v>682.82</v>
      </c>
      <c r="H1361">
        <v>0.1</v>
      </c>
      <c r="I1361" t="s">
        <v>3256</v>
      </c>
      <c r="J1361" t="s">
        <v>749</v>
      </c>
      <c r="K1361" t="s">
        <v>31</v>
      </c>
      <c r="L1361" t="s">
        <v>709</v>
      </c>
      <c r="M1361" t="s">
        <v>710</v>
      </c>
      <c r="N1361" t="s">
        <v>3966</v>
      </c>
      <c r="P1361">
        <f t="shared" si="21"/>
        <v>0.30000087871145753</v>
      </c>
    </row>
    <row r="1362" spans="1:16" x14ac:dyDescent="0.25">
      <c r="A1362" t="s">
        <v>3257</v>
      </c>
      <c r="B1362" s="1">
        <v>45097</v>
      </c>
      <c r="C1362" t="s">
        <v>3258</v>
      </c>
      <c r="D1362" t="s">
        <v>41</v>
      </c>
      <c r="E1362">
        <v>1896.59</v>
      </c>
      <c r="F1362">
        <v>13</v>
      </c>
      <c r="G1362">
        <v>568.98</v>
      </c>
      <c r="H1362">
        <v>0.05</v>
      </c>
      <c r="I1362" t="s">
        <v>3258</v>
      </c>
      <c r="J1362" t="s">
        <v>1247</v>
      </c>
      <c r="K1362" t="s">
        <v>38</v>
      </c>
      <c r="L1362" t="s">
        <v>243</v>
      </c>
      <c r="M1362" t="s">
        <v>111</v>
      </c>
      <c r="N1362" t="s">
        <v>3967</v>
      </c>
      <c r="P1362">
        <f t="shared" si="21"/>
        <v>0.30000158178625852</v>
      </c>
    </row>
    <row r="1363" spans="1:16" x14ac:dyDescent="0.25">
      <c r="A1363" t="s">
        <v>3259</v>
      </c>
      <c r="B1363" s="1">
        <v>45351</v>
      </c>
      <c r="C1363" t="s">
        <v>3260</v>
      </c>
      <c r="D1363" t="s">
        <v>41</v>
      </c>
      <c r="E1363">
        <v>1385.26</v>
      </c>
      <c r="F1363">
        <v>7</v>
      </c>
      <c r="G1363">
        <v>415.58</v>
      </c>
      <c r="H1363">
        <v>0.05</v>
      </c>
      <c r="I1363" t="s">
        <v>3260</v>
      </c>
      <c r="J1363" t="s">
        <v>1013</v>
      </c>
      <c r="K1363" t="s">
        <v>71</v>
      </c>
      <c r="L1363" t="s">
        <v>2082</v>
      </c>
      <c r="M1363" t="s">
        <v>645</v>
      </c>
      <c r="N1363" t="s">
        <v>3967</v>
      </c>
      <c r="P1363">
        <f t="shared" si="21"/>
        <v>0.30000144377228821</v>
      </c>
    </row>
    <row r="1364" spans="1:16" x14ac:dyDescent="0.25">
      <c r="A1364" t="s">
        <v>3261</v>
      </c>
      <c r="B1364" s="1">
        <v>45838</v>
      </c>
      <c r="C1364" t="s">
        <v>3262</v>
      </c>
      <c r="D1364" t="s">
        <v>36</v>
      </c>
      <c r="E1364">
        <v>289.73</v>
      </c>
      <c r="F1364">
        <v>2</v>
      </c>
      <c r="G1364">
        <v>86.92</v>
      </c>
      <c r="H1364">
        <v>0.1</v>
      </c>
      <c r="I1364" t="s">
        <v>3262</v>
      </c>
      <c r="J1364" t="s">
        <v>2216</v>
      </c>
      <c r="K1364" t="s">
        <v>31</v>
      </c>
      <c r="L1364" t="s">
        <v>265</v>
      </c>
      <c r="M1364" t="s">
        <v>266</v>
      </c>
      <c r="N1364" t="s">
        <v>3967</v>
      </c>
      <c r="P1364">
        <f t="shared" si="21"/>
        <v>0.30000345148931762</v>
      </c>
    </row>
    <row r="1365" spans="1:16" x14ac:dyDescent="0.25">
      <c r="A1365" t="s">
        <v>3263</v>
      </c>
      <c r="B1365" s="1">
        <v>45523</v>
      </c>
      <c r="C1365" t="s">
        <v>3264</v>
      </c>
      <c r="D1365" t="s">
        <v>48</v>
      </c>
      <c r="E1365">
        <v>1009.18</v>
      </c>
      <c r="F1365">
        <v>3</v>
      </c>
      <c r="G1365">
        <v>302.75</v>
      </c>
      <c r="H1365">
        <v>0.1</v>
      </c>
      <c r="I1365" t="s">
        <v>3264</v>
      </c>
      <c r="J1365" t="s">
        <v>2090</v>
      </c>
      <c r="K1365" t="s">
        <v>31</v>
      </c>
      <c r="L1365" t="s">
        <v>3265</v>
      </c>
      <c r="M1365" t="s">
        <v>26</v>
      </c>
      <c r="N1365" t="s">
        <v>3967</v>
      </c>
      <c r="P1365">
        <f t="shared" si="21"/>
        <v>0.29999603638597677</v>
      </c>
    </row>
    <row r="1366" spans="1:16" x14ac:dyDescent="0.25">
      <c r="A1366" t="s">
        <v>3266</v>
      </c>
      <c r="B1366" s="1">
        <v>45306</v>
      </c>
      <c r="C1366" t="s">
        <v>3267</v>
      </c>
      <c r="D1366" t="s">
        <v>41</v>
      </c>
      <c r="E1366">
        <v>3612.6</v>
      </c>
      <c r="F1366">
        <v>20</v>
      </c>
      <c r="G1366">
        <v>1083.78</v>
      </c>
      <c r="H1366">
        <v>0.1</v>
      </c>
      <c r="I1366" t="s">
        <v>3267</v>
      </c>
      <c r="J1366" t="s">
        <v>2606</v>
      </c>
      <c r="K1366" t="s">
        <v>38</v>
      </c>
      <c r="L1366" t="s">
        <v>1368</v>
      </c>
      <c r="M1366" t="s">
        <v>266</v>
      </c>
      <c r="N1366" t="s">
        <v>3967</v>
      </c>
      <c r="P1366">
        <f t="shared" si="21"/>
        <v>0.3</v>
      </c>
    </row>
    <row r="1367" spans="1:16" x14ac:dyDescent="0.25">
      <c r="A1367" t="s">
        <v>3268</v>
      </c>
      <c r="B1367" s="1">
        <v>45512</v>
      </c>
      <c r="C1367" t="s">
        <v>3269</v>
      </c>
      <c r="D1367" t="s">
        <v>29</v>
      </c>
      <c r="E1367">
        <v>1377.66</v>
      </c>
      <c r="F1367">
        <v>14</v>
      </c>
      <c r="G1367">
        <v>413.3</v>
      </c>
      <c r="H1367">
        <v>0.15</v>
      </c>
      <c r="I1367" t="s">
        <v>3269</v>
      </c>
      <c r="J1367" t="s">
        <v>3270</v>
      </c>
      <c r="K1367" t="s">
        <v>38</v>
      </c>
      <c r="L1367" t="s">
        <v>1878</v>
      </c>
      <c r="M1367" t="s">
        <v>26</v>
      </c>
      <c r="N1367" t="s">
        <v>3967</v>
      </c>
      <c r="P1367">
        <f t="shared" si="21"/>
        <v>0.30000145173700332</v>
      </c>
    </row>
    <row r="1368" spans="1:16" x14ac:dyDescent="0.25">
      <c r="A1368" t="s">
        <v>3271</v>
      </c>
      <c r="B1368" s="1">
        <v>45570</v>
      </c>
      <c r="C1368" t="s">
        <v>3272</v>
      </c>
      <c r="D1368" t="s">
        <v>22</v>
      </c>
      <c r="E1368">
        <v>5782.43</v>
      </c>
      <c r="F1368">
        <v>12</v>
      </c>
      <c r="G1368">
        <v>1734.73</v>
      </c>
      <c r="H1368">
        <v>0.1</v>
      </c>
      <c r="I1368" t="s">
        <v>3272</v>
      </c>
      <c r="J1368" t="s">
        <v>3084</v>
      </c>
      <c r="K1368" t="s">
        <v>71</v>
      </c>
      <c r="L1368" t="s">
        <v>488</v>
      </c>
      <c r="M1368" t="s">
        <v>26</v>
      </c>
      <c r="N1368" t="s">
        <v>3967</v>
      </c>
      <c r="P1368">
        <f t="shared" si="21"/>
        <v>0.300000172937675</v>
      </c>
    </row>
    <row r="1369" spans="1:16" x14ac:dyDescent="0.25">
      <c r="A1369" t="s">
        <v>3273</v>
      </c>
      <c r="B1369" s="1">
        <v>45304</v>
      </c>
      <c r="C1369" t="s">
        <v>3274</v>
      </c>
      <c r="D1369" t="s">
        <v>29</v>
      </c>
      <c r="E1369">
        <v>1118.77</v>
      </c>
      <c r="F1369">
        <v>12</v>
      </c>
      <c r="G1369">
        <v>335.63</v>
      </c>
      <c r="H1369">
        <v>0.1</v>
      </c>
      <c r="I1369" t="s">
        <v>3274</v>
      </c>
      <c r="J1369" t="s">
        <v>3275</v>
      </c>
      <c r="K1369" t="s">
        <v>24</v>
      </c>
      <c r="L1369" t="s">
        <v>143</v>
      </c>
      <c r="M1369" t="s">
        <v>144</v>
      </c>
      <c r="N1369" t="s">
        <v>3967</v>
      </c>
      <c r="P1369">
        <f t="shared" si="21"/>
        <v>0.29999910616123066</v>
      </c>
    </row>
    <row r="1370" spans="1:16" x14ac:dyDescent="0.25">
      <c r="A1370" t="s">
        <v>3276</v>
      </c>
      <c r="B1370" s="1">
        <v>45014</v>
      </c>
      <c r="C1370" t="s">
        <v>3277</v>
      </c>
      <c r="D1370" t="s">
        <v>15</v>
      </c>
      <c r="E1370">
        <v>3015.07</v>
      </c>
      <c r="F1370">
        <v>18</v>
      </c>
      <c r="G1370">
        <v>904.52</v>
      </c>
      <c r="H1370">
        <v>0.05</v>
      </c>
      <c r="I1370" t="s">
        <v>3277</v>
      </c>
      <c r="J1370" t="s">
        <v>1744</v>
      </c>
      <c r="K1370" t="s">
        <v>71</v>
      </c>
      <c r="L1370" t="s">
        <v>3278</v>
      </c>
      <c r="M1370" t="s">
        <v>632</v>
      </c>
      <c r="N1370" t="s">
        <v>3968</v>
      </c>
      <c r="P1370">
        <f t="shared" si="21"/>
        <v>0.29999966833274183</v>
      </c>
    </row>
    <row r="1371" spans="1:16" x14ac:dyDescent="0.25">
      <c r="A1371" t="s">
        <v>615</v>
      </c>
      <c r="B1371" s="1">
        <v>45218</v>
      </c>
      <c r="C1371" t="s">
        <v>616</v>
      </c>
      <c r="D1371" t="s">
        <v>41</v>
      </c>
      <c r="E1371">
        <v>505.98</v>
      </c>
      <c r="F1371">
        <v>5</v>
      </c>
      <c r="G1371">
        <v>151.79</v>
      </c>
      <c r="H1371">
        <v>0.1</v>
      </c>
      <c r="I1371" t="s">
        <v>616</v>
      </c>
      <c r="J1371" t="s">
        <v>3167</v>
      </c>
      <c r="K1371" t="s">
        <v>31</v>
      </c>
      <c r="L1371" t="s">
        <v>143</v>
      </c>
      <c r="M1371" t="s">
        <v>144</v>
      </c>
      <c r="N1371" t="s">
        <v>3966</v>
      </c>
      <c r="P1371">
        <f t="shared" si="21"/>
        <v>0.29999209454919162</v>
      </c>
    </row>
    <row r="1372" spans="1:16" x14ac:dyDescent="0.25">
      <c r="A1372" t="s">
        <v>618</v>
      </c>
      <c r="B1372" s="1">
        <v>45705</v>
      </c>
      <c r="C1372" t="s">
        <v>616</v>
      </c>
      <c r="D1372" t="s">
        <v>22</v>
      </c>
      <c r="E1372">
        <v>5357.06</v>
      </c>
      <c r="F1372">
        <v>13</v>
      </c>
      <c r="G1372">
        <v>1607.12</v>
      </c>
      <c r="H1372">
        <v>0.05</v>
      </c>
      <c r="I1372" t="s">
        <v>616</v>
      </c>
      <c r="J1372" t="s">
        <v>3167</v>
      </c>
      <c r="K1372" t="s">
        <v>31</v>
      </c>
      <c r="L1372" t="s">
        <v>143</v>
      </c>
      <c r="M1372" t="s">
        <v>144</v>
      </c>
      <c r="N1372" t="s">
        <v>3966</v>
      </c>
      <c r="P1372">
        <f t="shared" si="21"/>
        <v>0.30000037333910762</v>
      </c>
    </row>
    <row r="1373" spans="1:16" x14ac:dyDescent="0.25">
      <c r="A1373" t="s">
        <v>3279</v>
      </c>
      <c r="B1373" s="1">
        <v>45156</v>
      </c>
      <c r="C1373" t="s">
        <v>3280</v>
      </c>
      <c r="D1373" t="s">
        <v>91</v>
      </c>
      <c r="E1373">
        <v>2375.65</v>
      </c>
      <c r="F1373">
        <v>16</v>
      </c>
      <c r="G1373">
        <v>712.69</v>
      </c>
      <c r="H1373">
        <v>0.15</v>
      </c>
      <c r="I1373" t="s">
        <v>3280</v>
      </c>
      <c r="J1373" t="s">
        <v>1877</v>
      </c>
      <c r="K1373" t="s">
        <v>71</v>
      </c>
      <c r="L1373" t="s">
        <v>72</v>
      </c>
      <c r="M1373" t="s">
        <v>26</v>
      </c>
      <c r="N1373" t="s">
        <v>3968</v>
      </c>
      <c r="P1373">
        <f t="shared" si="21"/>
        <v>0.29999789531286175</v>
      </c>
    </row>
    <row r="1374" spans="1:16" x14ac:dyDescent="0.25">
      <c r="A1374" t="s">
        <v>3281</v>
      </c>
      <c r="B1374" s="1">
        <v>45222</v>
      </c>
      <c r="C1374" t="s">
        <v>3280</v>
      </c>
      <c r="D1374" t="s">
        <v>36</v>
      </c>
      <c r="E1374">
        <v>386</v>
      </c>
      <c r="F1374">
        <v>20</v>
      </c>
      <c r="G1374">
        <v>115.8</v>
      </c>
      <c r="H1374">
        <v>0</v>
      </c>
      <c r="I1374" t="s">
        <v>3280</v>
      </c>
      <c r="J1374" t="s">
        <v>1877</v>
      </c>
      <c r="K1374" t="s">
        <v>71</v>
      </c>
      <c r="L1374" t="s">
        <v>72</v>
      </c>
      <c r="M1374" t="s">
        <v>26</v>
      </c>
      <c r="N1374" t="s">
        <v>3966</v>
      </c>
      <c r="P1374">
        <f t="shared" si="21"/>
        <v>0.3</v>
      </c>
    </row>
    <row r="1375" spans="1:16" x14ac:dyDescent="0.25">
      <c r="A1375" t="s">
        <v>3282</v>
      </c>
      <c r="B1375" s="1">
        <v>45009</v>
      </c>
      <c r="C1375" t="s">
        <v>3283</v>
      </c>
      <c r="D1375" t="s">
        <v>22</v>
      </c>
      <c r="E1375">
        <v>1993.09</v>
      </c>
      <c r="F1375">
        <v>9</v>
      </c>
      <c r="G1375">
        <v>597.92999999999995</v>
      </c>
      <c r="H1375">
        <v>0.05</v>
      </c>
      <c r="I1375" t="s">
        <v>3283</v>
      </c>
      <c r="J1375" t="s">
        <v>504</v>
      </c>
      <c r="K1375" t="s">
        <v>24</v>
      </c>
      <c r="L1375" t="s">
        <v>1344</v>
      </c>
      <c r="M1375" t="s">
        <v>201</v>
      </c>
      <c r="N1375" t="s">
        <v>3966</v>
      </c>
      <c r="P1375">
        <f t="shared" si="21"/>
        <v>0.30000150520046759</v>
      </c>
    </row>
    <row r="1376" spans="1:16" x14ac:dyDescent="0.25">
      <c r="A1376" t="s">
        <v>3284</v>
      </c>
      <c r="B1376" s="1">
        <v>45513</v>
      </c>
      <c r="C1376" t="s">
        <v>3285</v>
      </c>
      <c r="D1376" t="s">
        <v>41</v>
      </c>
      <c r="E1376">
        <v>960.64</v>
      </c>
      <c r="F1376">
        <v>17</v>
      </c>
      <c r="G1376">
        <v>288.19</v>
      </c>
      <c r="H1376">
        <v>0.15</v>
      </c>
      <c r="I1376" t="s">
        <v>3285</v>
      </c>
      <c r="J1376" t="s">
        <v>2054</v>
      </c>
      <c r="K1376" t="s">
        <v>71</v>
      </c>
      <c r="L1376" t="s">
        <v>848</v>
      </c>
      <c r="M1376" t="s">
        <v>56</v>
      </c>
      <c r="N1376" t="s">
        <v>3966</v>
      </c>
      <c r="P1376">
        <f t="shared" si="21"/>
        <v>0.29999791805463027</v>
      </c>
    </row>
    <row r="1377" spans="1:16" x14ac:dyDescent="0.25">
      <c r="A1377" t="s">
        <v>3286</v>
      </c>
      <c r="B1377" s="1">
        <v>45042</v>
      </c>
      <c r="C1377" t="s">
        <v>3287</v>
      </c>
      <c r="D1377" t="s">
        <v>15</v>
      </c>
      <c r="E1377">
        <v>7720.84</v>
      </c>
      <c r="F1377">
        <v>17</v>
      </c>
      <c r="G1377">
        <v>2316.25</v>
      </c>
      <c r="H1377">
        <v>0.1</v>
      </c>
      <c r="I1377" t="s">
        <v>3287</v>
      </c>
      <c r="J1377" t="s">
        <v>909</v>
      </c>
      <c r="K1377" t="s">
        <v>24</v>
      </c>
      <c r="L1377" t="s">
        <v>25</v>
      </c>
      <c r="M1377" t="s">
        <v>26</v>
      </c>
      <c r="N1377" t="s">
        <v>3966</v>
      </c>
      <c r="P1377">
        <f t="shared" si="21"/>
        <v>0.2999997409608281</v>
      </c>
    </row>
    <row r="1378" spans="1:16" x14ac:dyDescent="0.25">
      <c r="A1378" t="s">
        <v>3288</v>
      </c>
      <c r="B1378" s="1">
        <v>45355</v>
      </c>
      <c r="C1378" t="s">
        <v>3289</v>
      </c>
      <c r="D1378" t="s">
        <v>91</v>
      </c>
      <c r="E1378">
        <v>1022.43</v>
      </c>
      <c r="F1378">
        <v>11</v>
      </c>
      <c r="G1378">
        <v>306.73</v>
      </c>
      <c r="H1378">
        <v>0.05</v>
      </c>
      <c r="I1378" t="s">
        <v>3289</v>
      </c>
      <c r="J1378" t="s">
        <v>3290</v>
      </c>
      <c r="K1378" t="s">
        <v>71</v>
      </c>
      <c r="L1378" t="s">
        <v>72</v>
      </c>
      <c r="M1378" t="s">
        <v>26</v>
      </c>
      <c r="N1378" t="s">
        <v>3966</v>
      </c>
      <c r="P1378">
        <f t="shared" si="21"/>
        <v>0.30000097806206782</v>
      </c>
    </row>
    <row r="1379" spans="1:16" x14ac:dyDescent="0.25">
      <c r="A1379" t="s">
        <v>3291</v>
      </c>
      <c r="B1379" s="1">
        <v>44971</v>
      </c>
      <c r="C1379" t="s">
        <v>3292</v>
      </c>
      <c r="D1379" t="s">
        <v>91</v>
      </c>
      <c r="E1379">
        <v>2785.43</v>
      </c>
      <c r="F1379">
        <v>7</v>
      </c>
      <c r="G1379">
        <v>835.63</v>
      </c>
      <c r="H1379">
        <v>0.15</v>
      </c>
      <c r="I1379" t="s">
        <v>3292</v>
      </c>
      <c r="J1379" t="s">
        <v>1471</v>
      </c>
      <c r="K1379" t="s">
        <v>17</v>
      </c>
      <c r="L1379" t="s">
        <v>72</v>
      </c>
      <c r="M1379" t="s">
        <v>26</v>
      </c>
      <c r="N1379" t="s">
        <v>3966</v>
      </c>
      <c r="P1379">
        <f t="shared" si="21"/>
        <v>0.30000035901099653</v>
      </c>
    </row>
    <row r="1380" spans="1:16" x14ac:dyDescent="0.25">
      <c r="A1380" t="s">
        <v>3293</v>
      </c>
      <c r="B1380" s="1">
        <v>45044</v>
      </c>
      <c r="C1380" t="s">
        <v>3294</v>
      </c>
      <c r="D1380" t="s">
        <v>91</v>
      </c>
      <c r="E1380">
        <v>9057.11</v>
      </c>
      <c r="F1380">
        <v>20</v>
      </c>
      <c r="G1380">
        <v>2717.13</v>
      </c>
      <c r="H1380">
        <v>0.05</v>
      </c>
      <c r="I1380" t="s">
        <v>3294</v>
      </c>
      <c r="J1380" t="s">
        <v>1574</v>
      </c>
      <c r="K1380" t="s">
        <v>71</v>
      </c>
      <c r="L1380" t="s">
        <v>82</v>
      </c>
      <c r="M1380" t="s">
        <v>83</v>
      </c>
      <c r="N1380" t="s">
        <v>3966</v>
      </c>
      <c r="P1380">
        <f t="shared" si="21"/>
        <v>0.29999966876851447</v>
      </c>
    </row>
    <row r="1381" spans="1:16" x14ac:dyDescent="0.25">
      <c r="A1381" t="s">
        <v>3295</v>
      </c>
      <c r="B1381" s="1">
        <v>45354</v>
      </c>
      <c r="C1381" t="s">
        <v>3296</v>
      </c>
      <c r="D1381" t="s">
        <v>22</v>
      </c>
      <c r="E1381">
        <v>273.24</v>
      </c>
      <c r="F1381">
        <v>2</v>
      </c>
      <c r="G1381">
        <v>81.97</v>
      </c>
      <c r="H1381">
        <v>0.15</v>
      </c>
      <c r="I1381" t="s">
        <v>3296</v>
      </c>
      <c r="J1381" t="s">
        <v>3297</v>
      </c>
      <c r="K1381" t="s">
        <v>31</v>
      </c>
      <c r="L1381" t="s">
        <v>25</v>
      </c>
      <c r="M1381" t="s">
        <v>26</v>
      </c>
      <c r="N1381" t="s">
        <v>3966</v>
      </c>
      <c r="P1381">
        <f t="shared" si="21"/>
        <v>0.29999268042746302</v>
      </c>
    </row>
    <row r="1382" spans="1:16" x14ac:dyDescent="0.25">
      <c r="A1382" t="s">
        <v>3298</v>
      </c>
      <c r="B1382" s="1">
        <v>45539</v>
      </c>
      <c r="C1382" t="s">
        <v>3299</v>
      </c>
      <c r="D1382" t="s">
        <v>91</v>
      </c>
      <c r="E1382">
        <v>1751.7</v>
      </c>
      <c r="F1382">
        <v>9</v>
      </c>
      <c r="G1382">
        <v>525.51</v>
      </c>
      <c r="H1382">
        <v>0.15</v>
      </c>
      <c r="I1382" t="s">
        <v>3299</v>
      </c>
      <c r="J1382" t="s">
        <v>1536</v>
      </c>
      <c r="K1382" t="s">
        <v>71</v>
      </c>
      <c r="L1382" t="s">
        <v>25</v>
      </c>
      <c r="M1382" t="s">
        <v>26</v>
      </c>
      <c r="N1382" t="s">
        <v>3966</v>
      </c>
      <c r="P1382">
        <f t="shared" si="21"/>
        <v>0.3</v>
      </c>
    </row>
    <row r="1383" spans="1:16" x14ac:dyDescent="0.25">
      <c r="A1383" t="s">
        <v>3300</v>
      </c>
      <c r="B1383" s="1">
        <v>45656</v>
      </c>
      <c r="C1383" t="s">
        <v>3301</v>
      </c>
      <c r="D1383" t="s">
        <v>91</v>
      </c>
      <c r="E1383">
        <v>6393.5</v>
      </c>
      <c r="F1383">
        <v>19</v>
      </c>
      <c r="G1383">
        <v>1918.05</v>
      </c>
      <c r="H1383">
        <v>0</v>
      </c>
      <c r="I1383" t="s">
        <v>3301</v>
      </c>
      <c r="J1383" t="s">
        <v>787</v>
      </c>
      <c r="K1383" t="s">
        <v>17</v>
      </c>
      <c r="L1383" t="s">
        <v>1329</v>
      </c>
      <c r="M1383" t="s">
        <v>61</v>
      </c>
      <c r="N1383" t="s">
        <v>3968</v>
      </c>
      <c r="P1383">
        <f t="shared" si="21"/>
        <v>0.3</v>
      </c>
    </row>
    <row r="1384" spans="1:16" x14ac:dyDescent="0.25">
      <c r="A1384" t="s">
        <v>3302</v>
      </c>
      <c r="B1384" s="1">
        <v>45332</v>
      </c>
      <c r="C1384" t="s">
        <v>3303</v>
      </c>
      <c r="D1384" t="s">
        <v>41</v>
      </c>
      <c r="E1384">
        <v>7408.62</v>
      </c>
      <c r="F1384">
        <v>18</v>
      </c>
      <c r="G1384">
        <v>2222.59</v>
      </c>
      <c r="H1384">
        <v>0</v>
      </c>
      <c r="I1384" t="s">
        <v>3303</v>
      </c>
      <c r="J1384" t="s">
        <v>2081</v>
      </c>
      <c r="K1384" t="s">
        <v>17</v>
      </c>
      <c r="L1384" t="s">
        <v>3304</v>
      </c>
      <c r="M1384" t="s">
        <v>632</v>
      </c>
      <c r="N1384" t="s">
        <v>3968</v>
      </c>
      <c r="P1384">
        <f t="shared" si="21"/>
        <v>0.30000053991161652</v>
      </c>
    </row>
    <row r="1385" spans="1:16" x14ac:dyDescent="0.25">
      <c r="A1385" t="s">
        <v>3305</v>
      </c>
      <c r="B1385" s="1">
        <v>45176</v>
      </c>
      <c r="C1385" t="s">
        <v>3306</v>
      </c>
      <c r="D1385" t="s">
        <v>41</v>
      </c>
      <c r="E1385">
        <v>366.77</v>
      </c>
      <c r="F1385">
        <v>1</v>
      </c>
      <c r="G1385">
        <v>110.03</v>
      </c>
      <c r="H1385">
        <v>0.15</v>
      </c>
      <c r="I1385" t="s">
        <v>3306</v>
      </c>
      <c r="J1385" t="s">
        <v>3307</v>
      </c>
      <c r="K1385" t="s">
        <v>38</v>
      </c>
      <c r="L1385" t="s">
        <v>3308</v>
      </c>
      <c r="M1385" t="s">
        <v>354</v>
      </c>
      <c r="N1385" t="s">
        <v>3968</v>
      </c>
      <c r="P1385">
        <f t="shared" si="21"/>
        <v>0.29999727349565125</v>
      </c>
    </row>
    <row r="1386" spans="1:16" x14ac:dyDescent="0.25">
      <c r="A1386" t="s">
        <v>3309</v>
      </c>
      <c r="B1386" s="1">
        <v>45149</v>
      </c>
      <c r="C1386" t="s">
        <v>3310</v>
      </c>
      <c r="D1386" t="s">
        <v>15</v>
      </c>
      <c r="E1386">
        <v>8917.02</v>
      </c>
      <c r="F1386">
        <v>18</v>
      </c>
      <c r="G1386">
        <v>2675.11</v>
      </c>
      <c r="H1386">
        <v>0</v>
      </c>
      <c r="I1386" t="s">
        <v>3310</v>
      </c>
      <c r="J1386" t="s">
        <v>109</v>
      </c>
      <c r="K1386" t="s">
        <v>17</v>
      </c>
      <c r="L1386" t="s">
        <v>3311</v>
      </c>
      <c r="M1386" t="s">
        <v>705</v>
      </c>
      <c r="N1386" t="s">
        <v>3968</v>
      </c>
      <c r="P1386">
        <f t="shared" si="21"/>
        <v>0.30000044858035529</v>
      </c>
    </row>
    <row r="1387" spans="1:16" x14ac:dyDescent="0.25">
      <c r="A1387" t="s">
        <v>3312</v>
      </c>
      <c r="B1387" s="1">
        <v>44997</v>
      </c>
      <c r="C1387" t="s">
        <v>3313</v>
      </c>
      <c r="D1387" t="s">
        <v>22</v>
      </c>
      <c r="E1387">
        <v>537.48</v>
      </c>
      <c r="F1387">
        <v>4</v>
      </c>
      <c r="G1387">
        <v>161.24</v>
      </c>
      <c r="H1387">
        <v>0.1</v>
      </c>
      <c r="I1387" t="s">
        <v>3313</v>
      </c>
      <c r="J1387" t="s">
        <v>2894</v>
      </c>
      <c r="K1387" t="s">
        <v>71</v>
      </c>
      <c r="L1387" t="s">
        <v>3314</v>
      </c>
      <c r="M1387" t="s">
        <v>26</v>
      </c>
      <c r="N1387" t="s">
        <v>3968</v>
      </c>
      <c r="P1387">
        <f t="shared" si="21"/>
        <v>0.29999255786261814</v>
      </c>
    </row>
    <row r="1388" spans="1:16" x14ac:dyDescent="0.25">
      <c r="A1388" t="s">
        <v>3315</v>
      </c>
      <c r="B1388" s="1">
        <v>45014</v>
      </c>
      <c r="C1388" t="s">
        <v>3316</v>
      </c>
      <c r="D1388" t="s">
        <v>29</v>
      </c>
      <c r="E1388">
        <v>2915.51</v>
      </c>
      <c r="F1388">
        <v>18</v>
      </c>
      <c r="G1388">
        <v>874.65</v>
      </c>
      <c r="H1388">
        <v>0.1</v>
      </c>
      <c r="I1388" t="s">
        <v>3316</v>
      </c>
      <c r="J1388" t="s">
        <v>3317</v>
      </c>
      <c r="K1388" t="s">
        <v>38</v>
      </c>
      <c r="L1388" t="s">
        <v>3318</v>
      </c>
      <c r="M1388" t="s">
        <v>111</v>
      </c>
      <c r="N1388" t="s">
        <v>3968</v>
      </c>
      <c r="P1388">
        <f t="shared" si="21"/>
        <v>0.29999897102050754</v>
      </c>
    </row>
    <row r="1389" spans="1:16" x14ac:dyDescent="0.25">
      <c r="A1389" t="s">
        <v>3319</v>
      </c>
      <c r="B1389" s="1">
        <v>45705</v>
      </c>
      <c r="C1389" t="s">
        <v>3320</v>
      </c>
      <c r="D1389" t="s">
        <v>36</v>
      </c>
      <c r="E1389">
        <v>3982.91</v>
      </c>
      <c r="F1389">
        <v>11</v>
      </c>
      <c r="G1389">
        <v>1194.8699999999999</v>
      </c>
      <c r="H1389">
        <v>0.05</v>
      </c>
      <c r="I1389" t="s">
        <v>3320</v>
      </c>
      <c r="J1389" t="s">
        <v>3197</v>
      </c>
      <c r="K1389" t="s">
        <v>24</v>
      </c>
      <c r="L1389" t="s">
        <v>388</v>
      </c>
      <c r="M1389" t="s">
        <v>266</v>
      </c>
      <c r="N1389" t="s">
        <v>3968</v>
      </c>
      <c r="P1389">
        <f t="shared" si="21"/>
        <v>0.29999924678187556</v>
      </c>
    </row>
    <row r="1390" spans="1:16" x14ac:dyDescent="0.25">
      <c r="A1390" t="s">
        <v>3321</v>
      </c>
      <c r="B1390" s="1">
        <v>45298</v>
      </c>
      <c r="C1390" t="s">
        <v>3322</v>
      </c>
      <c r="D1390" t="s">
        <v>36</v>
      </c>
      <c r="E1390">
        <v>2159.4499999999998</v>
      </c>
      <c r="F1390">
        <v>5</v>
      </c>
      <c r="G1390">
        <v>647.83000000000004</v>
      </c>
      <c r="H1390">
        <v>0.05</v>
      </c>
      <c r="I1390" t="s">
        <v>3322</v>
      </c>
      <c r="J1390" t="s">
        <v>402</v>
      </c>
      <c r="K1390" t="s">
        <v>31</v>
      </c>
      <c r="L1390" t="s">
        <v>574</v>
      </c>
      <c r="M1390" t="s">
        <v>56</v>
      </c>
      <c r="N1390" t="s">
        <v>3968</v>
      </c>
      <c r="P1390">
        <f t="shared" si="21"/>
        <v>0.29999768459561466</v>
      </c>
    </row>
    <row r="1391" spans="1:16" x14ac:dyDescent="0.25">
      <c r="A1391" t="s">
        <v>3323</v>
      </c>
      <c r="B1391" s="1">
        <v>44940</v>
      </c>
      <c r="C1391" t="s">
        <v>3324</v>
      </c>
      <c r="D1391" t="s">
        <v>22</v>
      </c>
      <c r="E1391">
        <v>3466.37</v>
      </c>
      <c r="F1391">
        <v>17</v>
      </c>
      <c r="G1391">
        <v>1039.9100000000001</v>
      </c>
      <c r="H1391">
        <v>0.1</v>
      </c>
      <c r="I1391" t="s">
        <v>3324</v>
      </c>
      <c r="J1391" t="s">
        <v>767</v>
      </c>
      <c r="K1391" t="s">
        <v>17</v>
      </c>
      <c r="L1391" t="s">
        <v>72</v>
      </c>
      <c r="M1391" t="s">
        <v>26</v>
      </c>
      <c r="N1391" t="s">
        <v>3968</v>
      </c>
      <c r="P1391">
        <f t="shared" si="21"/>
        <v>0.2999997115137738</v>
      </c>
    </row>
    <row r="1392" spans="1:16" x14ac:dyDescent="0.25">
      <c r="A1392" t="s">
        <v>3325</v>
      </c>
      <c r="B1392" s="1">
        <v>45294</v>
      </c>
      <c r="C1392" t="s">
        <v>3326</v>
      </c>
      <c r="D1392" t="s">
        <v>15</v>
      </c>
      <c r="E1392">
        <v>265.82</v>
      </c>
      <c r="F1392">
        <v>2</v>
      </c>
      <c r="G1392">
        <v>79.75</v>
      </c>
      <c r="H1392">
        <v>0</v>
      </c>
      <c r="I1392" t="s">
        <v>3326</v>
      </c>
      <c r="J1392" t="s">
        <v>2054</v>
      </c>
      <c r="K1392" t="s">
        <v>71</v>
      </c>
      <c r="L1392" t="s">
        <v>50</v>
      </c>
      <c r="M1392" t="s">
        <v>51</v>
      </c>
      <c r="N1392" t="s">
        <v>3968</v>
      </c>
      <c r="P1392">
        <f t="shared" si="21"/>
        <v>0.30001504777669102</v>
      </c>
    </row>
    <row r="1393" spans="1:16" x14ac:dyDescent="0.25">
      <c r="A1393" t="s">
        <v>3327</v>
      </c>
      <c r="B1393" s="1">
        <v>45163</v>
      </c>
      <c r="C1393" t="s">
        <v>3328</v>
      </c>
      <c r="D1393" t="s">
        <v>29</v>
      </c>
      <c r="E1393">
        <v>71.38</v>
      </c>
      <c r="F1393">
        <v>2</v>
      </c>
      <c r="G1393">
        <v>21.41</v>
      </c>
      <c r="H1393">
        <v>0</v>
      </c>
      <c r="I1393" t="s">
        <v>3328</v>
      </c>
      <c r="J1393" t="s">
        <v>3329</v>
      </c>
      <c r="K1393" t="s">
        <v>24</v>
      </c>
      <c r="L1393" t="s">
        <v>143</v>
      </c>
      <c r="M1393" t="s">
        <v>144</v>
      </c>
      <c r="N1393" t="s">
        <v>3968</v>
      </c>
      <c r="P1393">
        <f t="shared" si="21"/>
        <v>0.29994396189408801</v>
      </c>
    </row>
    <row r="1394" spans="1:16" x14ac:dyDescent="0.25">
      <c r="A1394" t="s">
        <v>3330</v>
      </c>
      <c r="B1394" s="1">
        <v>45793</v>
      </c>
      <c r="C1394" t="s">
        <v>3331</v>
      </c>
      <c r="D1394" t="s">
        <v>29</v>
      </c>
      <c r="E1394">
        <v>2304.84</v>
      </c>
      <c r="F1394">
        <v>6</v>
      </c>
      <c r="G1394">
        <v>691.45</v>
      </c>
      <c r="H1394">
        <v>0.15</v>
      </c>
      <c r="I1394" t="s">
        <v>3331</v>
      </c>
      <c r="J1394" t="s">
        <v>451</v>
      </c>
      <c r="K1394" t="s">
        <v>31</v>
      </c>
      <c r="L1394" t="s">
        <v>99</v>
      </c>
      <c r="M1394" t="s">
        <v>56</v>
      </c>
      <c r="N1394" t="s">
        <v>3968</v>
      </c>
      <c r="P1394">
        <f t="shared" si="21"/>
        <v>0.29999913226080771</v>
      </c>
    </row>
    <row r="1395" spans="1:16" x14ac:dyDescent="0.25">
      <c r="A1395" t="s">
        <v>3332</v>
      </c>
      <c r="B1395" s="1">
        <v>45290</v>
      </c>
      <c r="C1395" t="s">
        <v>3333</v>
      </c>
      <c r="D1395" t="s">
        <v>15</v>
      </c>
      <c r="E1395">
        <v>1798.63</v>
      </c>
      <c r="F1395">
        <v>7</v>
      </c>
      <c r="G1395">
        <v>539.59</v>
      </c>
      <c r="H1395">
        <v>0.05</v>
      </c>
      <c r="I1395" t="s">
        <v>3333</v>
      </c>
      <c r="J1395" t="s">
        <v>3167</v>
      </c>
      <c r="K1395" t="s">
        <v>24</v>
      </c>
      <c r="L1395" t="s">
        <v>164</v>
      </c>
      <c r="M1395" t="s">
        <v>165</v>
      </c>
      <c r="N1395" t="s">
        <v>3967</v>
      </c>
      <c r="P1395">
        <f t="shared" si="21"/>
        <v>0.30000055597871711</v>
      </c>
    </row>
    <row r="1396" spans="1:16" x14ac:dyDescent="0.25">
      <c r="A1396" t="s">
        <v>3334</v>
      </c>
      <c r="B1396" s="1">
        <v>45571</v>
      </c>
      <c r="C1396" t="s">
        <v>3335</v>
      </c>
      <c r="D1396" t="s">
        <v>22</v>
      </c>
      <c r="E1396">
        <v>684.93</v>
      </c>
      <c r="F1396">
        <v>13</v>
      </c>
      <c r="G1396">
        <v>205.48</v>
      </c>
      <c r="H1396">
        <v>0.05</v>
      </c>
      <c r="I1396" t="s">
        <v>3335</v>
      </c>
      <c r="J1396" t="s">
        <v>1037</v>
      </c>
      <c r="K1396" t="s">
        <v>24</v>
      </c>
      <c r="L1396" t="s">
        <v>1510</v>
      </c>
      <c r="M1396" t="s">
        <v>354</v>
      </c>
      <c r="N1396" t="s">
        <v>3967</v>
      </c>
      <c r="P1396">
        <f t="shared" si="21"/>
        <v>0.30000146000321204</v>
      </c>
    </row>
    <row r="1397" spans="1:16" x14ac:dyDescent="0.25">
      <c r="A1397" t="s">
        <v>376</v>
      </c>
      <c r="B1397" s="1">
        <v>44997</v>
      </c>
      <c r="C1397" t="s">
        <v>377</v>
      </c>
      <c r="D1397" t="s">
        <v>91</v>
      </c>
      <c r="E1397">
        <v>7443.48</v>
      </c>
      <c r="F1397">
        <v>17</v>
      </c>
      <c r="G1397">
        <v>2233.0500000000002</v>
      </c>
      <c r="H1397">
        <v>0.15</v>
      </c>
      <c r="I1397" t="s">
        <v>377</v>
      </c>
      <c r="J1397" t="s">
        <v>3336</v>
      </c>
      <c r="K1397" t="s">
        <v>38</v>
      </c>
      <c r="L1397" t="s">
        <v>746</v>
      </c>
      <c r="M1397" t="s">
        <v>244</v>
      </c>
      <c r="N1397" t="s">
        <v>3967</v>
      </c>
      <c r="P1397">
        <f t="shared" si="21"/>
        <v>0.30000080607457807</v>
      </c>
    </row>
    <row r="1398" spans="1:16" x14ac:dyDescent="0.25">
      <c r="A1398" t="s">
        <v>379</v>
      </c>
      <c r="B1398" s="1">
        <v>45612</v>
      </c>
      <c r="C1398" t="s">
        <v>377</v>
      </c>
      <c r="D1398" t="s">
        <v>91</v>
      </c>
      <c r="E1398">
        <v>9870.1200000000008</v>
      </c>
      <c r="F1398">
        <v>20</v>
      </c>
      <c r="G1398">
        <v>2961.04</v>
      </c>
      <c r="H1398">
        <v>0.1</v>
      </c>
      <c r="I1398" t="s">
        <v>377</v>
      </c>
      <c r="J1398" t="s">
        <v>3336</v>
      </c>
      <c r="K1398" t="s">
        <v>38</v>
      </c>
      <c r="L1398" t="s">
        <v>746</v>
      </c>
      <c r="M1398" t="s">
        <v>244</v>
      </c>
      <c r="N1398" t="s">
        <v>3966</v>
      </c>
      <c r="P1398">
        <f t="shared" si="21"/>
        <v>0.30000040526356314</v>
      </c>
    </row>
    <row r="1399" spans="1:16" x14ac:dyDescent="0.25">
      <c r="A1399" t="s">
        <v>3337</v>
      </c>
      <c r="B1399" s="1">
        <v>45388</v>
      </c>
      <c r="C1399" t="s">
        <v>3338</v>
      </c>
      <c r="D1399" t="s">
        <v>22</v>
      </c>
      <c r="E1399">
        <v>256.63</v>
      </c>
      <c r="F1399">
        <v>1</v>
      </c>
      <c r="G1399">
        <v>76.989999999999995</v>
      </c>
      <c r="H1399">
        <v>0</v>
      </c>
      <c r="I1399" t="s">
        <v>3338</v>
      </c>
      <c r="J1399" t="s">
        <v>2472</v>
      </c>
      <c r="K1399" t="s">
        <v>31</v>
      </c>
      <c r="L1399" t="s">
        <v>470</v>
      </c>
      <c r="M1399" t="s">
        <v>33</v>
      </c>
      <c r="N1399" t="s">
        <v>3966</v>
      </c>
      <c r="P1399">
        <f t="shared" si="21"/>
        <v>0.30000389666056188</v>
      </c>
    </row>
    <row r="1400" spans="1:16" x14ac:dyDescent="0.25">
      <c r="A1400" t="s">
        <v>3339</v>
      </c>
      <c r="B1400" s="1">
        <v>44946</v>
      </c>
      <c r="C1400" t="s">
        <v>3340</v>
      </c>
      <c r="D1400" t="s">
        <v>91</v>
      </c>
      <c r="E1400">
        <v>1611.16</v>
      </c>
      <c r="F1400">
        <v>4</v>
      </c>
      <c r="G1400">
        <v>483.35</v>
      </c>
      <c r="H1400">
        <v>0.05</v>
      </c>
      <c r="I1400" t="s">
        <v>3340</v>
      </c>
      <c r="J1400" t="s">
        <v>2997</v>
      </c>
      <c r="K1400" t="s">
        <v>31</v>
      </c>
      <c r="L1400" t="s">
        <v>3341</v>
      </c>
      <c r="M1400" t="s">
        <v>412</v>
      </c>
      <c r="N1400" t="s">
        <v>3966</v>
      </c>
      <c r="P1400">
        <f t="shared" si="21"/>
        <v>0.30000124134164202</v>
      </c>
    </row>
    <row r="1401" spans="1:16" x14ac:dyDescent="0.25">
      <c r="A1401" t="s">
        <v>3342</v>
      </c>
      <c r="B1401" s="1">
        <v>45481</v>
      </c>
      <c r="C1401" t="s">
        <v>3343</v>
      </c>
      <c r="D1401" t="s">
        <v>15</v>
      </c>
      <c r="E1401">
        <v>1109.93</v>
      </c>
      <c r="F1401">
        <v>15</v>
      </c>
      <c r="G1401">
        <v>332.98</v>
      </c>
      <c r="H1401">
        <v>0.05</v>
      </c>
      <c r="I1401" t="s">
        <v>3343</v>
      </c>
      <c r="J1401" t="s">
        <v>2862</v>
      </c>
      <c r="K1401" t="s">
        <v>71</v>
      </c>
      <c r="L1401" t="s">
        <v>25</v>
      </c>
      <c r="M1401" t="s">
        <v>26</v>
      </c>
      <c r="N1401" t="s">
        <v>3966</v>
      </c>
      <c r="P1401">
        <f t="shared" si="21"/>
        <v>0.30000090095771803</v>
      </c>
    </row>
    <row r="1402" spans="1:16" x14ac:dyDescent="0.25">
      <c r="A1402" t="s">
        <v>3344</v>
      </c>
      <c r="B1402" s="1">
        <v>45205</v>
      </c>
      <c r="C1402" t="s">
        <v>3345</v>
      </c>
      <c r="D1402" t="s">
        <v>22</v>
      </c>
      <c r="E1402">
        <v>136.22999999999999</v>
      </c>
      <c r="F1402">
        <v>12</v>
      </c>
      <c r="G1402">
        <v>40.869999999999997</v>
      </c>
      <c r="H1402">
        <v>0.05</v>
      </c>
      <c r="I1402" t="s">
        <v>3345</v>
      </c>
      <c r="J1402" t="s">
        <v>947</v>
      </c>
      <c r="K1402" t="s">
        <v>31</v>
      </c>
      <c r="L1402" t="s">
        <v>82</v>
      </c>
      <c r="M1402" t="s">
        <v>83</v>
      </c>
      <c r="N1402" t="s">
        <v>3968</v>
      </c>
      <c r="P1402">
        <f t="shared" si="21"/>
        <v>0.30000734052704986</v>
      </c>
    </row>
    <row r="1403" spans="1:16" x14ac:dyDescent="0.25">
      <c r="A1403" t="s">
        <v>456</v>
      </c>
      <c r="B1403" s="1">
        <v>45180</v>
      </c>
      <c r="C1403" t="s">
        <v>457</v>
      </c>
      <c r="D1403" t="s">
        <v>29</v>
      </c>
      <c r="E1403">
        <v>422.42</v>
      </c>
      <c r="F1403">
        <v>7</v>
      </c>
      <c r="G1403">
        <v>126.72</v>
      </c>
      <c r="H1403">
        <v>0.1</v>
      </c>
      <c r="I1403" t="s">
        <v>457</v>
      </c>
      <c r="J1403" t="s">
        <v>877</v>
      </c>
      <c r="K1403" t="s">
        <v>17</v>
      </c>
      <c r="L1403" t="s">
        <v>3346</v>
      </c>
      <c r="M1403" t="s">
        <v>201</v>
      </c>
      <c r="N1403" t="s">
        <v>3968</v>
      </c>
      <c r="P1403">
        <f t="shared" si="21"/>
        <v>0.29998579612707732</v>
      </c>
    </row>
    <row r="1404" spans="1:16" x14ac:dyDescent="0.25">
      <c r="A1404" t="s">
        <v>460</v>
      </c>
      <c r="B1404" s="1">
        <v>45820</v>
      </c>
      <c r="C1404" t="s">
        <v>457</v>
      </c>
      <c r="D1404" t="s">
        <v>41</v>
      </c>
      <c r="E1404">
        <v>6616.66</v>
      </c>
      <c r="F1404">
        <v>16</v>
      </c>
      <c r="G1404">
        <v>1985</v>
      </c>
      <c r="H1404">
        <v>0.1</v>
      </c>
      <c r="I1404" t="s">
        <v>457</v>
      </c>
      <c r="J1404" t="s">
        <v>877</v>
      </c>
      <c r="K1404" t="s">
        <v>17</v>
      </c>
      <c r="L1404" t="s">
        <v>3346</v>
      </c>
      <c r="M1404" t="s">
        <v>201</v>
      </c>
      <c r="N1404" t="s">
        <v>3968</v>
      </c>
      <c r="P1404">
        <f t="shared" si="21"/>
        <v>0.30000030226730706</v>
      </c>
    </row>
    <row r="1405" spans="1:16" x14ac:dyDescent="0.25">
      <c r="A1405" t="s">
        <v>3347</v>
      </c>
      <c r="B1405" s="1">
        <v>45183</v>
      </c>
      <c r="C1405" t="s">
        <v>3348</v>
      </c>
      <c r="D1405" t="s">
        <v>22</v>
      </c>
      <c r="E1405">
        <v>1908.12</v>
      </c>
      <c r="F1405">
        <v>19</v>
      </c>
      <c r="G1405">
        <v>572.44000000000005</v>
      </c>
      <c r="H1405">
        <v>0.15</v>
      </c>
      <c r="I1405" t="s">
        <v>3348</v>
      </c>
      <c r="J1405" t="s">
        <v>196</v>
      </c>
      <c r="K1405" t="s">
        <v>31</v>
      </c>
      <c r="L1405" t="s">
        <v>330</v>
      </c>
      <c r="M1405" t="s">
        <v>26</v>
      </c>
      <c r="N1405" t="s">
        <v>3968</v>
      </c>
      <c r="P1405">
        <f t="shared" si="21"/>
        <v>0.3000020963042157</v>
      </c>
    </row>
    <row r="1406" spans="1:16" x14ac:dyDescent="0.25">
      <c r="A1406" t="s">
        <v>804</v>
      </c>
      <c r="B1406" s="1">
        <v>45236</v>
      </c>
      <c r="C1406" t="s">
        <v>805</v>
      </c>
      <c r="D1406" t="s">
        <v>41</v>
      </c>
      <c r="E1406">
        <v>1556.79</v>
      </c>
      <c r="F1406">
        <v>16</v>
      </c>
      <c r="G1406">
        <v>467.04</v>
      </c>
      <c r="H1406">
        <v>0.15</v>
      </c>
      <c r="I1406" t="s">
        <v>805</v>
      </c>
      <c r="J1406" t="s">
        <v>3098</v>
      </c>
      <c r="K1406" t="s">
        <v>31</v>
      </c>
      <c r="L1406" t="s">
        <v>143</v>
      </c>
      <c r="M1406" t="s">
        <v>144</v>
      </c>
      <c r="N1406" t="s">
        <v>3968</v>
      </c>
      <c r="P1406">
        <f t="shared" si="21"/>
        <v>0.30000192704218298</v>
      </c>
    </row>
    <row r="1407" spans="1:16" x14ac:dyDescent="0.25">
      <c r="A1407" t="s">
        <v>807</v>
      </c>
      <c r="B1407" s="1">
        <v>45289</v>
      </c>
      <c r="C1407" t="s">
        <v>805</v>
      </c>
      <c r="D1407" t="s">
        <v>41</v>
      </c>
      <c r="E1407">
        <v>162.11000000000001</v>
      </c>
      <c r="F1407">
        <v>1</v>
      </c>
      <c r="G1407">
        <v>48.63</v>
      </c>
      <c r="H1407">
        <v>0.1</v>
      </c>
      <c r="I1407" t="s">
        <v>805</v>
      </c>
      <c r="J1407" t="s">
        <v>3098</v>
      </c>
      <c r="K1407" t="s">
        <v>31</v>
      </c>
      <c r="L1407" t="s">
        <v>143</v>
      </c>
      <c r="M1407" t="s">
        <v>144</v>
      </c>
      <c r="N1407" t="s">
        <v>3968</v>
      </c>
      <c r="P1407">
        <f t="shared" si="21"/>
        <v>0.29998149404725188</v>
      </c>
    </row>
    <row r="1408" spans="1:16" x14ac:dyDescent="0.25">
      <c r="A1408" t="s">
        <v>3349</v>
      </c>
      <c r="B1408" s="1">
        <v>45466</v>
      </c>
      <c r="C1408" t="s">
        <v>3350</v>
      </c>
      <c r="D1408" t="s">
        <v>48</v>
      </c>
      <c r="E1408">
        <v>277.01</v>
      </c>
      <c r="F1408">
        <v>9</v>
      </c>
      <c r="G1408">
        <v>83.1</v>
      </c>
      <c r="H1408">
        <v>0.15</v>
      </c>
      <c r="I1408" t="s">
        <v>3350</v>
      </c>
      <c r="J1408" t="s">
        <v>2422</v>
      </c>
      <c r="K1408" t="s">
        <v>31</v>
      </c>
      <c r="L1408" t="s">
        <v>1081</v>
      </c>
      <c r="M1408" t="s">
        <v>412</v>
      </c>
      <c r="N1408" t="s">
        <v>3968</v>
      </c>
      <c r="P1408">
        <f t="shared" si="21"/>
        <v>0.29998917006606257</v>
      </c>
    </row>
    <row r="1409" spans="1:16" x14ac:dyDescent="0.25">
      <c r="A1409" t="s">
        <v>3351</v>
      </c>
      <c r="B1409" s="1">
        <v>45015</v>
      </c>
      <c r="C1409" t="s">
        <v>3352</v>
      </c>
      <c r="D1409" t="s">
        <v>41</v>
      </c>
      <c r="E1409">
        <v>473.22</v>
      </c>
      <c r="F1409">
        <v>10</v>
      </c>
      <c r="G1409">
        <v>141.97</v>
      </c>
      <c r="H1409">
        <v>0.1</v>
      </c>
      <c r="I1409" t="s">
        <v>3352</v>
      </c>
      <c r="J1409" t="s">
        <v>3353</v>
      </c>
      <c r="K1409" t="s">
        <v>71</v>
      </c>
      <c r="L1409" t="s">
        <v>50</v>
      </c>
      <c r="M1409" t="s">
        <v>51</v>
      </c>
      <c r="N1409" t="s">
        <v>3966</v>
      </c>
      <c r="P1409">
        <f t="shared" si="21"/>
        <v>0.30000845272811799</v>
      </c>
    </row>
    <row r="1410" spans="1:16" x14ac:dyDescent="0.25">
      <c r="A1410" t="s">
        <v>3354</v>
      </c>
      <c r="B1410" s="1">
        <v>45570</v>
      </c>
      <c r="C1410" t="s">
        <v>3355</v>
      </c>
      <c r="D1410" t="s">
        <v>22</v>
      </c>
      <c r="E1410">
        <v>1470.2</v>
      </c>
      <c r="F1410">
        <v>6</v>
      </c>
      <c r="G1410">
        <v>441.06</v>
      </c>
      <c r="H1410">
        <v>0.1</v>
      </c>
      <c r="I1410" t="s">
        <v>3355</v>
      </c>
      <c r="J1410" t="s">
        <v>1965</v>
      </c>
      <c r="K1410" t="s">
        <v>17</v>
      </c>
      <c r="L1410" t="s">
        <v>143</v>
      </c>
      <c r="M1410" t="s">
        <v>144</v>
      </c>
      <c r="N1410" t="s">
        <v>3966</v>
      </c>
      <c r="P1410">
        <f t="shared" si="21"/>
        <v>0.3</v>
      </c>
    </row>
    <row r="1411" spans="1:16" x14ac:dyDescent="0.25">
      <c r="A1411" t="s">
        <v>3356</v>
      </c>
      <c r="B1411" s="1">
        <v>45004</v>
      </c>
      <c r="C1411" t="s">
        <v>3357</v>
      </c>
      <c r="D1411" t="s">
        <v>36</v>
      </c>
      <c r="E1411">
        <v>1062.25</v>
      </c>
      <c r="F1411">
        <v>10</v>
      </c>
      <c r="G1411">
        <v>318.67</v>
      </c>
      <c r="H1411">
        <v>0.15</v>
      </c>
      <c r="I1411" t="s">
        <v>3357</v>
      </c>
      <c r="J1411" t="s">
        <v>773</v>
      </c>
      <c r="K1411" t="s">
        <v>38</v>
      </c>
      <c r="L1411" t="s">
        <v>3358</v>
      </c>
      <c r="M1411" t="s">
        <v>165</v>
      </c>
      <c r="N1411" t="s">
        <v>3966</v>
      </c>
      <c r="P1411">
        <f t="shared" ref="P1411:P1474" si="22">G1411/E1411</f>
        <v>0.29999529301012007</v>
      </c>
    </row>
    <row r="1412" spans="1:16" x14ac:dyDescent="0.25">
      <c r="A1412" t="s">
        <v>3359</v>
      </c>
      <c r="B1412" s="1">
        <v>45733</v>
      </c>
      <c r="C1412" t="s">
        <v>3360</v>
      </c>
      <c r="D1412" t="s">
        <v>22</v>
      </c>
      <c r="E1412">
        <v>1954.7</v>
      </c>
      <c r="F1412">
        <v>9</v>
      </c>
      <c r="G1412">
        <v>586.41</v>
      </c>
      <c r="H1412">
        <v>0.05</v>
      </c>
      <c r="I1412" t="s">
        <v>3360</v>
      </c>
      <c r="J1412" t="s">
        <v>3361</v>
      </c>
      <c r="K1412" t="s">
        <v>31</v>
      </c>
      <c r="L1412" t="s">
        <v>864</v>
      </c>
      <c r="M1412" t="s">
        <v>44</v>
      </c>
      <c r="N1412" t="s">
        <v>3968</v>
      </c>
      <c r="P1412">
        <f t="shared" si="22"/>
        <v>0.3</v>
      </c>
    </row>
    <row r="1413" spans="1:16" x14ac:dyDescent="0.25">
      <c r="A1413" t="s">
        <v>3362</v>
      </c>
      <c r="B1413" s="1">
        <v>45644</v>
      </c>
      <c r="C1413" t="s">
        <v>3363</v>
      </c>
      <c r="D1413" t="s">
        <v>15</v>
      </c>
      <c r="E1413">
        <v>4809.47</v>
      </c>
      <c r="F1413">
        <v>20</v>
      </c>
      <c r="G1413">
        <v>1442.84</v>
      </c>
      <c r="H1413">
        <v>0.15</v>
      </c>
      <c r="I1413" t="s">
        <v>3363</v>
      </c>
      <c r="J1413" t="s">
        <v>1904</v>
      </c>
      <c r="K1413" t="s">
        <v>38</v>
      </c>
      <c r="L1413" t="s">
        <v>25</v>
      </c>
      <c r="M1413" t="s">
        <v>26</v>
      </c>
      <c r="N1413" t="s">
        <v>3967</v>
      </c>
      <c r="P1413">
        <f t="shared" si="22"/>
        <v>0.2999997920768816</v>
      </c>
    </row>
    <row r="1414" spans="1:16" x14ac:dyDescent="0.25">
      <c r="A1414" t="s">
        <v>3364</v>
      </c>
      <c r="B1414" s="1">
        <v>45663</v>
      </c>
      <c r="C1414" t="s">
        <v>3365</v>
      </c>
      <c r="D1414" t="s">
        <v>91</v>
      </c>
      <c r="E1414">
        <v>1873.01</v>
      </c>
      <c r="F1414">
        <v>17</v>
      </c>
      <c r="G1414">
        <v>561.9</v>
      </c>
      <c r="H1414">
        <v>0.15</v>
      </c>
      <c r="I1414" t="s">
        <v>3365</v>
      </c>
      <c r="J1414" t="s">
        <v>3366</v>
      </c>
      <c r="K1414" t="s">
        <v>71</v>
      </c>
      <c r="L1414" t="s">
        <v>25</v>
      </c>
      <c r="M1414" t="s">
        <v>26</v>
      </c>
      <c r="N1414" t="s">
        <v>3967</v>
      </c>
      <c r="P1414">
        <f t="shared" si="22"/>
        <v>0.29999839830006247</v>
      </c>
    </row>
    <row r="1415" spans="1:16" x14ac:dyDescent="0.25">
      <c r="A1415" t="s">
        <v>3367</v>
      </c>
      <c r="B1415" s="1">
        <v>45671</v>
      </c>
      <c r="C1415" t="s">
        <v>3368</v>
      </c>
      <c r="D1415" t="s">
        <v>48</v>
      </c>
      <c r="E1415">
        <v>925.4</v>
      </c>
      <c r="F1415">
        <v>6</v>
      </c>
      <c r="G1415">
        <v>277.62</v>
      </c>
      <c r="H1415">
        <v>0.05</v>
      </c>
      <c r="I1415" t="s">
        <v>3368</v>
      </c>
      <c r="J1415" t="s">
        <v>1909</v>
      </c>
      <c r="K1415" t="s">
        <v>38</v>
      </c>
      <c r="L1415" t="s">
        <v>143</v>
      </c>
      <c r="M1415" t="s">
        <v>144</v>
      </c>
      <c r="N1415" t="s">
        <v>3966</v>
      </c>
      <c r="P1415">
        <f t="shared" si="22"/>
        <v>0.3</v>
      </c>
    </row>
    <row r="1416" spans="1:16" x14ac:dyDescent="0.25">
      <c r="A1416" t="s">
        <v>3369</v>
      </c>
      <c r="B1416" s="1">
        <v>44952</v>
      </c>
      <c r="C1416" t="s">
        <v>3370</v>
      </c>
      <c r="D1416" t="s">
        <v>41</v>
      </c>
      <c r="E1416">
        <v>2937.48</v>
      </c>
      <c r="F1416">
        <v>14</v>
      </c>
      <c r="G1416">
        <v>881.24</v>
      </c>
      <c r="H1416">
        <v>0</v>
      </c>
      <c r="I1416" t="s">
        <v>3370</v>
      </c>
      <c r="J1416" t="s">
        <v>1694</v>
      </c>
      <c r="K1416" t="s">
        <v>24</v>
      </c>
      <c r="L1416" t="s">
        <v>427</v>
      </c>
      <c r="M1416" t="s">
        <v>56</v>
      </c>
      <c r="N1416" t="s">
        <v>3968</v>
      </c>
      <c r="P1416">
        <f t="shared" si="22"/>
        <v>0.29999863828860113</v>
      </c>
    </row>
    <row r="1417" spans="1:16" x14ac:dyDescent="0.25">
      <c r="A1417" t="s">
        <v>3371</v>
      </c>
      <c r="B1417" s="1">
        <v>45508</v>
      </c>
      <c r="C1417" t="s">
        <v>3372</v>
      </c>
      <c r="D1417" t="s">
        <v>15</v>
      </c>
      <c r="E1417">
        <v>4460.29</v>
      </c>
      <c r="F1417">
        <v>16</v>
      </c>
      <c r="G1417">
        <v>1338.09</v>
      </c>
      <c r="H1417">
        <v>0.05</v>
      </c>
      <c r="I1417" t="s">
        <v>3372</v>
      </c>
      <c r="J1417" t="s">
        <v>510</v>
      </c>
      <c r="K1417" t="s">
        <v>31</v>
      </c>
      <c r="L1417" t="s">
        <v>50</v>
      </c>
      <c r="M1417" t="s">
        <v>51</v>
      </c>
      <c r="N1417" t="s">
        <v>3968</v>
      </c>
      <c r="P1417">
        <f t="shared" si="22"/>
        <v>0.30000067260200569</v>
      </c>
    </row>
    <row r="1418" spans="1:16" x14ac:dyDescent="0.25">
      <c r="A1418" t="s">
        <v>3373</v>
      </c>
      <c r="B1418" s="1">
        <v>45335</v>
      </c>
      <c r="C1418" t="s">
        <v>3374</v>
      </c>
      <c r="D1418" t="s">
        <v>22</v>
      </c>
      <c r="E1418">
        <v>1734.61</v>
      </c>
      <c r="F1418">
        <v>11</v>
      </c>
      <c r="G1418">
        <v>520.38</v>
      </c>
      <c r="H1418">
        <v>0.15</v>
      </c>
      <c r="I1418" t="s">
        <v>3374</v>
      </c>
      <c r="J1418" t="s">
        <v>3215</v>
      </c>
      <c r="K1418" t="s">
        <v>31</v>
      </c>
      <c r="L1418" t="s">
        <v>50</v>
      </c>
      <c r="M1418" t="s">
        <v>51</v>
      </c>
      <c r="N1418" t="s">
        <v>3967</v>
      </c>
      <c r="P1418">
        <f t="shared" si="22"/>
        <v>0.29999827050460914</v>
      </c>
    </row>
    <row r="1419" spans="1:16" x14ac:dyDescent="0.25">
      <c r="A1419" t="s">
        <v>3375</v>
      </c>
      <c r="B1419" s="1">
        <v>44968</v>
      </c>
      <c r="C1419" t="s">
        <v>3376</v>
      </c>
      <c r="D1419" t="s">
        <v>29</v>
      </c>
      <c r="E1419">
        <v>4106.21</v>
      </c>
      <c r="F1419">
        <v>18</v>
      </c>
      <c r="G1419">
        <v>1231.8599999999999</v>
      </c>
      <c r="H1419">
        <v>0.15</v>
      </c>
      <c r="I1419" t="s">
        <v>3376</v>
      </c>
      <c r="J1419" t="s">
        <v>515</v>
      </c>
      <c r="K1419" t="s">
        <v>38</v>
      </c>
      <c r="L1419" t="s">
        <v>318</v>
      </c>
      <c r="M1419" t="s">
        <v>134</v>
      </c>
      <c r="N1419" t="s">
        <v>3967</v>
      </c>
      <c r="P1419">
        <f t="shared" si="22"/>
        <v>0.29999926939927568</v>
      </c>
    </row>
    <row r="1420" spans="1:16" x14ac:dyDescent="0.25">
      <c r="A1420" t="s">
        <v>3377</v>
      </c>
      <c r="B1420" s="1">
        <v>45460</v>
      </c>
      <c r="C1420" t="s">
        <v>3378</v>
      </c>
      <c r="D1420" t="s">
        <v>41</v>
      </c>
      <c r="E1420">
        <v>8862.2099999999991</v>
      </c>
      <c r="F1420">
        <v>18</v>
      </c>
      <c r="G1420">
        <v>2658.66</v>
      </c>
      <c r="H1420">
        <v>0.1</v>
      </c>
      <c r="I1420" t="s">
        <v>3378</v>
      </c>
      <c r="J1420" t="s">
        <v>3379</v>
      </c>
      <c r="K1420" t="s">
        <v>17</v>
      </c>
      <c r="L1420" t="s">
        <v>143</v>
      </c>
      <c r="M1420" t="s">
        <v>144</v>
      </c>
      <c r="N1420" t="s">
        <v>3967</v>
      </c>
      <c r="P1420">
        <f t="shared" si="22"/>
        <v>0.29999966148398649</v>
      </c>
    </row>
    <row r="1421" spans="1:16" x14ac:dyDescent="0.25">
      <c r="A1421" t="s">
        <v>3380</v>
      </c>
      <c r="B1421" s="1">
        <v>45449</v>
      </c>
      <c r="C1421" t="s">
        <v>3381</v>
      </c>
      <c r="D1421" t="s">
        <v>15</v>
      </c>
      <c r="E1421">
        <v>301.08</v>
      </c>
      <c r="F1421">
        <v>1</v>
      </c>
      <c r="G1421">
        <v>90.32</v>
      </c>
      <c r="H1421">
        <v>0.15</v>
      </c>
      <c r="I1421" t="s">
        <v>3381</v>
      </c>
      <c r="J1421" t="s">
        <v>228</v>
      </c>
      <c r="K1421" t="s">
        <v>24</v>
      </c>
      <c r="L1421" t="s">
        <v>25</v>
      </c>
      <c r="M1421" t="s">
        <v>26</v>
      </c>
      <c r="N1421" t="s">
        <v>3967</v>
      </c>
      <c r="P1421">
        <f t="shared" si="22"/>
        <v>0.29998671449448649</v>
      </c>
    </row>
    <row r="1422" spans="1:16" x14ac:dyDescent="0.25">
      <c r="A1422" t="s">
        <v>3382</v>
      </c>
      <c r="B1422" s="1">
        <v>45256</v>
      </c>
      <c r="C1422" t="s">
        <v>3383</v>
      </c>
      <c r="D1422" t="s">
        <v>36</v>
      </c>
      <c r="E1422">
        <v>4290.8999999999996</v>
      </c>
      <c r="F1422">
        <v>18</v>
      </c>
      <c r="G1422">
        <v>1287.27</v>
      </c>
      <c r="H1422">
        <v>0.05</v>
      </c>
      <c r="I1422" t="s">
        <v>3383</v>
      </c>
      <c r="J1422" t="s">
        <v>3384</v>
      </c>
      <c r="K1422" t="s">
        <v>24</v>
      </c>
      <c r="L1422" t="s">
        <v>3385</v>
      </c>
      <c r="M1422" t="s">
        <v>144</v>
      </c>
      <c r="N1422" t="s">
        <v>3967</v>
      </c>
      <c r="P1422">
        <f t="shared" si="22"/>
        <v>0.30000000000000004</v>
      </c>
    </row>
    <row r="1423" spans="1:16" x14ac:dyDescent="0.25">
      <c r="A1423" t="s">
        <v>3386</v>
      </c>
      <c r="B1423" s="1">
        <v>45389</v>
      </c>
      <c r="C1423" t="s">
        <v>3387</v>
      </c>
      <c r="D1423" t="s">
        <v>41</v>
      </c>
      <c r="E1423">
        <v>8984.93</v>
      </c>
      <c r="F1423">
        <v>18</v>
      </c>
      <c r="G1423">
        <v>2695.48</v>
      </c>
      <c r="H1423">
        <v>0.15</v>
      </c>
      <c r="I1423" t="s">
        <v>3387</v>
      </c>
      <c r="J1423" t="s">
        <v>1856</v>
      </c>
      <c r="K1423" t="s">
        <v>71</v>
      </c>
      <c r="L1423" t="s">
        <v>99</v>
      </c>
      <c r="M1423" t="s">
        <v>56</v>
      </c>
      <c r="N1423" t="s">
        <v>3967</v>
      </c>
      <c r="P1423">
        <f t="shared" si="22"/>
        <v>0.30000011129747256</v>
      </c>
    </row>
    <row r="1424" spans="1:16" x14ac:dyDescent="0.25">
      <c r="A1424" t="s">
        <v>3388</v>
      </c>
      <c r="B1424" s="1">
        <v>44960</v>
      </c>
      <c r="C1424" t="s">
        <v>3389</v>
      </c>
      <c r="D1424" t="s">
        <v>29</v>
      </c>
      <c r="E1424">
        <v>876.12</v>
      </c>
      <c r="F1424">
        <v>2</v>
      </c>
      <c r="G1424">
        <v>262.83999999999997</v>
      </c>
      <c r="H1424">
        <v>0</v>
      </c>
      <c r="I1424" t="s">
        <v>3389</v>
      </c>
      <c r="J1424" t="s">
        <v>3390</v>
      </c>
      <c r="K1424" t="s">
        <v>71</v>
      </c>
      <c r="L1424" t="s">
        <v>3391</v>
      </c>
      <c r="M1424" t="s">
        <v>139</v>
      </c>
      <c r="N1424" t="s">
        <v>3967</v>
      </c>
      <c r="P1424">
        <f t="shared" si="22"/>
        <v>0.30000456558462307</v>
      </c>
    </row>
    <row r="1425" spans="1:16" x14ac:dyDescent="0.25">
      <c r="A1425" t="s">
        <v>3392</v>
      </c>
      <c r="B1425" s="1">
        <v>45621</v>
      </c>
      <c r="C1425" t="s">
        <v>3393</v>
      </c>
      <c r="D1425" t="s">
        <v>36</v>
      </c>
      <c r="E1425">
        <v>72.59</v>
      </c>
      <c r="F1425">
        <v>14</v>
      </c>
      <c r="G1425">
        <v>21.78</v>
      </c>
      <c r="H1425">
        <v>0.15</v>
      </c>
      <c r="I1425" t="s">
        <v>3393</v>
      </c>
      <c r="J1425" t="s">
        <v>1554</v>
      </c>
      <c r="K1425" t="s">
        <v>17</v>
      </c>
      <c r="L1425" t="s">
        <v>488</v>
      </c>
      <c r="M1425" t="s">
        <v>26</v>
      </c>
      <c r="N1425" t="s">
        <v>3967</v>
      </c>
      <c r="P1425">
        <f t="shared" si="22"/>
        <v>0.30004132800661248</v>
      </c>
    </row>
    <row r="1426" spans="1:16" x14ac:dyDescent="0.25">
      <c r="A1426" t="s">
        <v>3394</v>
      </c>
      <c r="B1426" s="1">
        <v>45473</v>
      </c>
      <c r="C1426" t="s">
        <v>3395</v>
      </c>
      <c r="D1426" t="s">
        <v>15</v>
      </c>
      <c r="E1426">
        <v>160.28</v>
      </c>
      <c r="F1426">
        <v>2</v>
      </c>
      <c r="G1426">
        <v>48.08</v>
      </c>
      <c r="H1426">
        <v>0</v>
      </c>
      <c r="I1426" t="s">
        <v>3395</v>
      </c>
      <c r="J1426" t="s">
        <v>1707</v>
      </c>
      <c r="K1426" t="s">
        <v>31</v>
      </c>
      <c r="L1426" t="s">
        <v>72</v>
      </c>
      <c r="M1426" t="s">
        <v>26</v>
      </c>
      <c r="N1426" t="s">
        <v>3967</v>
      </c>
      <c r="P1426">
        <f t="shared" si="22"/>
        <v>0.29997504367357125</v>
      </c>
    </row>
    <row r="1427" spans="1:16" x14ac:dyDescent="0.25">
      <c r="A1427" t="s">
        <v>3396</v>
      </c>
      <c r="B1427" s="1">
        <v>45140</v>
      </c>
      <c r="C1427" t="s">
        <v>3397</v>
      </c>
      <c r="D1427" t="s">
        <v>15</v>
      </c>
      <c r="E1427">
        <v>626.16999999999996</v>
      </c>
      <c r="F1427">
        <v>11</v>
      </c>
      <c r="G1427">
        <v>187.85</v>
      </c>
      <c r="H1427">
        <v>0.15</v>
      </c>
      <c r="I1427" t="s">
        <v>3397</v>
      </c>
      <c r="J1427" t="s">
        <v>1909</v>
      </c>
      <c r="K1427" t="s">
        <v>24</v>
      </c>
      <c r="L1427" t="s">
        <v>719</v>
      </c>
      <c r="M1427" t="s">
        <v>33</v>
      </c>
      <c r="N1427" t="s">
        <v>3967</v>
      </c>
      <c r="P1427">
        <f t="shared" si="22"/>
        <v>0.29999840298960345</v>
      </c>
    </row>
    <row r="1428" spans="1:16" x14ac:dyDescent="0.25">
      <c r="A1428" t="s">
        <v>3398</v>
      </c>
      <c r="B1428" s="1">
        <v>45344</v>
      </c>
      <c r="C1428" t="s">
        <v>3399</v>
      </c>
      <c r="D1428" t="s">
        <v>36</v>
      </c>
      <c r="E1428">
        <v>1088.04</v>
      </c>
      <c r="F1428">
        <v>6</v>
      </c>
      <c r="G1428">
        <v>326.41000000000003</v>
      </c>
      <c r="H1428">
        <v>0</v>
      </c>
      <c r="I1428" t="s">
        <v>3399</v>
      </c>
      <c r="J1428" t="s">
        <v>3400</v>
      </c>
      <c r="K1428" t="s">
        <v>24</v>
      </c>
      <c r="L1428" t="s">
        <v>2442</v>
      </c>
      <c r="M1428" t="s">
        <v>111</v>
      </c>
      <c r="N1428" t="s">
        <v>3967</v>
      </c>
      <c r="P1428">
        <f t="shared" si="22"/>
        <v>0.29999816183228561</v>
      </c>
    </row>
    <row r="1429" spans="1:16" x14ac:dyDescent="0.25">
      <c r="A1429" t="s">
        <v>3401</v>
      </c>
      <c r="B1429" s="1">
        <v>45625</v>
      </c>
      <c r="C1429" t="s">
        <v>3402</v>
      </c>
      <c r="D1429" t="s">
        <v>48</v>
      </c>
      <c r="E1429">
        <v>8122.5</v>
      </c>
      <c r="F1429">
        <v>15</v>
      </c>
      <c r="G1429">
        <v>2436.75</v>
      </c>
      <c r="H1429">
        <v>0.05</v>
      </c>
      <c r="I1429" t="s">
        <v>3402</v>
      </c>
      <c r="J1429" t="s">
        <v>3403</v>
      </c>
      <c r="K1429" t="s">
        <v>31</v>
      </c>
      <c r="L1429" t="s">
        <v>72</v>
      </c>
      <c r="M1429" t="s">
        <v>26</v>
      </c>
      <c r="N1429" t="s">
        <v>3967</v>
      </c>
      <c r="P1429">
        <f t="shared" si="22"/>
        <v>0.3</v>
      </c>
    </row>
    <row r="1430" spans="1:16" x14ac:dyDescent="0.25">
      <c r="A1430" t="s">
        <v>3404</v>
      </c>
      <c r="B1430" s="1">
        <v>45128</v>
      </c>
      <c r="C1430" t="s">
        <v>3405</v>
      </c>
      <c r="D1430" t="s">
        <v>48</v>
      </c>
      <c r="E1430">
        <v>4496.59</v>
      </c>
      <c r="F1430">
        <v>9</v>
      </c>
      <c r="G1430">
        <v>1348.98</v>
      </c>
      <c r="H1430">
        <v>0.15</v>
      </c>
      <c r="I1430" t="s">
        <v>3405</v>
      </c>
      <c r="J1430" t="s">
        <v>477</v>
      </c>
      <c r="K1430" t="s">
        <v>31</v>
      </c>
      <c r="L1430" t="s">
        <v>72</v>
      </c>
      <c r="M1430" t="s">
        <v>26</v>
      </c>
      <c r="N1430" t="s">
        <v>3967</v>
      </c>
      <c r="P1430">
        <f t="shared" si="22"/>
        <v>0.30000066717223495</v>
      </c>
    </row>
    <row r="1431" spans="1:16" x14ac:dyDescent="0.25">
      <c r="A1431" t="s">
        <v>3406</v>
      </c>
      <c r="B1431" s="1">
        <v>45030</v>
      </c>
      <c r="C1431" t="s">
        <v>3407</v>
      </c>
      <c r="D1431" t="s">
        <v>22</v>
      </c>
      <c r="E1431">
        <v>1060.07</v>
      </c>
      <c r="F1431">
        <v>6</v>
      </c>
      <c r="G1431">
        <v>318.02</v>
      </c>
      <c r="H1431">
        <v>0.1</v>
      </c>
      <c r="I1431" t="s">
        <v>3407</v>
      </c>
      <c r="J1431" t="s">
        <v>3001</v>
      </c>
      <c r="K1431" t="s">
        <v>38</v>
      </c>
      <c r="L1431" t="s">
        <v>99</v>
      </c>
      <c r="M1431" t="s">
        <v>56</v>
      </c>
      <c r="N1431" t="s">
        <v>3967</v>
      </c>
      <c r="P1431">
        <f t="shared" si="22"/>
        <v>0.29999905666606924</v>
      </c>
    </row>
    <row r="1432" spans="1:16" x14ac:dyDescent="0.25">
      <c r="A1432" t="s">
        <v>3408</v>
      </c>
      <c r="B1432" s="1">
        <v>44958</v>
      </c>
      <c r="C1432" t="s">
        <v>3409</v>
      </c>
      <c r="D1432" t="s">
        <v>22</v>
      </c>
      <c r="E1432">
        <v>3268.46</v>
      </c>
      <c r="F1432">
        <v>8</v>
      </c>
      <c r="G1432">
        <v>980.54</v>
      </c>
      <c r="H1432">
        <v>0.05</v>
      </c>
      <c r="I1432" t="s">
        <v>3409</v>
      </c>
      <c r="J1432" t="s">
        <v>871</v>
      </c>
      <c r="K1432" t="s">
        <v>31</v>
      </c>
      <c r="L1432" t="s">
        <v>25</v>
      </c>
      <c r="M1432" t="s">
        <v>26</v>
      </c>
      <c r="N1432" t="s">
        <v>3966</v>
      </c>
      <c r="P1432">
        <f t="shared" si="22"/>
        <v>0.30000061190897243</v>
      </c>
    </row>
    <row r="1433" spans="1:16" x14ac:dyDescent="0.25">
      <c r="A1433" t="s">
        <v>3410</v>
      </c>
      <c r="B1433" s="1">
        <v>45473</v>
      </c>
      <c r="C1433" t="s">
        <v>3411</v>
      </c>
      <c r="D1433" t="s">
        <v>48</v>
      </c>
      <c r="E1433">
        <v>5414.47</v>
      </c>
      <c r="F1433">
        <v>14</v>
      </c>
      <c r="G1433">
        <v>1624.34</v>
      </c>
      <c r="H1433">
        <v>0.1</v>
      </c>
      <c r="I1433" t="s">
        <v>3411</v>
      </c>
      <c r="J1433" t="s">
        <v>3062</v>
      </c>
      <c r="K1433" t="s">
        <v>17</v>
      </c>
      <c r="L1433" t="s">
        <v>2830</v>
      </c>
      <c r="M1433" t="s">
        <v>342</v>
      </c>
      <c r="N1433" t="s">
        <v>3966</v>
      </c>
      <c r="P1433">
        <f t="shared" si="22"/>
        <v>0.29999981530971637</v>
      </c>
    </row>
    <row r="1434" spans="1:16" x14ac:dyDescent="0.25">
      <c r="A1434" t="s">
        <v>3412</v>
      </c>
      <c r="B1434" s="1">
        <v>45217</v>
      </c>
      <c r="C1434" t="s">
        <v>3413</v>
      </c>
      <c r="D1434" t="s">
        <v>22</v>
      </c>
      <c r="E1434">
        <v>1655.42</v>
      </c>
      <c r="F1434">
        <v>13</v>
      </c>
      <c r="G1434">
        <v>496.63</v>
      </c>
      <c r="H1434">
        <v>0</v>
      </c>
      <c r="I1434" t="s">
        <v>3413</v>
      </c>
      <c r="J1434" t="s">
        <v>3223</v>
      </c>
      <c r="K1434" t="s">
        <v>38</v>
      </c>
      <c r="L1434" t="s">
        <v>383</v>
      </c>
      <c r="M1434" t="s">
        <v>384</v>
      </c>
      <c r="N1434" t="s">
        <v>3966</v>
      </c>
      <c r="P1434">
        <f t="shared" si="22"/>
        <v>0.30000241630522767</v>
      </c>
    </row>
    <row r="1435" spans="1:16" x14ac:dyDescent="0.25">
      <c r="A1435" t="s">
        <v>3414</v>
      </c>
      <c r="B1435" s="1">
        <v>45477</v>
      </c>
      <c r="C1435" t="s">
        <v>3415</v>
      </c>
      <c r="D1435" t="s">
        <v>48</v>
      </c>
      <c r="E1435">
        <v>2405.23</v>
      </c>
      <c r="F1435">
        <v>6</v>
      </c>
      <c r="G1435">
        <v>721.57</v>
      </c>
      <c r="H1435">
        <v>0.05</v>
      </c>
      <c r="I1435" t="s">
        <v>3415</v>
      </c>
      <c r="J1435" t="s">
        <v>3416</v>
      </c>
      <c r="K1435" t="s">
        <v>17</v>
      </c>
      <c r="L1435" t="s">
        <v>470</v>
      </c>
      <c r="M1435" t="s">
        <v>33</v>
      </c>
      <c r="N1435" t="s">
        <v>3966</v>
      </c>
      <c r="P1435">
        <f t="shared" si="22"/>
        <v>0.30000041576065495</v>
      </c>
    </row>
    <row r="1436" spans="1:16" x14ac:dyDescent="0.25">
      <c r="A1436" t="s">
        <v>3417</v>
      </c>
      <c r="B1436" s="1">
        <v>45477</v>
      </c>
      <c r="C1436" t="s">
        <v>3418</v>
      </c>
      <c r="D1436" t="s">
        <v>91</v>
      </c>
      <c r="E1436">
        <v>959.18</v>
      </c>
      <c r="F1436">
        <v>5</v>
      </c>
      <c r="G1436">
        <v>287.75</v>
      </c>
      <c r="H1436">
        <v>0.15</v>
      </c>
      <c r="I1436" t="s">
        <v>3418</v>
      </c>
      <c r="J1436" t="s">
        <v>780</v>
      </c>
      <c r="K1436" t="s">
        <v>17</v>
      </c>
      <c r="L1436" t="s">
        <v>155</v>
      </c>
      <c r="M1436" t="s">
        <v>111</v>
      </c>
      <c r="N1436" t="s">
        <v>3966</v>
      </c>
      <c r="P1436">
        <f t="shared" si="22"/>
        <v>0.29999582977126299</v>
      </c>
    </row>
    <row r="1437" spans="1:16" x14ac:dyDescent="0.25">
      <c r="A1437" t="s">
        <v>3419</v>
      </c>
      <c r="B1437" s="1">
        <v>45134</v>
      </c>
      <c r="C1437" t="s">
        <v>3420</v>
      </c>
      <c r="D1437" t="s">
        <v>48</v>
      </c>
      <c r="E1437">
        <v>2737.94</v>
      </c>
      <c r="F1437">
        <v>10</v>
      </c>
      <c r="G1437">
        <v>821.38</v>
      </c>
      <c r="H1437">
        <v>0.15</v>
      </c>
      <c r="I1437" t="s">
        <v>3420</v>
      </c>
      <c r="J1437" t="s">
        <v>1877</v>
      </c>
      <c r="K1437" t="s">
        <v>31</v>
      </c>
      <c r="L1437" t="s">
        <v>2672</v>
      </c>
      <c r="M1437" t="s">
        <v>266</v>
      </c>
      <c r="N1437" t="s">
        <v>3966</v>
      </c>
      <c r="P1437">
        <f t="shared" si="22"/>
        <v>0.29999926952380257</v>
      </c>
    </row>
    <row r="1438" spans="1:16" x14ac:dyDescent="0.25">
      <c r="A1438" t="s">
        <v>3421</v>
      </c>
      <c r="B1438" s="1">
        <v>45717</v>
      </c>
      <c r="C1438" t="s">
        <v>3422</v>
      </c>
      <c r="D1438" t="s">
        <v>29</v>
      </c>
      <c r="E1438">
        <v>795.34</v>
      </c>
      <c r="F1438">
        <v>4</v>
      </c>
      <c r="G1438">
        <v>238.6</v>
      </c>
      <c r="H1438">
        <v>0.05</v>
      </c>
      <c r="I1438" t="s">
        <v>3422</v>
      </c>
      <c r="J1438" t="s">
        <v>1224</v>
      </c>
      <c r="K1438" t="s">
        <v>71</v>
      </c>
      <c r="L1438" t="s">
        <v>99</v>
      </c>
      <c r="M1438" t="s">
        <v>56</v>
      </c>
      <c r="N1438" t="s">
        <v>3966</v>
      </c>
      <c r="P1438">
        <f t="shared" si="22"/>
        <v>0.29999748535217641</v>
      </c>
    </row>
    <row r="1439" spans="1:16" x14ac:dyDescent="0.25">
      <c r="A1439" t="s">
        <v>3423</v>
      </c>
      <c r="B1439" s="1">
        <v>44980</v>
      </c>
      <c r="C1439" t="s">
        <v>3424</v>
      </c>
      <c r="D1439" t="s">
        <v>29</v>
      </c>
      <c r="E1439">
        <v>4696.7</v>
      </c>
      <c r="F1439">
        <v>16</v>
      </c>
      <c r="G1439">
        <v>1409.01</v>
      </c>
      <c r="H1439">
        <v>0.1</v>
      </c>
      <c r="I1439" t="s">
        <v>3424</v>
      </c>
      <c r="J1439" t="s">
        <v>295</v>
      </c>
      <c r="K1439" t="s">
        <v>38</v>
      </c>
      <c r="L1439" t="s">
        <v>411</v>
      </c>
      <c r="M1439" t="s">
        <v>412</v>
      </c>
      <c r="N1439" t="s">
        <v>3966</v>
      </c>
      <c r="P1439">
        <f t="shared" si="22"/>
        <v>0.3</v>
      </c>
    </row>
    <row r="1440" spans="1:16" x14ac:dyDescent="0.25">
      <c r="A1440" t="s">
        <v>3425</v>
      </c>
      <c r="B1440" s="1">
        <v>44937</v>
      </c>
      <c r="C1440" t="s">
        <v>3426</v>
      </c>
      <c r="D1440" t="s">
        <v>48</v>
      </c>
      <c r="E1440">
        <v>6700.46</v>
      </c>
      <c r="F1440">
        <v>13</v>
      </c>
      <c r="G1440">
        <v>2010.14</v>
      </c>
      <c r="H1440">
        <v>0</v>
      </c>
      <c r="I1440" t="s">
        <v>3426</v>
      </c>
      <c r="J1440" t="s">
        <v>2509</v>
      </c>
      <c r="K1440" t="s">
        <v>17</v>
      </c>
      <c r="L1440" t="s">
        <v>2830</v>
      </c>
      <c r="M1440" t="s">
        <v>342</v>
      </c>
      <c r="N1440" t="s">
        <v>3966</v>
      </c>
      <c r="P1440">
        <f t="shared" si="22"/>
        <v>0.30000029848696957</v>
      </c>
    </row>
    <row r="1441" spans="1:16" x14ac:dyDescent="0.25">
      <c r="A1441" t="s">
        <v>3427</v>
      </c>
      <c r="B1441" s="1">
        <v>45398</v>
      </c>
      <c r="C1441" t="s">
        <v>3428</v>
      </c>
      <c r="D1441" t="s">
        <v>91</v>
      </c>
      <c r="E1441">
        <v>908.81</v>
      </c>
      <c r="F1441">
        <v>7</v>
      </c>
      <c r="G1441">
        <v>272.64</v>
      </c>
      <c r="H1441">
        <v>0</v>
      </c>
      <c r="I1441" t="s">
        <v>3428</v>
      </c>
      <c r="J1441" t="s">
        <v>3429</v>
      </c>
      <c r="K1441" t="s">
        <v>71</v>
      </c>
      <c r="L1441" t="s">
        <v>99</v>
      </c>
      <c r="M1441" t="s">
        <v>56</v>
      </c>
      <c r="N1441" t="s">
        <v>3966</v>
      </c>
      <c r="P1441">
        <f t="shared" si="22"/>
        <v>0.29999669897998482</v>
      </c>
    </row>
    <row r="1442" spans="1:16" x14ac:dyDescent="0.25">
      <c r="A1442" t="s">
        <v>3430</v>
      </c>
      <c r="B1442" s="1">
        <v>45360</v>
      </c>
      <c r="C1442" t="s">
        <v>3431</v>
      </c>
      <c r="D1442" t="s">
        <v>48</v>
      </c>
      <c r="E1442">
        <v>6074.82</v>
      </c>
      <c r="F1442">
        <v>17</v>
      </c>
      <c r="G1442">
        <v>1822.45</v>
      </c>
      <c r="H1442">
        <v>0.05</v>
      </c>
      <c r="I1442" t="s">
        <v>3431</v>
      </c>
      <c r="J1442" t="s">
        <v>3416</v>
      </c>
      <c r="K1442" t="s">
        <v>38</v>
      </c>
      <c r="L1442" t="s">
        <v>32</v>
      </c>
      <c r="M1442" t="s">
        <v>33</v>
      </c>
      <c r="N1442" t="s">
        <v>3966</v>
      </c>
      <c r="P1442">
        <f t="shared" si="22"/>
        <v>0.30000065845572382</v>
      </c>
    </row>
    <row r="1443" spans="1:16" x14ac:dyDescent="0.25">
      <c r="A1443" t="s">
        <v>3432</v>
      </c>
      <c r="B1443" s="1">
        <v>45572</v>
      </c>
      <c r="C1443" t="s">
        <v>3433</v>
      </c>
      <c r="D1443" t="s">
        <v>36</v>
      </c>
      <c r="E1443">
        <v>3083.68</v>
      </c>
      <c r="F1443">
        <v>8</v>
      </c>
      <c r="G1443">
        <v>925.1</v>
      </c>
      <c r="H1443">
        <v>0</v>
      </c>
      <c r="I1443" t="s">
        <v>3433</v>
      </c>
      <c r="J1443" t="s">
        <v>605</v>
      </c>
      <c r="K1443" t="s">
        <v>24</v>
      </c>
      <c r="L1443" t="s">
        <v>3054</v>
      </c>
      <c r="M1443" t="s">
        <v>865</v>
      </c>
      <c r="N1443" t="s">
        <v>3966</v>
      </c>
      <c r="P1443">
        <f t="shared" si="22"/>
        <v>0.29999870284854463</v>
      </c>
    </row>
    <row r="1444" spans="1:16" x14ac:dyDescent="0.25">
      <c r="A1444" t="s">
        <v>3434</v>
      </c>
      <c r="B1444" s="1">
        <v>45205</v>
      </c>
      <c r="C1444" t="s">
        <v>3435</v>
      </c>
      <c r="D1444" t="s">
        <v>41</v>
      </c>
      <c r="E1444">
        <v>948.26</v>
      </c>
      <c r="F1444">
        <v>2</v>
      </c>
      <c r="G1444">
        <v>284.48</v>
      </c>
      <c r="H1444">
        <v>0</v>
      </c>
      <c r="I1444" t="s">
        <v>3435</v>
      </c>
      <c r="J1444" t="s">
        <v>1741</v>
      </c>
      <c r="K1444" t="s">
        <v>71</v>
      </c>
      <c r="L1444" t="s">
        <v>82</v>
      </c>
      <c r="M1444" t="s">
        <v>83</v>
      </c>
      <c r="N1444" t="s">
        <v>3967</v>
      </c>
      <c r="P1444">
        <f t="shared" si="22"/>
        <v>0.30000210912618902</v>
      </c>
    </row>
    <row r="1445" spans="1:16" x14ac:dyDescent="0.25">
      <c r="A1445" t="s">
        <v>3436</v>
      </c>
      <c r="B1445" s="1">
        <v>45024</v>
      </c>
      <c r="C1445" t="s">
        <v>3437</v>
      </c>
      <c r="D1445" t="s">
        <v>48</v>
      </c>
      <c r="E1445">
        <v>7212.92</v>
      </c>
      <c r="F1445">
        <v>15</v>
      </c>
      <c r="G1445">
        <v>2163.88</v>
      </c>
      <c r="H1445">
        <v>0.05</v>
      </c>
      <c r="I1445" t="s">
        <v>3437</v>
      </c>
      <c r="J1445" t="s">
        <v>3438</v>
      </c>
      <c r="K1445" t="s">
        <v>71</v>
      </c>
      <c r="L1445" t="s">
        <v>3439</v>
      </c>
      <c r="M1445" t="s">
        <v>26</v>
      </c>
      <c r="N1445" t="s">
        <v>3967</v>
      </c>
      <c r="P1445">
        <f t="shared" si="22"/>
        <v>0.30000055456042768</v>
      </c>
    </row>
    <row r="1446" spans="1:16" x14ac:dyDescent="0.25">
      <c r="A1446" t="s">
        <v>3440</v>
      </c>
      <c r="B1446" s="1">
        <v>45342</v>
      </c>
      <c r="C1446" t="s">
        <v>3441</v>
      </c>
      <c r="D1446" t="s">
        <v>22</v>
      </c>
      <c r="E1446">
        <v>57.27</v>
      </c>
      <c r="F1446">
        <v>1</v>
      </c>
      <c r="G1446">
        <v>17.18</v>
      </c>
      <c r="H1446">
        <v>0.15</v>
      </c>
      <c r="I1446" t="s">
        <v>3441</v>
      </c>
      <c r="J1446" t="s">
        <v>1185</v>
      </c>
      <c r="K1446" t="s">
        <v>24</v>
      </c>
      <c r="L1446" t="s">
        <v>1118</v>
      </c>
      <c r="M1446" t="s">
        <v>266</v>
      </c>
      <c r="N1446" t="s">
        <v>3966</v>
      </c>
      <c r="P1446">
        <f t="shared" si="22"/>
        <v>0.29998253885105636</v>
      </c>
    </row>
    <row r="1447" spans="1:16" x14ac:dyDescent="0.25">
      <c r="A1447" t="s">
        <v>3442</v>
      </c>
      <c r="B1447" s="1">
        <v>44956</v>
      </c>
      <c r="C1447" t="s">
        <v>3443</v>
      </c>
      <c r="D1447" t="s">
        <v>36</v>
      </c>
      <c r="E1447">
        <v>3497.33</v>
      </c>
      <c r="F1447">
        <v>15</v>
      </c>
      <c r="G1447">
        <v>1049.2</v>
      </c>
      <c r="H1447">
        <v>0.15</v>
      </c>
      <c r="I1447" t="s">
        <v>3443</v>
      </c>
      <c r="J1447" t="s">
        <v>3297</v>
      </c>
      <c r="K1447" t="s">
        <v>71</v>
      </c>
      <c r="L1447" t="s">
        <v>72</v>
      </c>
      <c r="M1447" t="s">
        <v>26</v>
      </c>
      <c r="N1447" t="s">
        <v>3968</v>
      </c>
      <c r="P1447">
        <f t="shared" si="22"/>
        <v>0.30000028593241129</v>
      </c>
    </row>
    <row r="1448" spans="1:16" x14ac:dyDescent="0.25">
      <c r="A1448" t="s">
        <v>3444</v>
      </c>
      <c r="B1448" s="1">
        <v>45058</v>
      </c>
      <c r="C1448" t="s">
        <v>3445</v>
      </c>
      <c r="D1448" t="s">
        <v>48</v>
      </c>
      <c r="E1448">
        <v>668.96</v>
      </c>
      <c r="F1448">
        <v>2</v>
      </c>
      <c r="G1448">
        <v>200.69</v>
      </c>
      <c r="H1448">
        <v>0</v>
      </c>
      <c r="I1448" t="s">
        <v>3445</v>
      </c>
      <c r="J1448" t="s">
        <v>3446</v>
      </c>
      <c r="K1448" t="s">
        <v>24</v>
      </c>
      <c r="L1448" t="s">
        <v>326</v>
      </c>
      <c r="M1448" t="s">
        <v>160</v>
      </c>
      <c r="N1448" t="s">
        <v>3968</v>
      </c>
      <c r="P1448">
        <f t="shared" si="22"/>
        <v>0.30000298971537909</v>
      </c>
    </row>
    <row r="1449" spans="1:16" x14ac:dyDescent="0.25">
      <c r="A1449" t="s">
        <v>3447</v>
      </c>
      <c r="B1449" s="1">
        <v>45299</v>
      </c>
      <c r="C1449" t="s">
        <v>3448</v>
      </c>
      <c r="D1449" t="s">
        <v>36</v>
      </c>
      <c r="E1449">
        <v>3347.47</v>
      </c>
      <c r="F1449">
        <v>7</v>
      </c>
      <c r="G1449">
        <v>1004.24</v>
      </c>
      <c r="H1449">
        <v>0.15</v>
      </c>
      <c r="I1449" t="s">
        <v>3448</v>
      </c>
      <c r="J1449" t="s">
        <v>3449</v>
      </c>
      <c r="K1449" t="s">
        <v>24</v>
      </c>
      <c r="L1449" t="s">
        <v>82</v>
      </c>
      <c r="M1449" t="s">
        <v>83</v>
      </c>
      <c r="N1449" t="s">
        <v>3968</v>
      </c>
      <c r="P1449">
        <f t="shared" si="22"/>
        <v>0.29999970126692699</v>
      </c>
    </row>
    <row r="1450" spans="1:16" x14ac:dyDescent="0.25">
      <c r="A1450" t="s">
        <v>226</v>
      </c>
      <c r="B1450" s="1">
        <v>45448</v>
      </c>
      <c r="C1450" t="s">
        <v>227</v>
      </c>
      <c r="D1450" t="s">
        <v>48</v>
      </c>
      <c r="E1450">
        <v>95.36</v>
      </c>
      <c r="F1450">
        <v>7</v>
      </c>
      <c r="G1450">
        <v>28.61</v>
      </c>
      <c r="H1450">
        <v>0.05</v>
      </c>
      <c r="I1450" t="s">
        <v>227</v>
      </c>
      <c r="J1450" t="s">
        <v>1793</v>
      </c>
      <c r="K1450" t="s">
        <v>31</v>
      </c>
      <c r="L1450" t="s">
        <v>3278</v>
      </c>
      <c r="M1450" t="s">
        <v>632</v>
      </c>
      <c r="N1450" t="s">
        <v>3967</v>
      </c>
      <c r="P1450">
        <f t="shared" si="22"/>
        <v>0.30002097315436244</v>
      </c>
    </row>
    <row r="1451" spans="1:16" x14ac:dyDescent="0.25">
      <c r="A1451" t="s">
        <v>229</v>
      </c>
      <c r="B1451" s="1">
        <v>45300</v>
      </c>
      <c r="C1451" t="s">
        <v>227</v>
      </c>
      <c r="D1451" t="s">
        <v>91</v>
      </c>
      <c r="E1451">
        <v>3961.14</v>
      </c>
      <c r="F1451">
        <v>8</v>
      </c>
      <c r="G1451">
        <v>1188.3399999999999</v>
      </c>
      <c r="H1451">
        <v>0.15</v>
      </c>
      <c r="I1451" t="s">
        <v>227</v>
      </c>
      <c r="J1451" t="s">
        <v>1793</v>
      </c>
      <c r="K1451" t="s">
        <v>31</v>
      </c>
      <c r="L1451" t="s">
        <v>3278</v>
      </c>
      <c r="M1451" t="s">
        <v>632</v>
      </c>
      <c r="N1451" t="s">
        <v>3967</v>
      </c>
      <c r="P1451">
        <f t="shared" si="22"/>
        <v>0.29999949509484641</v>
      </c>
    </row>
    <row r="1452" spans="1:16" x14ac:dyDescent="0.25">
      <c r="A1452" t="s">
        <v>3450</v>
      </c>
      <c r="B1452" s="1">
        <v>45798</v>
      </c>
      <c r="C1452" t="s">
        <v>3451</v>
      </c>
      <c r="D1452" t="s">
        <v>22</v>
      </c>
      <c r="E1452">
        <v>343.73</v>
      </c>
      <c r="F1452">
        <v>11</v>
      </c>
      <c r="G1452">
        <v>103.12</v>
      </c>
      <c r="H1452">
        <v>0.1</v>
      </c>
      <c r="I1452" t="s">
        <v>3451</v>
      </c>
      <c r="J1452" t="s">
        <v>174</v>
      </c>
      <c r="K1452" t="s">
        <v>17</v>
      </c>
      <c r="L1452" t="s">
        <v>330</v>
      </c>
      <c r="M1452" t="s">
        <v>26</v>
      </c>
      <c r="N1452" t="s">
        <v>3966</v>
      </c>
      <c r="P1452">
        <f t="shared" si="22"/>
        <v>0.30000290926017514</v>
      </c>
    </row>
    <row r="1453" spans="1:16" x14ac:dyDescent="0.25">
      <c r="A1453" t="s">
        <v>3452</v>
      </c>
      <c r="B1453" s="1">
        <v>45798</v>
      </c>
      <c r="C1453" t="s">
        <v>3453</v>
      </c>
      <c r="D1453" t="s">
        <v>36</v>
      </c>
      <c r="E1453">
        <v>105.42</v>
      </c>
      <c r="F1453">
        <v>7</v>
      </c>
      <c r="G1453">
        <v>31.63</v>
      </c>
      <c r="H1453">
        <v>0</v>
      </c>
      <c r="I1453" t="s">
        <v>3453</v>
      </c>
      <c r="J1453" t="s">
        <v>3384</v>
      </c>
      <c r="K1453" t="s">
        <v>17</v>
      </c>
      <c r="L1453" t="s">
        <v>289</v>
      </c>
      <c r="M1453" t="s">
        <v>160</v>
      </c>
      <c r="N1453" t="s">
        <v>3967</v>
      </c>
      <c r="P1453">
        <f t="shared" si="22"/>
        <v>0.30003794346423829</v>
      </c>
    </row>
    <row r="1454" spans="1:16" x14ac:dyDescent="0.25">
      <c r="A1454" t="s">
        <v>3454</v>
      </c>
      <c r="B1454" s="1">
        <v>44990</v>
      </c>
      <c r="C1454" t="s">
        <v>3455</v>
      </c>
      <c r="D1454" t="s">
        <v>41</v>
      </c>
      <c r="E1454">
        <v>5101.38</v>
      </c>
      <c r="F1454">
        <v>11</v>
      </c>
      <c r="G1454">
        <v>1530.41</v>
      </c>
      <c r="H1454">
        <v>0.05</v>
      </c>
      <c r="I1454" t="s">
        <v>3455</v>
      </c>
      <c r="J1454" t="s">
        <v>2099</v>
      </c>
      <c r="K1454" t="s">
        <v>17</v>
      </c>
      <c r="L1454" t="s">
        <v>18</v>
      </c>
      <c r="M1454" t="s">
        <v>19</v>
      </c>
      <c r="N1454" t="s">
        <v>3967</v>
      </c>
      <c r="P1454">
        <f t="shared" si="22"/>
        <v>0.29999921589844319</v>
      </c>
    </row>
    <row r="1455" spans="1:16" x14ac:dyDescent="0.25">
      <c r="A1455" t="s">
        <v>2755</v>
      </c>
      <c r="B1455" s="1">
        <v>45592</v>
      </c>
      <c r="C1455" t="s">
        <v>2756</v>
      </c>
      <c r="D1455" t="s">
        <v>91</v>
      </c>
      <c r="E1455">
        <v>2549.71</v>
      </c>
      <c r="F1455">
        <v>10</v>
      </c>
      <c r="G1455">
        <v>764.91</v>
      </c>
      <c r="H1455">
        <v>0.05</v>
      </c>
      <c r="I1455" t="s">
        <v>2756</v>
      </c>
      <c r="J1455" t="s">
        <v>224</v>
      </c>
      <c r="K1455" t="s">
        <v>24</v>
      </c>
      <c r="L1455" t="s">
        <v>200</v>
      </c>
      <c r="M1455" t="s">
        <v>201</v>
      </c>
      <c r="N1455" t="s">
        <v>3967</v>
      </c>
      <c r="P1455">
        <f t="shared" si="22"/>
        <v>0.29999882339560185</v>
      </c>
    </row>
    <row r="1456" spans="1:16" x14ac:dyDescent="0.25">
      <c r="A1456" t="s">
        <v>2758</v>
      </c>
      <c r="B1456" s="1">
        <v>45545</v>
      </c>
      <c r="C1456" t="s">
        <v>2756</v>
      </c>
      <c r="D1456" t="s">
        <v>48</v>
      </c>
      <c r="E1456">
        <v>4042.78</v>
      </c>
      <c r="F1456">
        <v>9</v>
      </c>
      <c r="G1456">
        <v>1212.83</v>
      </c>
      <c r="H1456">
        <v>0.05</v>
      </c>
      <c r="I1456" t="s">
        <v>2756</v>
      </c>
      <c r="J1456" t="s">
        <v>224</v>
      </c>
      <c r="K1456" t="s">
        <v>24</v>
      </c>
      <c r="L1456" t="s">
        <v>200</v>
      </c>
      <c r="M1456" t="s">
        <v>201</v>
      </c>
      <c r="N1456" t="s">
        <v>3967</v>
      </c>
      <c r="P1456">
        <f t="shared" si="22"/>
        <v>0.29999901058182732</v>
      </c>
    </row>
    <row r="1457" spans="1:16" x14ac:dyDescent="0.25">
      <c r="A1457" t="s">
        <v>3456</v>
      </c>
      <c r="B1457" s="1">
        <v>45740</v>
      </c>
      <c r="C1457" t="s">
        <v>3457</v>
      </c>
      <c r="D1457" t="s">
        <v>91</v>
      </c>
      <c r="E1457">
        <v>288.81</v>
      </c>
      <c r="F1457">
        <v>5</v>
      </c>
      <c r="G1457">
        <v>86.64</v>
      </c>
      <c r="H1457">
        <v>0.1</v>
      </c>
      <c r="I1457" t="s">
        <v>3457</v>
      </c>
      <c r="J1457" t="s">
        <v>2718</v>
      </c>
      <c r="K1457" t="s">
        <v>31</v>
      </c>
      <c r="L1457" t="s">
        <v>3458</v>
      </c>
      <c r="M1457" t="s">
        <v>33</v>
      </c>
      <c r="N1457" t="s">
        <v>3968</v>
      </c>
      <c r="P1457">
        <f t="shared" si="22"/>
        <v>0.29998961254804196</v>
      </c>
    </row>
    <row r="1458" spans="1:16" x14ac:dyDescent="0.25">
      <c r="A1458" t="s">
        <v>3459</v>
      </c>
      <c r="B1458" s="1">
        <v>45556</v>
      </c>
      <c r="C1458" t="s">
        <v>3460</v>
      </c>
      <c r="D1458" t="s">
        <v>22</v>
      </c>
      <c r="E1458">
        <v>6648.34</v>
      </c>
      <c r="F1458">
        <v>15</v>
      </c>
      <c r="G1458">
        <v>1994.5</v>
      </c>
      <c r="H1458">
        <v>0.05</v>
      </c>
      <c r="I1458" t="s">
        <v>3460</v>
      </c>
      <c r="J1458" t="s">
        <v>284</v>
      </c>
      <c r="K1458" t="s">
        <v>71</v>
      </c>
      <c r="L1458" t="s">
        <v>143</v>
      </c>
      <c r="M1458" t="s">
        <v>144</v>
      </c>
      <c r="N1458" t="s">
        <v>3968</v>
      </c>
      <c r="P1458">
        <f t="shared" si="22"/>
        <v>0.29999969917302666</v>
      </c>
    </row>
    <row r="1459" spans="1:16" x14ac:dyDescent="0.25">
      <c r="A1459" t="s">
        <v>3461</v>
      </c>
      <c r="B1459" s="1">
        <v>45795</v>
      </c>
      <c r="C1459" t="s">
        <v>3462</v>
      </c>
      <c r="D1459" t="s">
        <v>29</v>
      </c>
      <c r="E1459">
        <v>3840.58</v>
      </c>
      <c r="F1459">
        <v>8</v>
      </c>
      <c r="G1459">
        <v>1152.18</v>
      </c>
      <c r="H1459">
        <v>0.05</v>
      </c>
      <c r="I1459" t="s">
        <v>3462</v>
      </c>
      <c r="J1459" t="s">
        <v>1328</v>
      </c>
      <c r="K1459" t="s">
        <v>31</v>
      </c>
      <c r="L1459" t="s">
        <v>99</v>
      </c>
      <c r="M1459" t="s">
        <v>56</v>
      </c>
      <c r="N1459" t="s">
        <v>3967</v>
      </c>
      <c r="P1459">
        <f t="shared" si="22"/>
        <v>0.30000156226403307</v>
      </c>
    </row>
    <row r="1460" spans="1:16" x14ac:dyDescent="0.25">
      <c r="A1460" t="s">
        <v>3463</v>
      </c>
      <c r="B1460" s="1">
        <v>45484</v>
      </c>
      <c r="C1460" t="s">
        <v>3464</v>
      </c>
      <c r="D1460" t="s">
        <v>48</v>
      </c>
      <c r="E1460">
        <v>544.04999999999995</v>
      </c>
      <c r="F1460">
        <v>6</v>
      </c>
      <c r="G1460">
        <v>163.22</v>
      </c>
      <c r="H1460">
        <v>0.1</v>
      </c>
      <c r="I1460" t="s">
        <v>3464</v>
      </c>
      <c r="J1460" t="s">
        <v>577</v>
      </c>
      <c r="K1460" t="s">
        <v>17</v>
      </c>
      <c r="L1460" t="s">
        <v>1833</v>
      </c>
      <c r="M1460" t="s">
        <v>33</v>
      </c>
      <c r="N1460" t="s">
        <v>3967</v>
      </c>
      <c r="P1460">
        <f t="shared" si="22"/>
        <v>0.30000919033177098</v>
      </c>
    </row>
    <row r="1461" spans="1:16" x14ac:dyDescent="0.25">
      <c r="A1461" t="s">
        <v>3465</v>
      </c>
      <c r="B1461" s="1">
        <v>45684</v>
      </c>
      <c r="C1461" t="s">
        <v>3466</v>
      </c>
      <c r="D1461" t="s">
        <v>91</v>
      </c>
      <c r="E1461">
        <v>2680.67</v>
      </c>
      <c r="F1461">
        <v>8</v>
      </c>
      <c r="G1461">
        <v>804.2</v>
      </c>
      <c r="H1461">
        <v>0.05</v>
      </c>
      <c r="I1461" t="s">
        <v>3466</v>
      </c>
      <c r="J1461" t="s">
        <v>3290</v>
      </c>
      <c r="K1461" t="s">
        <v>31</v>
      </c>
      <c r="L1461" t="s">
        <v>87</v>
      </c>
      <c r="M1461" t="s">
        <v>67</v>
      </c>
      <c r="N1461" t="s">
        <v>3966</v>
      </c>
      <c r="P1461">
        <f t="shared" si="22"/>
        <v>0.2999996269589319</v>
      </c>
    </row>
    <row r="1462" spans="1:16" x14ac:dyDescent="0.25">
      <c r="A1462" t="s">
        <v>2170</v>
      </c>
      <c r="B1462" s="1">
        <v>45256</v>
      </c>
      <c r="C1462" t="s">
        <v>2171</v>
      </c>
      <c r="D1462" t="s">
        <v>15</v>
      </c>
      <c r="E1462">
        <v>4736.34</v>
      </c>
      <c r="F1462">
        <v>9</v>
      </c>
      <c r="G1462">
        <v>1420.9</v>
      </c>
      <c r="H1462">
        <v>0</v>
      </c>
      <c r="I1462" t="s">
        <v>2171</v>
      </c>
      <c r="J1462" t="s">
        <v>418</v>
      </c>
      <c r="K1462" t="s">
        <v>17</v>
      </c>
      <c r="L1462" t="s">
        <v>3467</v>
      </c>
      <c r="M1462" t="s">
        <v>176</v>
      </c>
      <c r="N1462" t="s">
        <v>3966</v>
      </c>
      <c r="P1462">
        <f t="shared" si="22"/>
        <v>0.2999995777330175</v>
      </c>
    </row>
    <row r="1463" spans="1:16" x14ac:dyDescent="0.25">
      <c r="A1463" t="s">
        <v>2174</v>
      </c>
      <c r="B1463" s="1">
        <v>45725</v>
      </c>
      <c r="C1463" t="s">
        <v>2171</v>
      </c>
      <c r="D1463" t="s">
        <v>22</v>
      </c>
      <c r="E1463">
        <v>506.41</v>
      </c>
      <c r="F1463">
        <v>1</v>
      </c>
      <c r="G1463">
        <v>151.91999999999999</v>
      </c>
      <c r="H1463">
        <v>0</v>
      </c>
      <c r="I1463" t="s">
        <v>2171</v>
      </c>
      <c r="J1463" t="s">
        <v>418</v>
      </c>
      <c r="K1463" t="s">
        <v>17</v>
      </c>
      <c r="L1463" t="s">
        <v>3467</v>
      </c>
      <c r="M1463" t="s">
        <v>176</v>
      </c>
      <c r="N1463" t="s">
        <v>3966</v>
      </c>
      <c r="P1463">
        <f t="shared" si="22"/>
        <v>0.29999407594636751</v>
      </c>
    </row>
    <row r="1464" spans="1:16" x14ac:dyDescent="0.25">
      <c r="A1464" t="s">
        <v>3468</v>
      </c>
      <c r="B1464" s="1">
        <v>45445</v>
      </c>
      <c r="C1464" t="s">
        <v>3469</v>
      </c>
      <c r="D1464" t="s">
        <v>41</v>
      </c>
      <c r="E1464">
        <v>7947.13</v>
      </c>
      <c r="F1464">
        <v>18</v>
      </c>
      <c r="G1464">
        <v>2384.14</v>
      </c>
      <c r="H1464">
        <v>0.15</v>
      </c>
      <c r="I1464" t="s">
        <v>3469</v>
      </c>
      <c r="J1464" t="s">
        <v>1827</v>
      </c>
      <c r="K1464" t="s">
        <v>38</v>
      </c>
      <c r="L1464" t="s">
        <v>143</v>
      </c>
      <c r="M1464" t="s">
        <v>144</v>
      </c>
      <c r="N1464" t="s">
        <v>3967</v>
      </c>
      <c r="P1464">
        <f t="shared" si="22"/>
        <v>0.30000012583158947</v>
      </c>
    </row>
    <row r="1465" spans="1:16" x14ac:dyDescent="0.25">
      <c r="A1465" t="s">
        <v>3470</v>
      </c>
      <c r="B1465" s="1">
        <v>44943</v>
      </c>
      <c r="C1465" t="s">
        <v>3471</v>
      </c>
      <c r="D1465" t="s">
        <v>36</v>
      </c>
      <c r="E1465">
        <v>1854.67</v>
      </c>
      <c r="F1465">
        <v>18</v>
      </c>
      <c r="G1465">
        <v>556.4</v>
      </c>
      <c r="H1465">
        <v>0.05</v>
      </c>
      <c r="I1465" t="s">
        <v>3471</v>
      </c>
      <c r="J1465" t="s">
        <v>3472</v>
      </c>
      <c r="K1465" t="s">
        <v>31</v>
      </c>
      <c r="L1465" t="s">
        <v>2672</v>
      </c>
      <c r="M1465" t="s">
        <v>19</v>
      </c>
      <c r="N1465" t="s">
        <v>3967</v>
      </c>
      <c r="P1465">
        <f t="shared" si="22"/>
        <v>0.29999946082052331</v>
      </c>
    </row>
    <row r="1466" spans="1:16" x14ac:dyDescent="0.25">
      <c r="A1466" t="s">
        <v>3473</v>
      </c>
      <c r="B1466" s="1">
        <v>45550</v>
      </c>
      <c r="C1466" t="s">
        <v>3474</v>
      </c>
      <c r="D1466" t="s">
        <v>15</v>
      </c>
      <c r="E1466">
        <v>5225.26</v>
      </c>
      <c r="F1466">
        <v>17</v>
      </c>
      <c r="G1466">
        <v>1567.58</v>
      </c>
      <c r="H1466">
        <v>0.1</v>
      </c>
      <c r="I1466" t="s">
        <v>3474</v>
      </c>
      <c r="J1466" t="s">
        <v>984</v>
      </c>
      <c r="K1466" t="s">
        <v>31</v>
      </c>
      <c r="L1466" t="s">
        <v>3475</v>
      </c>
      <c r="M1466" t="s">
        <v>51</v>
      </c>
      <c r="N1466" t="s">
        <v>3967</v>
      </c>
      <c r="P1466">
        <f t="shared" si="22"/>
        <v>0.30000038275607338</v>
      </c>
    </row>
    <row r="1467" spans="1:16" x14ac:dyDescent="0.25">
      <c r="A1467" t="s">
        <v>3476</v>
      </c>
      <c r="B1467" s="1">
        <v>45780</v>
      </c>
      <c r="C1467" t="s">
        <v>3474</v>
      </c>
      <c r="D1467" t="s">
        <v>29</v>
      </c>
      <c r="E1467">
        <v>5195.3999999999996</v>
      </c>
      <c r="F1467">
        <v>13</v>
      </c>
      <c r="G1467">
        <v>1558.62</v>
      </c>
      <c r="H1467">
        <v>0.05</v>
      </c>
      <c r="I1467" t="s">
        <v>3474</v>
      </c>
      <c r="J1467" t="s">
        <v>984</v>
      </c>
      <c r="K1467" t="s">
        <v>31</v>
      </c>
      <c r="L1467" t="s">
        <v>3475</v>
      </c>
      <c r="M1467" t="s">
        <v>51</v>
      </c>
      <c r="N1467" t="s">
        <v>3966</v>
      </c>
      <c r="P1467">
        <f t="shared" si="22"/>
        <v>0.3</v>
      </c>
    </row>
    <row r="1468" spans="1:16" x14ac:dyDescent="0.25">
      <c r="A1468" t="s">
        <v>3477</v>
      </c>
      <c r="B1468" s="1">
        <v>45662</v>
      </c>
      <c r="C1468" t="s">
        <v>3478</v>
      </c>
      <c r="D1468" t="s">
        <v>41</v>
      </c>
      <c r="E1468">
        <v>85.4</v>
      </c>
      <c r="F1468">
        <v>17</v>
      </c>
      <c r="G1468">
        <v>25.62</v>
      </c>
      <c r="H1468">
        <v>0.15</v>
      </c>
      <c r="I1468" t="s">
        <v>3478</v>
      </c>
      <c r="J1468" t="s">
        <v>1844</v>
      </c>
      <c r="K1468" t="s">
        <v>31</v>
      </c>
      <c r="L1468" t="s">
        <v>143</v>
      </c>
      <c r="M1468" t="s">
        <v>144</v>
      </c>
      <c r="N1468" t="s">
        <v>3966</v>
      </c>
      <c r="P1468">
        <f t="shared" si="22"/>
        <v>0.3</v>
      </c>
    </row>
    <row r="1469" spans="1:16" x14ac:dyDescent="0.25">
      <c r="A1469" t="s">
        <v>3479</v>
      </c>
      <c r="B1469" s="1">
        <v>45556</v>
      </c>
      <c r="C1469" t="s">
        <v>3480</v>
      </c>
      <c r="D1469" t="s">
        <v>22</v>
      </c>
      <c r="E1469">
        <v>2692.9</v>
      </c>
      <c r="F1469">
        <v>10</v>
      </c>
      <c r="G1469">
        <v>807.87</v>
      </c>
      <c r="H1469">
        <v>0</v>
      </c>
      <c r="I1469" t="s">
        <v>3480</v>
      </c>
      <c r="J1469" t="s">
        <v>494</v>
      </c>
      <c r="K1469" t="s">
        <v>17</v>
      </c>
      <c r="L1469" t="s">
        <v>318</v>
      </c>
      <c r="M1469" t="s">
        <v>266</v>
      </c>
      <c r="N1469" t="s">
        <v>3968</v>
      </c>
      <c r="P1469">
        <f t="shared" si="22"/>
        <v>0.3</v>
      </c>
    </row>
    <row r="1470" spans="1:16" x14ac:dyDescent="0.25">
      <c r="A1470" t="s">
        <v>3481</v>
      </c>
      <c r="B1470" s="1">
        <v>45342</v>
      </c>
      <c r="C1470" t="s">
        <v>3480</v>
      </c>
      <c r="D1470" t="s">
        <v>22</v>
      </c>
      <c r="E1470">
        <v>1811.08</v>
      </c>
      <c r="F1470">
        <v>4</v>
      </c>
      <c r="G1470">
        <v>543.32000000000005</v>
      </c>
      <c r="H1470">
        <v>0</v>
      </c>
      <c r="I1470" t="s">
        <v>3480</v>
      </c>
      <c r="J1470" t="s">
        <v>494</v>
      </c>
      <c r="K1470" t="s">
        <v>17</v>
      </c>
      <c r="L1470" t="s">
        <v>318</v>
      </c>
      <c r="M1470" t="s">
        <v>266</v>
      </c>
      <c r="N1470" t="s">
        <v>3967</v>
      </c>
      <c r="P1470">
        <f t="shared" si="22"/>
        <v>0.2999977913731034</v>
      </c>
    </row>
    <row r="1471" spans="1:16" x14ac:dyDescent="0.25">
      <c r="A1471" t="s">
        <v>1414</v>
      </c>
      <c r="B1471" s="1">
        <v>45286</v>
      </c>
      <c r="C1471" t="s">
        <v>1415</v>
      </c>
      <c r="D1471" t="s">
        <v>48</v>
      </c>
      <c r="E1471">
        <v>934.15</v>
      </c>
      <c r="F1471">
        <v>7</v>
      </c>
      <c r="G1471">
        <v>280.25</v>
      </c>
      <c r="H1471">
        <v>0.15</v>
      </c>
      <c r="I1471" t="s">
        <v>1415</v>
      </c>
      <c r="J1471" t="s">
        <v>410</v>
      </c>
      <c r="K1471" t="s">
        <v>31</v>
      </c>
      <c r="L1471" t="s">
        <v>3482</v>
      </c>
      <c r="M1471" t="s">
        <v>111</v>
      </c>
      <c r="N1471" t="s">
        <v>3967</v>
      </c>
      <c r="P1471">
        <f t="shared" si="22"/>
        <v>0.30000535245945514</v>
      </c>
    </row>
    <row r="1472" spans="1:16" x14ac:dyDescent="0.25">
      <c r="A1472" t="s">
        <v>1416</v>
      </c>
      <c r="B1472" s="1">
        <v>45612</v>
      </c>
      <c r="C1472" t="s">
        <v>1415</v>
      </c>
      <c r="D1472" t="s">
        <v>15</v>
      </c>
      <c r="E1472">
        <v>596.16</v>
      </c>
      <c r="F1472">
        <v>4</v>
      </c>
      <c r="G1472">
        <v>178.85</v>
      </c>
      <c r="H1472">
        <v>0.15</v>
      </c>
      <c r="I1472" t="s">
        <v>1415</v>
      </c>
      <c r="J1472" t="s">
        <v>410</v>
      </c>
      <c r="K1472" t="s">
        <v>31</v>
      </c>
      <c r="L1472" t="s">
        <v>3482</v>
      </c>
      <c r="M1472" t="s">
        <v>111</v>
      </c>
      <c r="N1472" t="s">
        <v>3967</v>
      </c>
      <c r="P1472">
        <f t="shared" si="22"/>
        <v>0.30000335480407947</v>
      </c>
    </row>
    <row r="1473" spans="1:16" x14ac:dyDescent="0.25">
      <c r="A1473" t="s">
        <v>3483</v>
      </c>
      <c r="B1473" s="1">
        <v>44992</v>
      </c>
      <c r="C1473" t="s">
        <v>3484</v>
      </c>
      <c r="D1473" t="s">
        <v>41</v>
      </c>
      <c r="E1473">
        <v>5453.51</v>
      </c>
      <c r="F1473">
        <v>11</v>
      </c>
      <c r="G1473">
        <v>1636.05</v>
      </c>
      <c r="H1473">
        <v>0.1</v>
      </c>
      <c r="I1473" t="s">
        <v>3484</v>
      </c>
      <c r="J1473" t="s">
        <v>3485</v>
      </c>
      <c r="K1473" t="s">
        <v>31</v>
      </c>
      <c r="L1473" t="s">
        <v>2396</v>
      </c>
      <c r="M1473" t="s">
        <v>56</v>
      </c>
      <c r="N1473" t="s">
        <v>3967</v>
      </c>
      <c r="P1473">
        <f t="shared" si="22"/>
        <v>0.29999944989557181</v>
      </c>
    </row>
    <row r="1474" spans="1:16" x14ac:dyDescent="0.25">
      <c r="A1474" t="s">
        <v>3486</v>
      </c>
      <c r="B1474" s="1">
        <v>45548</v>
      </c>
      <c r="C1474" t="s">
        <v>3487</v>
      </c>
      <c r="D1474" t="s">
        <v>36</v>
      </c>
      <c r="E1474">
        <v>733.76</v>
      </c>
      <c r="F1474">
        <v>5</v>
      </c>
      <c r="G1474">
        <v>220.13</v>
      </c>
      <c r="H1474">
        <v>0.15</v>
      </c>
      <c r="I1474" t="s">
        <v>3487</v>
      </c>
      <c r="J1474" t="s">
        <v>3140</v>
      </c>
      <c r="K1474" t="s">
        <v>31</v>
      </c>
      <c r="L1474" t="s">
        <v>2428</v>
      </c>
      <c r="M1474" t="s">
        <v>139</v>
      </c>
      <c r="N1474" t="s">
        <v>3967</v>
      </c>
      <c r="P1474">
        <f t="shared" si="22"/>
        <v>0.30000272568687308</v>
      </c>
    </row>
    <row r="1475" spans="1:16" x14ac:dyDescent="0.25">
      <c r="A1475" t="s">
        <v>3488</v>
      </c>
      <c r="B1475" s="1">
        <v>45293</v>
      </c>
      <c r="C1475" t="s">
        <v>3489</v>
      </c>
      <c r="D1475" t="s">
        <v>91</v>
      </c>
      <c r="E1475">
        <v>2324.8000000000002</v>
      </c>
      <c r="F1475">
        <v>16</v>
      </c>
      <c r="G1475">
        <v>697.44</v>
      </c>
      <c r="H1475">
        <v>0</v>
      </c>
      <c r="I1475" t="s">
        <v>3489</v>
      </c>
      <c r="J1475" t="s">
        <v>114</v>
      </c>
      <c r="K1475" t="s">
        <v>17</v>
      </c>
      <c r="L1475" t="s">
        <v>265</v>
      </c>
      <c r="M1475" t="s">
        <v>645</v>
      </c>
      <c r="N1475" t="s">
        <v>3966</v>
      </c>
      <c r="P1475">
        <f t="shared" ref="P1475:P1538" si="23">G1475/E1475</f>
        <v>0.3</v>
      </c>
    </row>
    <row r="1476" spans="1:16" x14ac:dyDescent="0.25">
      <c r="A1476" t="s">
        <v>198</v>
      </c>
      <c r="B1476" s="1">
        <v>45696</v>
      </c>
      <c r="C1476" t="s">
        <v>199</v>
      </c>
      <c r="D1476" t="s">
        <v>41</v>
      </c>
      <c r="E1476">
        <v>606.41999999999996</v>
      </c>
      <c r="F1476">
        <v>10</v>
      </c>
      <c r="G1476">
        <v>181.93</v>
      </c>
      <c r="H1476">
        <v>0.1</v>
      </c>
      <c r="I1476" t="s">
        <v>199</v>
      </c>
      <c r="J1476" t="s">
        <v>760</v>
      </c>
      <c r="K1476" t="s">
        <v>24</v>
      </c>
      <c r="L1476" t="s">
        <v>1485</v>
      </c>
      <c r="M1476" t="s">
        <v>165</v>
      </c>
      <c r="N1476" t="s">
        <v>3968</v>
      </c>
      <c r="P1476">
        <f t="shared" si="23"/>
        <v>0.30000659608851954</v>
      </c>
    </row>
    <row r="1477" spans="1:16" x14ac:dyDescent="0.25">
      <c r="A1477" t="s">
        <v>202</v>
      </c>
      <c r="B1477" s="1">
        <v>45148</v>
      </c>
      <c r="C1477" t="s">
        <v>199</v>
      </c>
      <c r="D1477" t="s">
        <v>41</v>
      </c>
      <c r="E1477">
        <v>2116.44</v>
      </c>
      <c r="F1477">
        <v>5</v>
      </c>
      <c r="G1477">
        <v>634.92999999999995</v>
      </c>
      <c r="H1477">
        <v>0.1</v>
      </c>
      <c r="I1477" t="s">
        <v>199</v>
      </c>
      <c r="J1477" t="s">
        <v>760</v>
      </c>
      <c r="K1477" t="s">
        <v>24</v>
      </c>
      <c r="L1477" t="s">
        <v>1485</v>
      </c>
      <c r="M1477" t="s">
        <v>165</v>
      </c>
      <c r="N1477" t="s">
        <v>3968</v>
      </c>
      <c r="P1477">
        <f t="shared" si="23"/>
        <v>0.29999905501691515</v>
      </c>
    </row>
    <row r="1478" spans="1:16" x14ac:dyDescent="0.25">
      <c r="A1478" t="s">
        <v>3490</v>
      </c>
      <c r="B1478" s="1">
        <v>45242</v>
      </c>
      <c r="C1478" t="s">
        <v>3491</v>
      </c>
      <c r="D1478" t="s">
        <v>41</v>
      </c>
      <c r="E1478">
        <v>2085.5100000000002</v>
      </c>
      <c r="F1478">
        <v>11</v>
      </c>
      <c r="G1478">
        <v>625.65</v>
      </c>
      <c r="H1478">
        <v>0.05</v>
      </c>
      <c r="I1478" t="s">
        <v>3491</v>
      </c>
      <c r="J1478" t="s">
        <v>1255</v>
      </c>
      <c r="K1478" t="s">
        <v>24</v>
      </c>
      <c r="L1478" t="s">
        <v>3492</v>
      </c>
      <c r="M1478" t="s">
        <v>56</v>
      </c>
      <c r="N1478" t="s">
        <v>3968</v>
      </c>
      <c r="P1478">
        <f t="shared" si="23"/>
        <v>0.29999856150294169</v>
      </c>
    </row>
    <row r="1479" spans="1:16" x14ac:dyDescent="0.25">
      <c r="A1479" t="s">
        <v>3493</v>
      </c>
      <c r="B1479" s="1">
        <v>45720</v>
      </c>
      <c r="C1479" t="s">
        <v>3491</v>
      </c>
      <c r="D1479" t="s">
        <v>41</v>
      </c>
      <c r="E1479">
        <v>2116.9499999999998</v>
      </c>
      <c r="F1479">
        <v>15</v>
      </c>
      <c r="G1479">
        <v>635.09</v>
      </c>
      <c r="H1479">
        <v>0</v>
      </c>
      <c r="I1479" t="s">
        <v>3491</v>
      </c>
      <c r="J1479" t="s">
        <v>1255</v>
      </c>
      <c r="K1479" t="s">
        <v>24</v>
      </c>
      <c r="L1479" t="s">
        <v>3492</v>
      </c>
      <c r="M1479" t="s">
        <v>56</v>
      </c>
      <c r="N1479" t="s">
        <v>3966</v>
      </c>
      <c r="P1479">
        <f t="shared" si="23"/>
        <v>0.30000236188856616</v>
      </c>
    </row>
    <row r="1480" spans="1:16" x14ac:dyDescent="0.25">
      <c r="A1480" t="s">
        <v>3494</v>
      </c>
      <c r="B1480" s="1">
        <v>45363</v>
      </c>
      <c r="C1480" t="s">
        <v>3495</v>
      </c>
      <c r="D1480" t="s">
        <v>91</v>
      </c>
      <c r="E1480">
        <v>507.88</v>
      </c>
      <c r="F1480">
        <v>1</v>
      </c>
      <c r="G1480">
        <v>152.36000000000001</v>
      </c>
      <c r="H1480">
        <v>0.05</v>
      </c>
      <c r="I1480" t="s">
        <v>3495</v>
      </c>
      <c r="J1480" t="s">
        <v>1143</v>
      </c>
      <c r="K1480" t="s">
        <v>38</v>
      </c>
      <c r="L1480" t="s">
        <v>143</v>
      </c>
      <c r="M1480" t="s">
        <v>144</v>
      </c>
      <c r="N1480" t="s">
        <v>3966</v>
      </c>
      <c r="P1480">
        <f t="shared" si="23"/>
        <v>0.29999212412380882</v>
      </c>
    </row>
    <row r="1481" spans="1:16" x14ac:dyDescent="0.25">
      <c r="A1481" t="s">
        <v>3496</v>
      </c>
      <c r="B1481" s="1">
        <v>45476</v>
      </c>
      <c r="C1481" t="s">
        <v>3497</v>
      </c>
      <c r="D1481" t="s">
        <v>22</v>
      </c>
      <c r="E1481">
        <v>4788.34</v>
      </c>
      <c r="F1481">
        <v>9</v>
      </c>
      <c r="G1481">
        <v>1436.5</v>
      </c>
      <c r="H1481">
        <v>0.05</v>
      </c>
      <c r="I1481" t="s">
        <v>3497</v>
      </c>
      <c r="J1481" t="s">
        <v>3117</v>
      </c>
      <c r="K1481" t="s">
        <v>17</v>
      </c>
      <c r="L1481" t="s">
        <v>25</v>
      </c>
      <c r="M1481" t="s">
        <v>26</v>
      </c>
      <c r="N1481" t="s">
        <v>3966</v>
      </c>
      <c r="P1481">
        <f t="shared" si="23"/>
        <v>0.29999958231871587</v>
      </c>
    </row>
    <row r="1482" spans="1:16" x14ac:dyDescent="0.25">
      <c r="A1482" t="s">
        <v>3498</v>
      </c>
      <c r="B1482" s="1">
        <v>45662</v>
      </c>
      <c r="C1482" t="s">
        <v>3499</v>
      </c>
      <c r="D1482" t="s">
        <v>15</v>
      </c>
      <c r="E1482">
        <v>1982.3</v>
      </c>
      <c r="F1482">
        <v>8</v>
      </c>
      <c r="G1482">
        <v>594.69000000000005</v>
      </c>
      <c r="H1482">
        <v>0.1</v>
      </c>
      <c r="I1482" t="s">
        <v>3499</v>
      </c>
      <c r="J1482" t="s">
        <v>1488</v>
      </c>
      <c r="K1482" t="s">
        <v>31</v>
      </c>
      <c r="L1482" t="s">
        <v>3500</v>
      </c>
      <c r="M1482" t="s">
        <v>111</v>
      </c>
      <c r="N1482" t="s">
        <v>3966</v>
      </c>
      <c r="P1482">
        <f t="shared" si="23"/>
        <v>0.30000000000000004</v>
      </c>
    </row>
    <row r="1483" spans="1:16" x14ac:dyDescent="0.25">
      <c r="A1483" t="s">
        <v>3501</v>
      </c>
      <c r="B1483" s="1">
        <v>45372</v>
      </c>
      <c r="C1483" t="s">
        <v>3502</v>
      </c>
      <c r="D1483" t="s">
        <v>22</v>
      </c>
      <c r="E1483">
        <v>301.33</v>
      </c>
      <c r="F1483">
        <v>3</v>
      </c>
      <c r="G1483">
        <v>90.4</v>
      </c>
      <c r="H1483">
        <v>0.05</v>
      </c>
      <c r="I1483" t="s">
        <v>3502</v>
      </c>
      <c r="J1483" t="s">
        <v>1179</v>
      </c>
      <c r="K1483" t="s">
        <v>17</v>
      </c>
      <c r="L1483" t="s">
        <v>3503</v>
      </c>
      <c r="M1483" t="s">
        <v>201</v>
      </c>
      <c r="N1483" t="s">
        <v>3966</v>
      </c>
      <c r="P1483">
        <f t="shared" si="23"/>
        <v>0.30000331862078122</v>
      </c>
    </row>
    <row r="1484" spans="1:16" x14ac:dyDescent="0.25">
      <c r="A1484" t="s">
        <v>3504</v>
      </c>
      <c r="B1484" s="1">
        <v>45744</v>
      </c>
      <c r="C1484" t="s">
        <v>3505</v>
      </c>
      <c r="D1484" t="s">
        <v>48</v>
      </c>
      <c r="E1484">
        <v>7678.94</v>
      </c>
      <c r="F1484">
        <v>15</v>
      </c>
      <c r="G1484">
        <v>2303.6799999999998</v>
      </c>
      <c r="H1484">
        <v>0.1</v>
      </c>
      <c r="I1484" t="s">
        <v>3505</v>
      </c>
      <c r="J1484" t="s">
        <v>1358</v>
      </c>
      <c r="K1484" t="s">
        <v>38</v>
      </c>
      <c r="L1484" t="s">
        <v>265</v>
      </c>
      <c r="M1484" t="s">
        <v>139</v>
      </c>
      <c r="N1484" t="s">
        <v>3966</v>
      </c>
      <c r="P1484">
        <f t="shared" si="23"/>
        <v>0.29999973954738546</v>
      </c>
    </row>
    <row r="1485" spans="1:16" x14ac:dyDescent="0.25">
      <c r="A1485" t="s">
        <v>3506</v>
      </c>
      <c r="B1485" s="1">
        <v>45760</v>
      </c>
      <c r="C1485" t="s">
        <v>3507</v>
      </c>
      <c r="D1485" t="s">
        <v>15</v>
      </c>
      <c r="E1485">
        <v>3427.02</v>
      </c>
      <c r="F1485">
        <v>20</v>
      </c>
      <c r="G1485">
        <v>1028.1099999999999</v>
      </c>
      <c r="H1485">
        <v>0.1</v>
      </c>
      <c r="I1485" t="s">
        <v>3507</v>
      </c>
      <c r="J1485" t="s">
        <v>387</v>
      </c>
      <c r="K1485" t="s">
        <v>38</v>
      </c>
      <c r="L1485" t="s">
        <v>143</v>
      </c>
      <c r="M1485" t="s">
        <v>144</v>
      </c>
      <c r="N1485" t="s">
        <v>3966</v>
      </c>
      <c r="P1485">
        <f t="shared" si="23"/>
        <v>0.30000116719482228</v>
      </c>
    </row>
    <row r="1486" spans="1:16" x14ac:dyDescent="0.25">
      <c r="A1486" t="s">
        <v>3508</v>
      </c>
      <c r="B1486" s="1">
        <v>45412</v>
      </c>
      <c r="C1486" t="s">
        <v>3509</v>
      </c>
      <c r="D1486" t="s">
        <v>36</v>
      </c>
      <c r="E1486">
        <v>7822.69</v>
      </c>
      <c r="F1486">
        <v>19</v>
      </c>
      <c r="G1486">
        <v>2346.81</v>
      </c>
      <c r="H1486">
        <v>0.05</v>
      </c>
      <c r="I1486" t="s">
        <v>3509</v>
      </c>
      <c r="J1486" t="s">
        <v>3510</v>
      </c>
      <c r="K1486" t="s">
        <v>71</v>
      </c>
      <c r="L1486" t="s">
        <v>143</v>
      </c>
      <c r="M1486" t="s">
        <v>144</v>
      </c>
      <c r="N1486" t="s">
        <v>3967</v>
      </c>
      <c r="P1486">
        <f t="shared" si="23"/>
        <v>0.30000038349979358</v>
      </c>
    </row>
    <row r="1487" spans="1:16" x14ac:dyDescent="0.25">
      <c r="A1487" t="s">
        <v>3511</v>
      </c>
      <c r="B1487" s="1">
        <v>45703</v>
      </c>
      <c r="C1487" t="s">
        <v>3512</v>
      </c>
      <c r="D1487" t="s">
        <v>22</v>
      </c>
      <c r="E1487">
        <v>78.81</v>
      </c>
      <c r="F1487">
        <v>1</v>
      </c>
      <c r="G1487">
        <v>23.64</v>
      </c>
      <c r="H1487">
        <v>0.15</v>
      </c>
      <c r="I1487" t="s">
        <v>3512</v>
      </c>
      <c r="J1487" t="s">
        <v>3513</v>
      </c>
      <c r="K1487" t="s">
        <v>24</v>
      </c>
      <c r="L1487" t="s">
        <v>774</v>
      </c>
      <c r="M1487" t="s">
        <v>33</v>
      </c>
      <c r="N1487" t="s">
        <v>3966</v>
      </c>
      <c r="P1487">
        <f t="shared" si="23"/>
        <v>0.29996193376475067</v>
      </c>
    </row>
    <row r="1488" spans="1:16" x14ac:dyDescent="0.25">
      <c r="A1488" t="s">
        <v>3514</v>
      </c>
      <c r="B1488" s="1">
        <v>45706</v>
      </c>
      <c r="C1488" t="s">
        <v>3515</v>
      </c>
      <c r="D1488" t="s">
        <v>15</v>
      </c>
      <c r="E1488">
        <v>236.95</v>
      </c>
      <c r="F1488">
        <v>1</v>
      </c>
      <c r="G1488">
        <v>71.09</v>
      </c>
      <c r="H1488">
        <v>0.1</v>
      </c>
      <c r="I1488" t="s">
        <v>3515</v>
      </c>
      <c r="J1488" t="s">
        <v>2067</v>
      </c>
      <c r="K1488" t="s">
        <v>71</v>
      </c>
      <c r="L1488" t="s">
        <v>488</v>
      </c>
      <c r="M1488" t="s">
        <v>26</v>
      </c>
      <c r="N1488" t="s">
        <v>3968</v>
      </c>
      <c r="P1488">
        <f t="shared" si="23"/>
        <v>0.30002110149820638</v>
      </c>
    </row>
    <row r="1489" spans="1:16" x14ac:dyDescent="0.25">
      <c r="A1489" t="s">
        <v>3516</v>
      </c>
      <c r="B1489" s="1">
        <v>45048</v>
      </c>
      <c r="C1489" t="s">
        <v>3517</v>
      </c>
      <c r="D1489" t="s">
        <v>48</v>
      </c>
      <c r="E1489">
        <v>7342.97</v>
      </c>
      <c r="F1489">
        <v>16</v>
      </c>
      <c r="G1489">
        <v>2202.89</v>
      </c>
      <c r="H1489">
        <v>0.05</v>
      </c>
      <c r="I1489" t="s">
        <v>3517</v>
      </c>
      <c r="J1489" t="s">
        <v>2894</v>
      </c>
      <c r="K1489" t="s">
        <v>71</v>
      </c>
      <c r="L1489" t="s">
        <v>574</v>
      </c>
      <c r="M1489" t="s">
        <v>56</v>
      </c>
      <c r="N1489" t="s">
        <v>3968</v>
      </c>
      <c r="P1489">
        <f t="shared" si="23"/>
        <v>0.29999986381532268</v>
      </c>
    </row>
    <row r="1490" spans="1:16" x14ac:dyDescent="0.25">
      <c r="A1490" t="s">
        <v>3518</v>
      </c>
      <c r="B1490" s="1">
        <v>45177</v>
      </c>
      <c r="C1490" t="s">
        <v>3517</v>
      </c>
      <c r="D1490" t="s">
        <v>22</v>
      </c>
      <c r="E1490">
        <v>3944.49</v>
      </c>
      <c r="F1490">
        <v>11</v>
      </c>
      <c r="G1490">
        <v>1183.3499999999999</v>
      </c>
      <c r="H1490">
        <v>0</v>
      </c>
      <c r="I1490" t="s">
        <v>3517</v>
      </c>
      <c r="J1490" t="s">
        <v>2894</v>
      </c>
      <c r="K1490" t="s">
        <v>71</v>
      </c>
      <c r="L1490" t="s">
        <v>574</v>
      </c>
      <c r="M1490" t="s">
        <v>56</v>
      </c>
      <c r="N1490" t="s">
        <v>3968</v>
      </c>
      <c r="P1490">
        <f t="shared" si="23"/>
        <v>0.3000007605545964</v>
      </c>
    </row>
    <row r="1491" spans="1:16" x14ac:dyDescent="0.25">
      <c r="A1491" t="s">
        <v>3519</v>
      </c>
      <c r="B1491" s="1">
        <v>45326</v>
      </c>
      <c r="C1491" t="s">
        <v>3520</v>
      </c>
      <c r="D1491" t="s">
        <v>91</v>
      </c>
      <c r="E1491">
        <v>10719.54</v>
      </c>
      <c r="F1491">
        <v>18</v>
      </c>
      <c r="G1491">
        <v>3215.86</v>
      </c>
      <c r="H1491">
        <v>0</v>
      </c>
      <c r="I1491" t="s">
        <v>3520</v>
      </c>
      <c r="J1491" t="s">
        <v>3521</v>
      </c>
      <c r="K1491" t="s">
        <v>38</v>
      </c>
      <c r="L1491" t="s">
        <v>25</v>
      </c>
      <c r="M1491" t="s">
        <v>26</v>
      </c>
      <c r="N1491" t="s">
        <v>3966</v>
      </c>
      <c r="P1491">
        <f t="shared" si="23"/>
        <v>0.29999981342482979</v>
      </c>
    </row>
    <row r="1492" spans="1:16" x14ac:dyDescent="0.25">
      <c r="A1492" t="s">
        <v>3522</v>
      </c>
      <c r="B1492" s="1">
        <v>45621</v>
      </c>
      <c r="C1492" t="s">
        <v>3523</v>
      </c>
      <c r="D1492" t="s">
        <v>48</v>
      </c>
      <c r="E1492">
        <v>6834.41</v>
      </c>
      <c r="F1492">
        <v>14</v>
      </c>
      <c r="G1492">
        <v>2050.3200000000002</v>
      </c>
      <c r="H1492">
        <v>0.15</v>
      </c>
      <c r="I1492" t="s">
        <v>3523</v>
      </c>
      <c r="J1492" t="s">
        <v>3524</v>
      </c>
      <c r="K1492" t="s">
        <v>31</v>
      </c>
      <c r="L1492" t="s">
        <v>25</v>
      </c>
      <c r="M1492" t="s">
        <v>26</v>
      </c>
      <c r="N1492" t="s">
        <v>3967</v>
      </c>
      <c r="P1492">
        <f t="shared" si="23"/>
        <v>0.29999956104477199</v>
      </c>
    </row>
    <row r="1493" spans="1:16" x14ac:dyDescent="0.25">
      <c r="A1493" t="s">
        <v>3525</v>
      </c>
      <c r="B1493" s="1">
        <v>45656</v>
      </c>
      <c r="C1493" t="s">
        <v>3526</v>
      </c>
      <c r="D1493" t="s">
        <v>15</v>
      </c>
      <c r="E1493">
        <v>7994.34</v>
      </c>
      <c r="F1493">
        <v>18</v>
      </c>
      <c r="G1493">
        <v>2398.3000000000002</v>
      </c>
      <c r="H1493">
        <v>0</v>
      </c>
      <c r="I1493" t="s">
        <v>3526</v>
      </c>
      <c r="J1493" t="s">
        <v>1453</v>
      </c>
      <c r="K1493" t="s">
        <v>31</v>
      </c>
      <c r="L1493" t="s">
        <v>72</v>
      </c>
      <c r="M1493" t="s">
        <v>26</v>
      </c>
      <c r="N1493" t="s">
        <v>3967</v>
      </c>
      <c r="P1493">
        <f t="shared" si="23"/>
        <v>0.29999974982299982</v>
      </c>
    </row>
    <row r="1494" spans="1:16" x14ac:dyDescent="0.25">
      <c r="A1494" t="s">
        <v>3527</v>
      </c>
      <c r="B1494" s="1">
        <v>45174</v>
      </c>
      <c r="C1494" t="s">
        <v>3528</v>
      </c>
      <c r="D1494" t="s">
        <v>91</v>
      </c>
      <c r="E1494">
        <v>7378.14</v>
      </c>
      <c r="F1494">
        <v>19</v>
      </c>
      <c r="G1494">
        <v>2213.44</v>
      </c>
      <c r="H1494">
        <v>0.1</v>
      </c>
      <c r="I1494" t="s">
        <v>3528</v>
      </c>
      <c r="J1494" t="s">
        <v>2300</v>
      </c>
      <c r="K1494" t="s">
        <v>71</v>
      </c>
      <c r="L1494" t="s">
        <v>353</v>
      </c>
      <c r="M1494" t="s">
        <v>354</v>
      </c>
      <c r="N1494" t="s">
        <v>3967</v>
      </c>
      <c r="P1494">
        <f t="shared" si="23"/>
        <v>0.29999972892897125</v>
      </c>
    </row>
    <row r="1495" spans="1:16" x14ac:dyDescent="0.25">
      <c r="A1495" t="s">
        <v>3529</v>
      </c>
      <c r="B1495" s="1">
        <v>45139</v>
      </c>
      <c r="C1495" t="s">
        <v>3530</v>
      </c>
      <c r="D1495" t="s">
        <v>41</v>
      </c>
      <c r="E1495">
        <v>1282.31</v>
      </c>
      <c r="F1495">
        <v>19</v>
      </c>
      <c r="G1495">
        <v>384.69</v>
      </c>
      <c r="H1495">
        <v>0</v>
      </c>
      <c r="I1495" t="s">
        <v>3530</v>
      </c>
      <c r="J1495" t="s">
        <v>3531</v>
      </c>
      <c r="K1495" t="s">
        <v>71</v>
      </c>
      <c r="L1495" t="s">
        <v>3002</v>
      </c>
      <c r="M1495" t="s">
        <v>310</v>
      </c>
      <c r="N1495" t="s">
        <v>3967</v>
      </c>
      <c r="P1495">
        <f t="shared" si="23"/>
        <v>0.29999766047211673</v>
      </c>
    </row>
    <row r="1496" spans="1:16" x14ac:dyDescent="0.25">
      <c r="A1496" t="s">
        <v>3532</v>
      </c>
      <c r="B1496" s="1">
        <v>44932</v>
      </c>
      <c r="C1496" t="s">
        <v>3533</v>
      </c>
      <c r="D1496" t="s">
        <v>91</v>
      </c>
      <c r="E1496">
        <v>240.01</v>
      </c>
      <c r="F1496">
        <v>11</v>
      </c>
      <c r="G1496">
        <v>72</v>
      </c>
      <c r="H1496">
        <v>0.15</v>
      </c>
      <c r="I1496" t="s">
        <v>3533</v>
      </c>
      <c r="J1496" t="s">
        <v>3534</v>
      </c>
      <c r="K1496" t="s">
        <v>38</v>
      </c>
      <c r="L1496" t="s">
        <v>143</v>
      </c>
      <c r="M1496" t="s">
        <v>144</v>
      </c>
      <c r="N1496" t="s">
        <v>3966</v>
      </c>
      <c r="P1496">
        <f t="shared" si="23"/>
        <v>0.29998750052081163</v>
      </c>
    </row>
    <row r="1497" spans="1:16" x14ac:dyDescent="0.25">
      <c r="A1497" t="s">
        <v>3535</v>
      </c>
      <c r="B1497" s="1">
        <v>45779</v>
      </c>
      <c r="C1497" t="s">
        <v>3536</v>
      </c>
      <c r="D1497" t="s">
        <v>22</v>
      </c>
      <c r="E1497">
        <v>1474.76</v>
      </c>
      <c r="F1497">
        <v>4</v>
      </c>
      <c r="G1497">
        <v>442.43</v>
      </c>
      <c r="H1497">
        <v>0</v>
      </c>
      <c r="I1497" t="s">
        <v>3536</v>
      </c>
      <c r="J1497" t="s">
        <v>504</v>
      </c>
      <c r="K1497" t="s">
        <v>38</v>
      </c>
      <c r="L1497" t="s">
        <v>164</v>
      </c>
      <c r="M1497" t="s">
        <v>266</v>
      </c>
      <c r="N1497" t="s">
        <v>3966</v>
      </c>
      <c r="P1497">
        <f t="shared" si="23"/>
        <v>0.30000135615286555</v>
      </c>
    </row>
    <row r="1498" spans="1:16" x14ac:dyDescent="0.25">
      <c r="A1498" t="s">
        <v>3537</v>
      </c>
      <c r="B1498" s="1">
        <v>45281</v>
      </c>
      <c r="C1498" t="s">
        <v>3538</v>
      </c>
      <c r="D1498" t="s">
        <v>48</v>
      </c>
      <c r="E1498">
        <v>1709.12</v>
      </c>
      <c r="F1498">
        <v>7</v>
      </c>
      <c r="G1498">
        <v>512.73</v>
      </c>
      <c r="H1498">
        <v>0.05</v>
      </c>
      <c r="I1498" t="s">
        <v>3538</v>
      </c>
      <c r="J1498" t="s">
        <v>2331</v>
      </c>
      <c r="K1498" t="s">
        <v>71</v>
      </c>
      <c r="L1498" t="s">
        <v>2623</v>
      </c>
      <c r="M1498" t="s">
        <v>342</v>
      </c>
      <c r="N1498" t="s">
        <v>3966</v>
      </c>
      <c r="P1498">
        <f t="shared" si="23"/>
        <v>0.29999648942145668</v>
      </c>
    </row>
    <row r="1499" spans="1:16" x14ac:dyDescent="0.25">
      <c r="A1499" t="s">
        <v>3539</v>
      </c>
      <c r="B1499" s="1">
        <v>45545</v>
      </c>
      <c r="C1499" t="s">
        <v>3540</v>
      </c>
      <c r="D1499" t="s">
        <v>15</v>
      </c>
      <c r="E1499">
        <v>1197.56</v>
      </c>
      <c r="F1499">
        <v>14</v>
      </c>
      <c r="G1499">
        <v>359.27</v>
      </c>
      <c r="H1499">
        <v>0</v>
      </c>
      <c r="I1499" t="s">
        <v>3540</v>
      </c>
      <c r="J1499" t="s">
        <v>3541</v>
      </c>
      <c r="K1499" t="s">
        <v>17</v>
      </c>
      <c r="L1499" t="s">
        <v>50</v>
      </c>
      <c r="M1499" t="s">
        <v>51</v>
      </c>
      <c r="N1499" t="s">
        <v>3966</v>
      </c>
      <c r="P1499">
        <f t="shared" si="23"/>
        <v>0.30000167006246031</v>
      </c>
    </row>
    <row r="1500" spans="1:16" x14ac:dyDescent="0.25">
      <c r="A1500" t="s">
        <v>3542</v>
      </c>
      <c r="B1500" s="1">
        <v>45387</v>
      </c>
      <c r="C1500" t="s">
        <v>3543</v>
      </c>
      <c r="D1500" t="s">
        <v>36</v>
      </c>
      <c r="E1500">
        <v>2047.14</v>
      </c>
      <c r="F1500">
        <v>9</v>
      </c>
      <c r="G1500">
        <v>614.14</v>
      </c>
      <c r="H1500">
        <v>0.15</v>
      </c>
      <c r="I1500" t="s">
        <v>3543</v>
      </c>
      <c r="J1500" t="s">
        <v>2668</v>
      </c>
      <c r="K1500" t="s">
        <v>38</v>
      </c>
      <c r="L1500" t="s">
        <v>864</v>
      </c>
      <c r="M1500" t="s">
        <v>44</v>
      </c>
      <c r="N1500" t="s">
        <v>3968</v>
      </c>
      <c r="P1500">
        <f t="shared" si="23"/>
        <v>0.29999902302724774</v>
      </c>
    </row>
    <row r="1501" spans="1:16" x14ac:dyDescent="0.25">
      <c r="A1501" t="s">
        <v>3544</v>
      </c>
      <c r="B1501" s="1">
        <v>45133</v>
      </c>
      <c r="C1501" t="s">
        <v>3545</v>
      </c>
      <c r="D1501" t="s">
        <v>29</v>
      </c>
      <c r="E1501">
        <v>3338.59</v>
      </c>
      <c r="F1501">
        <v>15</v>
      </c>
      <c r="G1501">
        <v>1001.58</v>
      </c>
      <c r="H1501">
        <v>0.15</v>
      </c>
      <c r="I1501" t="s">
        <v>3545</v>
      </c>
      <c r="J1501" t="s">
        <v>3546</v>
      </c>
      <c r="K1501" t="s">
        <v>17</v>
      </c>
      <c r="L1501" t="s">
        <v>25</v>
      </c>
      <c r="M1501" t="s">
        <v>26</v>
      </c>
      <c r="N1501" t="s">
        <v>3966</v>
      </c>
      <c r="P1501">
        <f t="shared" si="23"/>
        <v>0.30000089858293472</v>
      </c>
    </row>
    <row r="1502" spans="1:16" x14ac:dyDescent="0.25">
      <c r="A1502" t="s">
        <v>3490</v>
      </c>
      <c r="B1502" s="1">
        <v>45242</v>
      </c>
      <c r="C1502" t="s">
        <v>3491</v>
      </c>
      <c r="D1502" t="s">
        <v>41</v>
      </c>
      <c r="E1502">
        <v>2085.5100000000002</v>
      </c>
      <c r="F1502">
        <v>11</v>
      </c>
      <c r="G1502">
        <v>625.65</v>
      </c>
      <c r="H1502">
        <v>0.05</v>
      </c>
      <c r="I1502" t="s">
        <v>3491</v>
      </c>
      <c r="J1502" t="s">
        <v>3547</v>
      </c>
      <c r="K1502" t="s">
        <v>17</v>
      </c>
      <c r="L1502" t="s">
        <v>143</v>
      </c>
      <c r="M1502" t="s">
        <v>144</v>
      </c>
      <c r="N1502" t="s">
        <v>3966</v>
      </c>
      <c r="P1502">
        <f t="shared" si="23"/>
        <v>0.29999856150294169</v>
      </c>
    </row>
    <row r="1503" spans="1:16" x14ac:dyDescent="0.25">
      <c r="A1503" t="s">
        <v>3493</v>
      </c>
      <c r="B1503" s="1">
        <v>45720</v>
      </c>
      <c r="C1503" t="s">
        <v>3491</v>
      </c>
      <c r="D1503" t="s">
        <v>41</v>
      </c>
      <c r="E1503">
        <v>2116.9499999999998</v>
      </c>
      <c r="F1503">
        <v>15</v>
      </c>
      <c r="G1503">
        <v>635.09</v>
      </c>
      <c r="H1503">
        <v>0</v>
      </c>
      <c r="I1503" t="s">
        <v>3491</v>
      </c>
      <c r="J1503" t="s">
        <v>3547</v>
      </c>
      <c r="K1503" t="s">
        <v>17</v>
      </c>
      <c r="L1503" t="s">
        <v>143</v>
      </c>
      <c r="M1503" t="s">
        <v>144</v>
      </c>
      <c r="N1503" t="s">
        <v>3966</v>
      </c>
      <c r="P1503">
        <f t="shared" si="23"/>
        <v>0.30000236188856616</v>
      </c>
    </row>
    <row r="1504" spans="1:16" x14ac:dyDescent="0.25">
      <c r="A1504" t="s">
        <v>3548</v>
      </c>
      <c r="B1504" s="1">
        <v>45831</v>
      </c>
      <c r="C1504" t="s">
        <v>3549</v>
      </c>
      <c r="D1504" t="s">
        <v>22</v>
      </c>
      <c r="E1504">
        <v>4625.93</v>
      </c>
      <c r="F1504">
        <v>20</v>
      </c>
      <c r="G1504">
        <v>1387.78</v>
      </c>
      <c r="H1504">
        <v>0.05</v>
      </c>
      <c r="I1504" t="s">
        <v>3549</v>
      </c>
      <c r="J1504" t="s">
        <v>936</v>
      </c>
      <c r="K1504" t="s">
        <v>38</v>
      </c>
      <c r="L1504" t="s">
        <v>3550</v>
      </c>
      <c r="M1504" t="s">
        <v>865</v>
      </c>
      <c r="N1504" t="s">
        <v>3968</v>
      </c>
      <c r="P1504">
        <f t="shared" si="23"/>
        <v>0.30000021617274797</v>
      </c>
    </row>
    <row r="1505" spans="1:16" x14ac:dyDescent="0.25">
      <c r="A1505" t="s">
        <v>3551</v>
      </c>
      <c r="B1505" s="1">
        <v>45765</v>
      </c>
      <c r="C1505" t="s">
        <v>3549</v>
      </c>
      <c r="D1505" t="s">
        <v>22</v>
      </c>
      <c r="E1505">
        <v>2398.56</v>
      </c>
      <c r="F1505">
        <v>5</v>
      </c>
      <c r="G1505">
        <v>719.57</v>
      </c>
      <c r="H1505">
        <v>0.05</v>
      </c>
      <c r="I1505" t="s">
        <v>3549</v>
      </c>
      <c r="J1505" t="s">
        <v>936</v>
      </c>
      <c r="K1505" t="s">
        <v>38</v>
      </c>
      <c r="L1505" t="s">
        <v>3550</v>
      </c>
      <c r="M1505" t="s">
        <v>865</v>
      </c>
      <c r="N1505" t="s">
        <v>3968</v>
      </c>
      <c r="P1505">
        <f t="shared" si="23"/>
        <v>0.30000083383363352</v>
      </c>
    </row>
    <row r="1506" spans="1:16" x14ac:dyDescent="0.25">
      <c r="A1506" t="s">
        <v>3552</v>
      </c>
      <c r="B1506" s="1">
        <v>45150</v>
      </c>
      <c r="C1506" t="s">
        <v>3553</v>
      </c>
      <c r="D1506" t="s">
        <v>36</v>
      </c>
      <c r="E1506">
        <v>215.38</v>
      </c>
      <c r="F1506">
        <v>8</v>
      </c>
      <c r="G1506">
        <v>64.62</v>
      </c>
      <c r="H1506">
        <v>0.05</v>
      </c>
      <c r="I1506" t="s">
        <v>3553</v>
      </c>
      <c r="J1506" t="s">
        <v>2909</v>
      </c>
      <c r="K1506" t="s">
        <v>24</v>
      </c>
      <c r="L1506" t="s">
        <v>243</v>
      </c>
      <c r="M1506" t="s">
        <v>111</v>
      </c>
      <c r="N1506" t="s">
        <v>3968</v>
      </c>
      <c r="P1506">
        <f t="shared" si="23"/>
        <v>0.30002785773980872</v>
      </c>
    </row>
    <row r="1507" spans="1:16" x14ac:dyDescent="0.25">
      <c r="A1507" t="s">
        <v>3554</v>
      </c>
      <c r="B1507" s="1">
        <v>45638</v>
      </c>
      <c r="C1507" t="s">
        <v>3555</v>
      </c>
      <c r="D1507" t="s">
        <v>41</v>
      </c>
      <c r="E1507">
        <v>7575.49</v>
      </c>
      <c r="F1507">
        <v>17</v>
      </c>
      <c r="G1507">
        <v>2272.65</v>
      </c>
      <c r="H1507">
        <v>0.1</v>
      </c>
      <c r="I1507" t="s">
        <v>3555</v>
      </c>
      <c r="J1507" t="s">
        <v>1848</v>
      </c>
      <c r="K1507" t="s">
        <v>71</v>
      </c>
      <c r="L1507" t="s">
        <v>2647</v>
      </c>
      <c r="M1507" t="s">
        <v>44</v>
      </c>
      <c r="N1507" t="s">
        <v>3968</v>
      </c>
      <c r="P1507">
        <f t="shared" si="23"/>
        <v>0.30000039601398726</v>
      </c>
    </row>
    <row r="1508" spans="1:16" x14ac:dyDescent="0.25">
      <c r="A1508" t="s">
        <v>3556</v>
      </c>
      <c r="B1508" s="1">
        <v>45784</v>
      </c>
      <c r="C1508" t="s">
        <v>3557</v>
      </c>
      <c r="D1508" t="s">
        <v>22</v>
      </c>
      <c r="E1508">
        <v>1889.27</v>
      </c>
      <c r="F1508">
        <v>14</v>
      </c>
      <c r="G1508">
        <v>566.78</v>
      </c>
      <c r="H1508">
        <v>0.05</v>
      </c>
      <c r="I1508" t="s">
        <v>3557</v>
      </c>
      <c r="J1508" t="s">
        <v>2270</v>
      </c>
      <c r="K1508" t="s">
        <v>71</v>
      </c>
      <c r="L1508" t="s">
        <v>2623</v>
      </c>
      <c r="M1508" t="s">
        <v>342</v>
      </c>
      <c r="N1508" t="s">
        <v>3966</v>
      </c>
      <c r="P1508">
        <f t="shared" si="23"/>
        <v>0.29999947069503036</v>
      </c>
    </row>
    <row r="1509" spans="1:16" x14ac:dyDescent="0.25">
      <c r="A1509" t="s">
        <v>939</v>
      </c>
      <c r="B1509" s="1">
        <v>45726</v>
      </c>
      <c r="C1509" t="s">
        <v>940</v>
      </c>
      <c r="D1509" t="s">
        <v>36</v>
      </c>
      <c r="E1509">
        <v>8069.76</v>
      </c>
      <c r="F1509">
        <v>16</v>
      </c>
      <c r="G1509">
        <v>2420.9299999999998</v>
      </c>
      <c r="H1509">
        <v>0</v>
      </c>
      <c r="I1509" t="s">
        <v>940</v>
      </c>
      <c r="J1509" t="s">
        <v>305</v>
      </c>
      <c r="K1509" t="s">
        <v>17</v>
      </c>
      <c r="L1509" t="s">
        <v>601</v>
      </c>
      <c r="M1509" t="s">
        <v>26</v>
      </c>
      <c r="N1509" t="s">
        <v>3966</v>
      </c>
      <c r="P1509">
        <f t="shared" si="23"/>
        <v>0.30000024783884521</v>
      </c>
    </row>
    <row r="1510" spans="1:16" x14ac:dyDescent="0.25">
      <c r="A1510" t="s">
        <v>942</v>
      </c>
      <c r="B1510" s="1">
        <v>44978</v>
      </c>
      <c r="C1510" t="s">
        <v>940</v>
      </c>
      <c r="D1510" t="s">
        <v>91</v>
      </c>
      <c r="E1510">
        <v>1908.2</v>
      </c>
      <c r="F1510">
        <v>4</v>
      </c>
      <c r="G1510">
        <v>572.46</v>
      </c>
      <c r="H1510">
        <v>0</v>
      </c>
      <c r="I1510" t="s">
        <v>940</v>
      </c>
      <c r="J1510" t="s">
        <v>305</v>
      </c>
      <c r="K1510" t="s">
        <v>17</v>
      </c>
      <c r="L1510" t="s">
        <v>601</v>
      </c>
      <c r="M1510" t="s">
        <v>26</v>
      </c>
      <c r="N1510" t="s">
        <v>3968</v>
      </c>
      <c r="P1510">
        <f t="shared" si="23"/>
        <v>0.3</v>
      </c>
    </row>
    <row r="1511" spans="1:16" x14ac:dyDescent="0.25">
      <c r="A1511" t="s">
        <v>3558</v>
      </c>
      <c r="B1511" s="1">
        <v>45809</v>
      </c>
      <c r="C1511" t="s">
        <v>3559</v>
      </c>
      <c r="D1511" t="s">
        <v>29</v>
      </c>
      <c r="E1511">
        <v>855.4</v>
      </c>
      <c r="F1511">
        <v>7</v>
      </c>
      <c r="G1511">
        <v>256.62</v>
      </c>
      <c r="H1511">
        <v>0</v>
      </c>
      <c r="I1511" t="s">
        <v>3559</v>
      </c>
      <c r="J1511" t="s">
        <v>563</v>
      </c>
      <c r="K1511" t="s">
        <v>17</v>
      </c>
      <c r="L1511" t="s">
        <v>2072</v>
      </c>
      <c r="M1511" t="s">
        <v>67</v>
      </c>
      <c r="N1511" t="s">
        <v>3966</v>
      </c>
      <c r="P1511">
        <f t="shared" si="23"/>
        <v>0.3</v>
      </c>
    </row>
    <row r="1512" spans="1:16" x14ac:dyDescent="0.25">
      <c r="A1512" t="s">
        <v>3560</v>
      </c>
      <c r="B1512" s="1">
        <v>45796</v>
      </c>
      <c r="C1512" t="s">
        <v>3561</v>
      </c>
      <c r="D1512" t="s">
        <v>36</v>
      </c>
      <c r="E1512">
        <v>2013.6</v>
      </c>
      <c r="F1512">
        <v>7</v>
      </c>
      <c r="G1512">
        <v>604.08000000000004</v>
      </c>
      <c r="H1512">
        <v>0.15</v>
      </c>
      <c r="I1512" t="s">
        <v>3561</v>
      </c>
      <c r="J1512" t="s">
        <v>59</v>
      </c>
      <c r="K1512" t="s">
        <v>71</v>
      </c>
      <c r="L1512" t="s">
        <v>72</v>
      </c>
      <c r="M1512" t="s">
        <v>26</v>
      </c>
      <c r="N1512" t="s">
        <v>3967</v>
      </c>
      <c r="P1512">
        <f t="shared" si="23"/>
        <v>0.30000000000000004</v>
      </c>
    </row>
    <row r="1513" spans="1:16" x14ac:dyDescent="0.25">
      <c r="A1513" t="s">
        <v>3562</v>
      </c>
      <c r="B1513" s="1">
        <v>44965</v>
      </c>
      <c r="C1513" t="s">
        <v>3563</v>
      </c>
      <c r="D1513" t="s">
        <v>91</v>
      </c>
      <c r="E1513">
        <v>899</v>
      </c>
      <c r="F1513">
        <v>4</v>
      </c>
      <c r="G1513">
        <v>269.7</v>
      </c>
      <c r="H1513">
        <v>0</v>
      </c>
      <c r="I1513" t="s">
        <v>3563</v>
      </c>
      <c r="J1513" t="s">
        <v>1827</v>
      </c>
      <c r="K1513" t="s">
        <v>17</v>
      </c>
      <c r="L1513" t="s">
        <v>159</v>
      </c>
      <c r="M1513" t="s">
        <v>160</v>
      </c>
      <c r="N1513" t="s">
        <v>3967</v>
      </c>
      <c r="P1513">
        <f t="shared" si="23"/>
        <v>0.3</v>
      </c>
    </row>
    <row r="1514" spans="1:16" x14ac:dyDescent="0.25">
      <c r="A1514" t="s">
        <v>3564</v>
      </c>
      <c r="B1514" s="1">
        <v>45771</v>
      </c>
      <c r="C1514" t="s">
        <v>3565</v>
      </c>
      <c r="D1514" t="s">
        <v>29</v>
      </c>
      <c r="E1514">
        <v>7339.82</v>
      </c>
      <c r="F1514">
        <v>16</v>
      </c>
      <c r="G1514">
        <v>2201.9499999999998</v>
      </c>
      <c r="H1514">
        <v>0.1</v>
      </c>
      <c r="I1514" t="s">
        <v>3565</v>
      </c>
      <c r="J1514" t="s">
        <v>1667</v>
      </c>
      <c r="K1514" t="s">
        <v>38</v>
      </c>
      <c r="L1514" t="s">
        <v>143</v>
      </c>
      <c r="M1514" t="s">
        <v>144</v>
      </c>
      <c r="N1514" t="s">
        <v>3966</v>
      </c>
      <c r="P1514">
        <f t="shared" si="23"/>
        <v>0.30000054497249251</v>
      </c>
    </row>
    <row r="1515" spans="1:16" x14ac:dyDescent="0.25">
      <c r="A1515" t="s">
        <v>3566</v>
      </c>
      <c r="B1515" s="1">
        <v>45536</v>
      </c>
      <c r="C1515" t="s">
        <v>3567</v>
      </c>
      <c r="D1515" t="s">
        <v>91</v>
      </c>
      <c r="E1515">
        <v>3749.26</v>
      </c>
      <c r="F1515">
        <v>14</v>
      </c>
      <c r="G1515">
        <v>1124.78</v>
      </c>
      <c r="H1515">
        <v>0.1</v>
      </c>
      <c r="I1515" t="s">
        <v>3567</v>
      </c>
      <c r="J1515" t="s">
        <v>3568</v>
      </c>
      <c r="K1515" t="s">
        <v>31</v>
      </c>
      <c r="L1515" t="s">
        <v>164</v>
      </c>
      <c r="M1515" t="s">
        <v>310</v>
      </c>
      <c r="N1515" t="s">
        <v>3966</v>
      </c>
      <c r="P1515">
        <f t="shared" si="23"/>
        <v>0.3000005334385985</v>
      </c>
    </row>
    <row r="1516" spans="1:16" x14ac:dyDescent="0.25">
      <c r="A1516" t="s">
        <v>3569</v>
      </c>
      <c r="B1516" s="1">
        <v>45603</v>
      </c>
      <c r="C1516" t="s">
        <v>3570</v>
      </c>
      <c r="D1516" t="s">
        <v>41</v>
      </c>
      <c r="E1516">
        <v>4509.1099999999997</v>
      </c>
      <c r="F1516">
        <v>13</v>
      </c>
      <c r="G1516">
        <v>1352.73</v>
      </c>
      <c r="H1516">
        <v>0.05</v>
      </c>
      <c r="I1516" t="s">
        <v>3570</v>
      </c>
      <c r="J1516" t="s">
        <v>2495</v>
      </c>
      <c r="K1516" t="s">
        <v>38</v>
      </c>
      <c r="L1516" t="s">
        <v>175</v>
      </c>
      <c r="M1516" t="s">
        <v>176</v>
      </c>
      <c r="N1516" t="s">
        <v>3966</v>
      </c>
      <c r="P1516">
        <f t="shared" si="23"/>
        <v>0.29999933468023626</v>
      </c>
    </row>
    <row r="1517" spans="1:16" x14ac:dyDescent="0.25">
      <c r="A1517" t="s">
        <v>3571</v>
      </c>
      <c r="B1517" s="1">
        <v>45625</v>
      </c>
      <c r="C1517" t="s">
        <v>3572</v>
      </c>
      <c r="D1517" t="s">
        <v>36</v>
      </c>
      <c r="E1517">
        <v>139.13</v>
      </c>
      <c r="F1517">
        <v>1</v>
      </c>
      <c r="G1517">
        <v>41.74</v>
      </c>
      <c r="H1517">
        <v>0</v>
      </c>
      <c r="I1517" t="s">
        <v>3572</v>
      </c>
      <c r="J1517" t="s">
        <v>3573</v>
      </c>
      <c r="K1517" t="s">
        <v>17</v>
      </c>
      <c r="L1517" t="s">
        <v>814</v>
      </c>
      <c r="M1517" t="s">
        <v>56</v>
      </c>
      <c r="N1517" t="s">
        <v>3966</v>
      </c>
      <c r="P1517">
        <f t="shared" si="23"/>
        <v>0.30000718752246103</v>
      </c>
    </row>
    <row r="1518" spans="1:16" x14ac:dyDescent="0.25">
      <c r="A1518" t="s">
        <v>3574</v>
      </c>
      <c r="B1518" s="1">
        <v>45026</v>
      </c>
      <c r="C1518" t="s">
        <v>3575</v>
      </c>
      <c r="D1518" t="s">
        <v>36</v>
      </c>
      <c r="E1518">
        <v>3263.34</v>
      </c>
      <c r="F1518">
        <v>6</v>
      </c>
      <c r="G1518">
        <v>979</v>
      </c>
      <c r="H1518">
        <v>0</v>
      </c>
      <c r="I1518" t="s">
        <v>3575</v>
      </c>
      <c r="J1518" t="s">
        <v>3576</v>
      </c>
      <c r="K1518" t="s">
        <v>71</v>
      </c>
      <c r="L1518" t="s">
        <v>25</v>
      </c>
      <c r="M1518" t="s">
        <v>26</v>
      </c>
      <c r="N1518" t="s">
        <v>3966</v>
      </c>
      <c r="P1518">
        <f t="shared" si="23"/>
        <v>0.29999938713097624</v>
      </c>
    </row>
    <row r="1519" spans="1:16" x14ac:dyDescent="0.25">
      <c r="A1519" t="s">
        <v>3577</v>
      </c>
      <c r="B1519" s="1">
        <v>45301</v>
      </c>
      <c r="C1519" t="s">
        <v>3578</v>
      </c>
      <c r="D1519" t="s">
        <v>41</v>
      </c>
      <c r="E1519">
        <v>4174.3</v>
      </c>
      <c r="F1519">
        <v>19</v>
      </c>
      <c r="G1519">
        <v>1252.29</v>
      </c>
      <c r="H1519">
        <v>0</v>
      </c>
      <c r="I1519" t="s">
        <v>3578</v>
      </c>
      <c r="J1519" t="s">
        <v>3579</v>
      </c>
      <c r="K1519" t="s">
        <v>31</v>
      </c>
      <c r="L1519" t="s">
        <v>631</v>
      </c>
      <c r="M1519" t="s">
        <v>632</v>
      </c>
      <c r="N1519" t="s">
        <v>3966</v>
      </c>
      <c r="P1519">
        <f t="shared" si="23"/>
        <v>0.3</v>
      </c>
    </row>
    <row r="1520" spans="1:16" x14ac:dyDescent="0.25">
      <c r="A1520" t="s">
        <v>3580</v>
      </c>
      <c r="B1520" s="1">
        <v>45794</v>
      </c>
      <c r="C1520" t="s">
        <v>3581</v>
      </c>
      <c r="D1520" t="s">
        <v>22</v>
      </c>
      <c r="E1520">
        <v>537.74</v>
      </c>
      <c r="F1520">
        <v>6</v>
      </c>
      <c r="G1520">
        <v>161.32</v>
      </c>
      <c r="H1520">
        <v>0.05</v>
      </c>
      <c r="I1520" t="s">
        <v>3581</v>
      </c>
      <c r="J1520" t="s">
        <v>3582</v>
      </c>
      <c r="K1520" t="s">
        <v>24</v>
      </c>
      <c r="L1520" t="s">
        <v>488</v>
      </c>
      <c r="M1520" t="s">
        <v>26</v>
      </c>
      <c r="N1520" t="s">
        <v>3966</v>
      </c>
      <c r="P1520">
        <f t="shared" si="23"/>
        <v>0.29999628073046453</v>
      </c>
    </row>
    <row r="1521" spans="1:16" x14ac:dyDescent="0.25">
      <c r="A1521" t="s">
        <v>3583</v>
      </c>
      <c r="B1521" s="1">
        <v>45499</v>
      </c>
      <c r="C1521" t="s">
        <v>3584</v>
      </c>
      <c r="D1521" t="s">
        <v>15</v>
      </c>
      <c r="E1521">
        <v>3722.34</v>
      </c>
      <c r="F1521">
        <v>9</v>
      </c>
      <c r="G1521">
        <v>1116.7</v>
      </c>
      <c r="H1521">
        <v>0.15</v>
      </c>
      <c r="I1521" t="s">
        <v>3584</v>
      </c>
      <c r="J1521" t="s">
        <v>614</v>
      </c>
      <c r="K1521" t="s">
        <v>38</v>
      </c>
      <c r="L1521" t="s">
        <v>1289</v>
      </c>
      <c r="M1521" t="s">
        <v>44</v>
      </c>
      <c r="N1521" t="s">
        <v>3967</v>
      </c>
      <c r="P1521">
        <f t="shared" si="23"/>
        <v>0.2999994627035682</v>
      </c>
    </row>
    <row r="1522" spans="1:16" x14ac:dyDescent="0.25">
      <c r="A1522" t="s">
        <v>3585</v>
      </c>
      <c r="B1522" s="1">
        <v>45652</v>
      </c>
      <c r="C1522" t="s">
        <v>3586</v>
      </c>
      <c r="D1522" t="s">
        <v>29</v>
      </c>
      <c r="E1522">
        <v>5904.37</v>
      </c>
      <c r="F1522">
        <v>12</v>
      </c>
      <c r="G1522">
        <v>1771.31</v>
      </c>
      <c r="H1522">
        <v>0.15</v>
      </c>
      <c r="I1522" t="s">
        <v>3586</v>
      </c>
      <c r="J1522" t="s">
        <v>3587</v>
      </c>
      <c r="K1522" t="s">
        <v>24</v>
      </c>
      <c r="L1522" t="s">
        <v>1948</v>
      </c>
      <c r="M1522" t="s">
        <v>244</v>
      </c>
      <c r="N1522" t="s">
        <v>3968</v>
      </c>
      <c r="P1522">
        <f t="shared" si="23"/>
        <v>0.29999983063392027</v>
      </c>
    </row>
    <row r="1523" spans="1:16" x14ac:dyDescent="0.25">
      <c r="A1523" t="s">
        <v>1756</v>
      </c>
      <c r="B1523" s="1">
        <v>45680</v>
      </c>
      <c r="C1523" t="s">
        <v>1757</v>
      </c>
      <c r="D1523" t="s">
        <v>91</v>
      </c>
      <c r="E1523">
        <v>1378.16</v>
      </c>
      <c r="F1523">
        <v>7</v>
      </c>
      <c r="G1523">
        <v>413.45</v>
      </c>
      <c r="H1523">
        <v>0</v>
      </c>
      <c r="I1523" t="s">
        <v>1757</v>
      </c>
      <c r="J1523" t="s">
        <v>1887</v>
      </c>
      <c r="K1523" t="s">
        <v>17</v>
      </c>
      <c r="L1523" t="s">
        <v>171</v>
      </c>
      <c r="M1523" t="s">
        <v>129</v>
      </c>
      <c r="N1523" t="s">
        <v>3966</v>
      </c>
      <c r="P1523">
        <f t="shared" si="23"/>
        <v>0.30000145121030936</v>
      </c>
    </row>
    <row r="1524" spans="1:16" x14ac:dyDescent="0.25">
      <c r="A1524" t="s">
        <v>1758</v>
      </c>
      <c r="B1524" s="1">
        <v>45043</v>
      </c>
      <c r="C1524" t="s">
        <v>1757</v>
      </c>
      <c r="D1524" t="s">
        <v>15</v>
      </c>
      <c r="E1524">
        <v>4990.32</v>
      </c>
      <c r="F1524">
        <v>9</v>
      </c>
      <c r="G1524">
        <v>1497.1</v>
      </c>
      <c r="H1524">
        <v>0</v>
      </c>
      <c r="I1524" t="s">
        <v>1757</v>
      </c>
      <c r="J1524" t="s">
        <v>1887</v>
      </c>
      <c r="K1524" t="s">
        <v>17</v>
      </c>
      <c r="L1524" t="s">
        <v>171</v>
      </c>
      <c r="M1524" t="s">
        <v>129</v>
      </c>
      <c r="N1524" t="s">
        <v>3966</v>
      </c>
      <c r="P1524">
        <f t="shared" si="23"/>
        <v>0.30000080155180431</v>
      </c>
    </row>
    <row r="1525" spans="1:16" x14ac:dyDescent="0.25">
      <c r="A1525" t="s">
        <v>3588</v>
      </c>
      <c r="B1525" s="1">
        <v>45376</v>
      </c>
      <c r="C1525" t="s">
        <v>3589</v>
      </c>
      <c r="D1525" t="s">
        <v>22</v>
      </c>
      <c r="E1525">
        <v>2811.82</v>
      </c>
      <c r="F1525">
        <v>7</v>
      </c>
      <c r="G1525">
        <v>843.54</v>
      </c>
      <c r="H1525">
        <v>0.1</v>
      </c>
      <c r="I1525" t="s">
        <v>3589</v>
      </c>
      <c r="J1525" t="s">
        <v>2882</v>
      </c>
      <c r="K1525" t="s">
        <v>24</v>
      </c>
      <c r="L1525" t="s">
        <v>25</v>
      </c>
      <c r="M1525" t="s">
        <v>26</v>
      </c>
      <c r="N1525" t="s">
        <v>3966</v>
      </c>
      <c r="P1525">
        <f t="shared" si="23"/>
        <v>0.2999978661507493</v>
      </c>
    </row>
    <row r="1526" spans="1:16" x14ac:dyDescent="0.25">
      <c r="A1526" t="s">
        <v>1849</v>
      </c>
      <c r="B1526" s="1">
        <v>45720</v>
      </c>
      <c r="C1526" t="s">
        <v>1850</v>
      </c>
      <c r="D1526" t="s">
        <v>91</v>
      </c>
      <c r="E1526">
        <v>4921.18</v>
      </c>
      <c r="F1526">
        <v>11</v>
      </c>
      <c r="G1526">
        <v>1476.35</v>
      </c>
      <c r="H1526">
        <v>0</v>
      </c>
      <c r="I1526" t="s">
        <v>1850</v>
      </c>
      <c r="J1526" t="s">
        <v>215</v>
      </c>
      <c r="K1526" t="s">
        <v>38</v>
      </c>
      <c r="L1526" t="s">
        <v>2203</v>
      </c>
      <c r="M1526" t="s">
        <v>44</v>
      </c>
      <c r="N1526" t="s">
        <v>3966</v>
      </c>
      <c r="P1526">
        <f t="shared" si="23"/>
        <v>0.2999991871868129</v>
      </c>
    </row>
    <row r="1527" spans="1:16" x14ac:dyDescent="0.25">
      <c r="A1527" t="s">
        <v>1851</v>
      </c>
      <c r="B1527" s="1">
        <v>45365</v>
      </c>
      <c r="C1527" t="s">
        <v>1850</v>
      </c>
      <c r="D1527" t="s">
        <v>22</v>
      </c>
      <c r="E1527">
        <v>1136.72</v>
      </c>
      <c r="F1527">
        <v>8</v>
      </c>
      <c r="G1527">
        <v>341.02</v>
      </c>
      <c r="H1527">
        <v>0</v>
      </c>
      <c r="I1527" t="s">
        <v>1850</v>
      </c>
      <c r="J1527" t="s">
        <v>215</v>
      </c>
      <c r="K1527" t="s">
        <v>38</v>
      </c>
      <c r="L1527" t="s">
        <v>2203</v>
      </c>
      <c r="M1527" t="s">
        <v>44</v>
      </c>
      <c r="N1527" t="s">
        <v>3966</v>
      </c>
      <c r="P1527">
        <f t="shared" si="23"/>
        <v>0.30000351889647403</v>
      </c>
    </row>
    <row r="1528" spans="1:16" x14ac:dyDescent="0.25">
      <c r="A1528" t="s">
        <v>3590</v>
      </c>
      <c r="B1528" s="1">
        <v>45219</v>
      </c>
      <c r="C1528" t="s">
        <v>3591</v>
      </c>
      <c r="D1528" t="s">
        <v>29</v>
      </c>
      <c r="E1528">
        <v>3469.28</v>
      </c>
      <c r="F1528">
        <v>14</v>
      </c>
      <c r="G1528">
        <v>1040.79</v>
      </c>
      <c r="H1528">
        <v>0.1</v>
      </c>
      <c r="I1528" t="s">
        <v>3591</v>
      </c>
      <c r="J1528" t="s">
        <v>1143</v>
      </c>
      <c r="K1528" t="s">
        <v>24</v>
      </c>
      <c r="L1528" t="s">
        <v>700</v>
      </c>
      <c r="M1528" t="s">
        <v>111</v>
      </c>
      <c r="N1528" t="s">
        <v>3966</v>
      </c>
      <c r="P1528">
        <f t="shared" si="23"/>
        <v>0.30000172946547982</v>
      </c>
    </row>
    <row r="1529" spans="1:16" x14ac:dyDescent="0.25">
      <c r="A1529" t="s">
        <v>3592</v>
      </c>
      <c r="B1529" s="1">
        <v>44944</v>
      </c>
      <c r="C1529" t="s">
        <v>3593</v>
      </c>
      <c r="D1529" t="s">
        <v>48</v>
      </c>
      <c r="E1529">
        <v>114.19</v>
      </c>
      <c r="F1529">
        <v>1</v>
      </c>
      <c r="G1529">
        <v>34.26</v>
      </c>
      <c r="H1529">
        <v>0.05</v>
      </c>
      <c r="I1529" t="s">
        <v>3593</v>
      </c>
      <c r="J1529" t="s">
        <v>1232</v>
      </c>
      <c r="K1529" t="s">
        <v>38</v>
      </c>
      <c r="L1529" t="s">
        <v>25</v>
      </c>
      <c r="M1529" t="s">
        <v>26</v>
      </c>
      <c r="N1529" t="s">
        <v>3966</v>
      </c>
      <c r="P1529">
        <f t="shared" si="23"/>
        <v>0.30002627200280235</v>
      </c>
    </row>
    <row r="1530" spans="1:16" x14ac:dyDescent="0.25">
      <c r="A1530" t="s">
        <v>3594</v>
      </c>
      <c r="B1530" s="1">
        <v>45554</v>
      </c>
      <c r="C1530" t="s">
        <v>3593</v>
      </c>
      <c r="D1530" t="s">
        <v>29</v>
      </c>
      <c r="E1530">
        <v>46.99</v>
      </c>
      <c r="F1530">
        <v>2</v>
      </c>
      <c r="G1530">
        <v>14.1</v>
      </c>
      <c r="H1530">
        <v>0.15</v>
      </c>
      <c r="I1530" t="s">
        <v>3593</v>
      </c>
      <c r="J1530" t="s">
        <v>1232</v>
      </c>
      <c r="K1530" t="s">
        <v>38</v>
      </c>
      <c r="L1530" t="s">
        <v>25</v>
      </c>
      <c r="M1530" t="s">
        <v>26</v>
      </c>
      <c r="N1530" t="s">
        <v>3967</v>
      </c>
      <c r="P1530">
        <f t="shared" si="23"/>
        <v>0.30006384337092995</v>
      </c>
    </row>
    <row r="1531" spans="1:16" x14ac:dyDescent="0.25">
      <c r="A1531" t="s">
        <v>3595</v>
      </c>
      <c r="B1531" s="1">
        <v>45192</v>
      </c>
      <c r="C1531" t="s">
        <v>3596</v>
      </c>
      <c r="D1531" t="s">
        <v>48</v>
      </c>
      <c r="E1531">
        <v>7468.1</v>
      </c>
      <c r="F1531">
        <v>17</v>
      </c>
      <c r="G1531">
        <v>2240.4299999999998</v>
      </c>
      <c r="H1531">
        <v>0</v>
      </c>
      <c r="I1531" t="s">
        <v>3596</v>
      </c>
      <c r="J1531" t="s">
        <v>673</v>
      </c>
      <c r="K1531" t="s">
        <v>31</v>
      </c>
      <c r="L1531" t="s">
        <v>155</v>
      </c>
      <c r="M1531" t="s">
        <v>111</v>
      </c>
      <c r="N1531" t="s">
        <v>3967</v>
      </c>
      <c r="P1531">
        <f t="shared" si="23"/>
        <v>0.3</v>
      </c>
    </row>
    <row r="1532" spans="1:16" x14ac:dyDescent="0.25">
      <c r="A1532" t="s">
        <v>2042</v>
      </c>
      <c r="B1532" s="1">
        <v>45657</v>
      </c>
      <c r="C1532" t="s">
        <v>2043</v>
      </c>
      <c r="D1532" t="s">
        <v>41</v>
      </c>
      <c r="E1532">
        <v>8607.15</v>
      </c>
      <c r="F1532">
        <v>15</v>
      </c>
      <c r="G1532">
        <v>2582.15</v>
      </c>
      <c r="H1532">
        <v>0</v>
      </c>
      <c r="I1532" t="s">
        <v>2043</v>
      </c>
      <c r="J1532" t="s">
        <v>1684</v>
      </c>
      <c r="K1532" t="s">
        <v>17</v>
      </c>
      <c r="L1532" t="s">
        <v>82</v>
      </c>
      <c r="M1532" t="s">
        <v>83</v>
      </c>
      <c r="N1532" t="s">
        <v>3967</v>
      </c>
      <c r="P1532">
        <f t="shared" si="23"/>
        <v>0.30000058091238102</v>
      </c>
    </row>
    <row r="1533" spans="1:16" x14ac:dyDescent="0.25">
      <c r="A1533" t="s">
        <v>2045</v>
      </c>
      <c r="B1533" s="1">
        <v>45165</v>
      </c>
      <c r="C1533" t="s">
        <v>2043</v>
      </c>
      <c r="D1533" t="s">
        <v>48</v>
      </c>
      <c r="E1533">
        <v>3637.08</v>
      </c>
      <c r="F1533">
        <v>12</v>
      </c>
      <c r="G1533">
        <v>1091.1199999999999</v>
      </c>
      <c r="H1533">
        <v>0</v>
      </c>
      <c r="I1533" t="s">
        <v>2043</v>
      </c>
      <c r="J1533" t="s">
        <v>1684</v>
      </c>
      <c r="K1533" t="s">
        <v>17</v>
      </c>
      <c r="L1533" t="s">
        <v>82</v>
      </c>
      <c r="M1533" t="s">
        <v>83</v>
      </c>
      <c r="N1533" t="s">
        <v>3966</v>
      </c>
      <c r="P1533">
        <f t="shared" si="23"/>
        <v>0.29999890021665732</v>
      </c>
    </row>
    <row r="1534" spans="1:16" x14ac:dyDescent="0.25">
      <c r="A1534" t="s">
        <v>2748</v>
      </c>
      <c r="B1534" s="1">
        <v>45314</v>
      </c>
      <c r="C1534" t="s">
        <v>2749</v>
      </c>
      <c r="D1534" t="s">
        <v>29</v>
      </c>
      <c r="E1534">
        <v>6499.08</v>
      </c>
      <c r="F1534">
        <v>19</v>
      </c>
      <c r="G1534">
        <v>1949.72</v>
      </c>
      <c r="H1534">
        <v>0.05</v>
      </c>
      <c r="I1534" t="s">
        <v>2749</v>
      </c>
      <c r="J1534" t="s">
        <v>364</v>
      </c>
      <c r="K1534" t="s">
        <v>31</v>
      </c>
      <c r="L1534" t="s">
        <v>3597</v>
      </c>
      <c r="M1534" t="s">
        <v>244</v>
      </c>
      <c r="N1534" t="s">
        <v>3966</v>
      </c>
      <c r="P1534">
        <f t="shared" si="23"/>
        <v>0.29999938452827168</v>
      </c>
    </row>
    <row r="1535" spans="1:16" x14ac:dyDescent="0.25">
      <c r="A1535" t="s">
        <v>2750</v>
      </c>
      <c r="B1535" s="1">
        <v>45144</v>
      </c>
      <c r="C1535" t="s">
        <v>2749</v>
      </c>
      <c r="D1535" t="s">
        <v>41</v>
      </c>
      <c r="E1535">
        <v>864.13</v>
      </c>
      <c r="F1535">
        <v>13</v>
      </c>
      <c r="G1535">
        <v>259.24</v>
      </c>
      <c r="H1535">
        <v>0.05</v>
      </c>
      <c r="I1535" t="s">
        <v>2749</v>
      </c>
      <c r="J1535" t="s">
        <v>364</v>
      </c>
      <c r="K1535" t="s">
        <v>31</v>
      </c>
      <c r="L1535" t="s">
        <v>3597</v>
      </c>
      <c r="M1535" t="s">
        <v>244</v>
      </c>
      <c r="N1535" t="s">
        <v>3967</v>
      </c>
      <c r="P1535">
        <f t="shared" si="23"/>
        <v>0.30000115723328669</v>
      </c>
    </row>
    <row r="1536" spans="1:16" x14ac:dyDescent="0.25">
      <c r="A1536" t="s">
        <v>3598</v>
      </c>
      <c r="B1536" s="1">
        <v>45090</v>
      </c>
      <c r="C1536" t="s">
        <v>3599</v>
      </c>
      <c r="D1536" t="s">
        <v>15</v>
      </c>
      <c r="E1536">
        <v>3371.76</v>
      </c>
      <c r="F1536">
        <v>7</v>
      </c>
      <c r="G1536">
        <v>1011.53</v>
      </c>
      <c r="H1536">
        <v>0.1</v>
      </c>
      <c r="I1536" t="s">
        <v>3599</v>
      </c>
      <c r="J1536" t="s">
        <v>1259</v>
      </c>
      <c r="K1536" t="s">
        <v>17</v>
      </c>
      <c r="L1536" t="s">
        <v>50</v>
      </c>
      <c r="M1536" t="s">
        <v>51</v>
      </c>
      <c r="N1536" t="s">
        <v>3968</v>
      </c>
      <c r="P1536">
        <f t="shared" si="23"/>
        <v>0.3000005931620281</v>
      </c>
    </row>
    <row r="1537" spans="1:16" x14ac:dyDescent="0.25">
      <c r="A1537" t="s">
        <v>3600</v>
      </c>
      <c r="B1537" s="1">
        <v>45108</v>
      </c>
      <c r="C1537" t="s">
        <v>3601</v>
      </c>
      <c r="D1537" t="s">
        <v>36</v>
      </c>
      <c r="E1537">
        <v>3061.47</v>
      </c>
      <c r="F1537">
        <v>19</v>
      </c>
      <c r="G1537">
        <v>918.44</v>
      </c>
      <c r="H1537">
        <v>0</v>
      </c>
      <c r="I1537" t="s">
        <v>3601</v>
      </c>
      <c r="J1537" t="s">
        <v>1269</v>
      </c>
      <c r="K1537" t="s">
        <v>17</v>
      </c>
      <c r="L1537" t="s">
        <v>1202</v>
      </c>
      <c r="M1537" t="s">
        <v>33</v>
      </c>
      <c r="N1537" t="s">
        <v>3967</v>
      </c>
      <c r="P1537">
        <f t="shared" si="23"/>
        <v>0.29999967335952993</v>
      </c>
    </row>
    <row r="1538" spans="1:16" x14ac:dyDescent="0.25">
      <c r="A1538" t="s">
        <v>3602</v>
      </c>
      <c r="B1538" s="1">
        <v>45738</v>
      </c>
      <c r="C1538" t="s">
        <v>3603</v>
      </c>
      <c r="D1538" t="s">
        <v>15</v>
      </c>
      <c r="E1538">
        <v>276.76</v>
      </c>
      <c r="F1538">
        <v>11</v>
      </c>
      <c r="G1538">
        <v>83.03</v>
      </c>
      <c r="H1538">
        <v>0.15</v>
      </c>
      <c r="I1538" t="s">
        <v>3603</v>
      </c>
      <c r="J1538" t="s">
        <v>3604</v>
      </c>
      <c r="K1538" t="s">
        <v>24</v>
      </c>
      <c r="L1538" t="s">
        <v>1280</v>
      </c>
      <c r="M1538" t="s">
        <v>266</v>
      </c>
      <c r="N1538" t="s">
        <v>3967</v>
      </c>
      <c r="P1538">
        <f t="shared" si="23"/>
        <v>0.30000722647781475</v>
      </c>
    </row>
    <row r="1539" spans="1:16" x14ac:dyDescent="0.25">
      <c r="A1539" t="s">
        <v>3605</v>
      </c>
      <c r="B1539" s="1">
        <v>45695</v>
      </c>
      <c r="C1539" t="s">
        <v>3606</v>
      </c>
      <c r="D1539" t="s">
        <v>15</v>
      </c>
      <c r="E1539">
        <v>2351.3000000000002</v>
      </c>
      <c r="F1539">
        <v>16</v>
      </c>
      <c r="G1539">
        <v>705.39</v>
      </c>
      <c r="H1539">
        <v>0.15</v>
      </c>
      <c r="I1539" t="s">
        <v>3606</v>
      </c>
      <c r="J1539" t="s">
        <v>3140</v>
      </c>
      <c r="K1539" t="s">
        <v>24</v>
      </c>
      <c r="L1539" t="s">
        <v>774</v>
      </c>
      <c r="M1539" t="s">
        <v>33</v>
      </c>
      <c r="N1539" t="s">
        <v>3966</v>
      </c>
      <c r="P1539">
        <f t="shared" ref="P1539:P1602" si="24">G1539/E1539</f>
        <v>0.3</v>
      </c>
    </row>
    <row r="1540" spans="1:16" x14ac:dyDescent="0.25">
      <c r="A1540" t="s">
        <v>3607</v>
      </c>
      <c r="B1540" s="1">
        <v>45217</v>
      </c>
      <c r="C1540" t="s">
        <v>3608</v>
      </c>
      <c r="D1540" t="s">
        <v>22</v>
      </c>
      <c r="E1540">
        <v>240.3</v>
      </c>
      <c r="F1540">
        <v>5</v>
      </c>
      <c r="G1540">
        <v>72.09</v>
      </c>
      <c r="H1540">
        <v>0</v>
      </c>
      <c r="I1540" t="s">
        <v>3608</v>
      </c>
      <c r="J1540" t="s">
        <v>1117</v>
      </c>
      <c r="K1540" t="s">
        <v>31</v>
      </c>
      <c r="L1540" t="s">
        <v>2582</v>
      </c>
      <c r="M1540" t="s">
        <v>1435</v>
      </c>
      <c r="N1540" t="s">
        <v>3966</v>
      </c>
      <c r="P1540">
        <f t="shared" si="24"/>
        <v>0.3</v>
      </c>
    </row>
    <row r="1541" spans="1:16" x14ac:dyDescent="0.25">
      <c r="A1541" t="s">
        <v>3609</v>
      </c>
      <c r="B1541" s="1">
        <v>45293</v>
      </c>
      <c r="C1541" t="s">
        <v>3610</v>
      </c>
      <c r="D1541" t="s">
        <v>29</v>
      </c>
      <c r="E1541">
        <v>351.29</v>
      </c>
      <c r="F1541">
        <v>7</v>
      </c>
      <c r="G1541">
        <v>105.39</v>
      </c>
      <c r="H1541">
        <v>0.1</v>
      </c>
      <c r="I1541" t="s">
        <v>3610</v>
      </c>
      <c r="J1541" t="s">
        <v>2819</v>
      </c>
      <c r="K1541" t="s">
        <v>38</v>
      </c>
      <c r="L1541" t="s">
        <v>143</v>
      </c>
      <c r="M1541" t="s">
        <v>144</v>
      </c>
      <c r="N1541" t="s">
        <v>3966</v>
      </c>
      <c r="P1541">
        <f t="shared" si="24"/>
        <v>0.30000853995274557</v>
      </c>
    </row>
    <row r="1542" spans="1:16" x14ac:dyDescent="0.25">
      <c r="A1542" t="s">
        <v>3611</v>
      </c>
      <c r="B1542" s="1">
        <v>45724</v>
      </c>
      <c r="C1542" t="s">
        <v>3612</v>
      </c>
      <c r="D1542" t="s">
        <v>15</v>
      </c>
      <c r="E1542">
        <v>83.57</v>
      </c>
      <c r="F1542">
        <v>4</v>
      </c>
      <c r="G1542">
        <v>25.07</v>
      </c>
      <c r="H1542">
        <v>0.15</v>
      </c>
      <c r="I1542" t="s">
        <v>3612</v>
      </c>
      <c r="J1542" t="s">
        <v>2009</v>
      </c>
      <c r="K1542" t="s">
        <v>24</v>
      </c>
      <c r="L1542" t="s">
        <v>353</v>
      </c>
      <c r="M1542" t="s">
        <v>354</v>
      </c>
      <c r="N1542" t="s">
        <v>3966</v>
      </c>
      <c r="P1542">
        <f t="shared" si="24"/>
        <v>0.29998803398348695</v>
      </c>
    </row>
    <row r="1543" spans="1:16" x14ac:dyDescent="0.25">
      <c r="A1543" t="s">
        <v>3613</v>
      </c>
      <c r="B1543" s="1">
        <v>45110</v>
      </c>
      <c r="C1543" t="s">
        <v>3614</v>
      </c>
      <c r="D1543" t="s">
        <v>29</v>
      </c>
      <c r="E1543">
        <v>1009.64</v>
      </c>
      <c r="F1543">
        <v>2</v>
      </c>
      <c r="G1543">
        <v>302.89</v>
      </c>
      <c r="H1543">
        <v>0</v>
      </c>
      <c r="I1543" t="s">
        <v>3614</v>
      </c>
      <c r="J1543" t="s">
        <v>992</v>
      </c>
      <c r="K1543" t="s">
        <v>71</v>
      </c>
      <c r="L1543" t="s">
        <v>25</v>
      </c>
      <c r="M1543" t="s">
        <v>26</v>
      </c>
      <c r="N1543" t="s">
        <v>3966</v>
      </c>
      <c r="P1543">
        <f t="shared" si="24"/>
        <v>0.29999801909591539</v>
      </c>
    </row>
    <row r="1544" spans="1:16" x14ac:dyDescent="0.25">
      <c r="A1544" t="s">
        <v>3615</v>
      </c>
      <c r="B1544" s="1">
        <v>45245</v>
      </c>
      <c r="C1544" t="s">
        <v>3616</v>
      </c>
      <c r="D1544" t="s">
        <v>91</v>
      </c>
      <c r="E1544">
        <v>4221.12</v>
      </c>
      <c r="F1544">
        <v>17</v>
      </c>
      <c r="G1544">
        <v>1266.3399999999999</v>
      </c>
      <c r="H1544">
        <v>0.1</v>
      </c>
      <c r="I1544" t="s">
        <v>3616</v>
      </c>
      <c r="J1544" t="s">
        <v>2278</v>
      </c>
      <c r="K1544" t="s">
        <v>31</v>
      </c>
      <c r="L1544" t="s">
        <v>774</v>
      </c>
      <c r="M1544" t="s">
        <v>33</v>
      </c>
      <c r="N1544" t="s">
        <v>3966</v>
      </c>
      <c r="P1544">
        <f t="shared" si="24"/>
        <v>0.30000094761579865</v>
      </c>
    </row>
    <row r="1545" spans="1:16" x14ac:dyDescent="0.25">
      <c r="A1545" t="s">
        <v>3617</v>
      </c>
      <c r="B1545" s="1">
        <v>45332</v>
      </c>
      <c r="C1545" t="s">
        <v>3618</v>
      </c>
      <c r="D1545" t="s">
        <v>29</v>
      </c>
      <c r="E1545">
        <v>1057.6199999999999</v>
      </c>
      <c r="F1545">
        <v>9</v>
      </c>
      <c r="G1545">
        <v>317.29000000000002</v>
      </c>
      <c r="H1545">
        <v>0.1</v>
      </c>
      <c r="I1545" t="s">
        <v>3618</v>
      </c>
      <c r="J1545" t="s">
        <v>2000</v>
      </c>
      <c r="K1545" t="s">
        <v>71</v>
      </c>
      <c r="L1545" t="s">
        <v>570</v>
      </c>
      <c r="M1545" t="s">
        <v>266</v>
      </c>
      <c r="N1545" t="s">
        <v>3968</v>
      </c>
      <c r="P1545">
        <f t="shared" si="24"/>
        <v>0.30000378207673839</v>
      </c>
    </row>
    <row r="1546" spans="1:16" x14ac:dyDescent="0.25">
      <c r="A1546" t="s">
        <v>1606</v>
      </c>
      <c r="B1546" s="1">
        <v>45756</v>
      </c>
      <c r="C1546" t="s">
        <v>1607</v>
      </c>
      <c r="D1546" t="s">
        <v>48</v>
      </c>
      <c r="E1546">
        <v>3752.64</v>
      </c>
      <c r="F1546">
        <v>12</v>
      </c>
      <c r="G1546">
        <v>1125.79</v>
      </c>
      <c r="H1546">
        <v>0</v>
      </c>
      <c r="I1546" t="s">
        <v>1607</v>
      </c>
      <c r="J1546" t="s">
        <v>1311</v>
      </c>
      <c r="K1546" t="s">
        <v>71</v>
      </c>
      <c r="L1546" t="s">
        <v>148</v>
      </c>
      <c r="M1546" t="s">
        <v>144</v>
      </c>
      <c r="N1546" t="s">
        <v>3968</v>
      </c>
      <c r="P1546">
        <f t="shared" si="24"/>
        <v>0.29999946704186919</v>
      </c>
    </row>
    <row r="1547" spans="1:16" x14ac:dyDescent="0.25">
      <c r="A1547" t="s">
        <v>1608</v>
      </c>
      <c r="B1547" s="1">
        <v>45122</v>
      </c>
      <c r="C1547" t="s">
        <v>1607</v>
      </c>
      <c r="D1547" t="s">
        <v>48</v>
      </c>
      <c r="E1547">
        <v>3456.96</v>
      </c>
      <c r="F1547">
        <v>8</v>
      </c>
      <c r="G1547">
        <v>1037.0899999999999</v>
      </c>
      <c r="H1547">
        <v>0</v>
      </c>
      <c r="I1547" t="s">
        <v>1607</v>
      </c>
      <c r="J1547" t="s">
        <v>1311</v>
      </c>
      <c r="K1547" t="s">
        <v>71</v>
      </c>
      <c r="L1547" t="s">
        <v>148</v>
      </c>
      <c r="M1547" t="s">
        <v>144</v>
      </c>
      <c r="N1547" t="s">
        <v>3967</v>
      </c>
      <c r="P1547">
        <f t="shared" si="24"/>
        <v>0.30000057854299728</v>
      </c>
    </row>
    <row r="1548" spans="1:16" x14ac:dyDescent="0.25">
      <c r="A1548" t="s">
        <v>3619</v>
      </c>
      <c r="B1548" s="1">
        <v>45178</v>
      </c>
      <c r="C1548" t="s">
        <v>3620</v>
      </c>
      <c r="D1548" t="s">
        <v>91</v>
      </c>
      <c r="E1548">
        <v>3807.49</v>
      </c>
      <c r="F1548">
        <v>18</v>
      </c>
      <c r="G1548">
        <v>1142.25</v>
      </c>
      <c r="H1548">
        <v>0.05</v>
      </c>
      <c r="I1548" t="s">
        <v>3620</v>
      </c>
      <c r="J1548" t="s">
        <v>298</v>
      </c>
      <c r="K1548" t="s">
        <v>71</v>
      </c>
      <c r="L1548" t="s">
        <v>278</v>
      </c>
      <c r="M1548" t="s">
        <v>44</v>
      </c>
      <c r="N1548" t="s">
        <v>3967</v>
      </c>
      <c r="P1548">
        <f t="shared" si="24"/>
        <v>0.30000078792065116</v>
      </c>
    </row>
    <row r="1549" spans="1:16" x14ac:dyDescent="0.25">
      <c r="A1549" t="s">
        <v>3621</v>
      </c>
      <c r="B1549" s="1">
        <v>45004</v>
      </c>
      <c r="C1549" t="s">
        <v>3622</v>
      </c>
      <c r="D1549" t="s">
        <v>22</v>
      </c>
      <c r="E1549">
        <v>4619.5200000000004</v>
      </c>
      <c r="F1549">
        <v>13</v>
      </c>
      <c r="G1549">
        <v>1385.86</v>
      </c>
      <c r="H1549">
        <v>0.05</v>
      </c>
      <c r="I1549" t="s">
        <v>3622</v>
      </c>
      <c r="J1549" t="s">
        <v>2109</v>
      </c>
      <c r="K1549" t="s">
        <v>17</v>
      </c>
      <c r="L1549" t="s">
        <v>50</v>
      </c>
      <c r="M1549" t="s">
        <v>51</v>
      </c>
      <c r="N1549" t="s">
        <v>3967</v>
      </c>
      <c r="P1549">
        <f t="shared" si="24"/>
        <v>0.30000086589082842</v>
      </c>
    </row>
    <row r="1550" spans="1:16" x14ac:dyDescent="0.25">
      <c r="A1550" t="s">
        <v>2806</v>
      </c>
      <c r="B1550" s="1">
        <v>45657</v>
      </c>
      <c r="C1550" t="s">
        <v>2807</v>
      </c>
      <c r="D1550" t="s">
        <v>41</v>
      </c>
      <c r="E1550">
        <v>3279.77</v>
      </c>
      <c r="F1550">
        <v>11</v>
      </c>
      <c r="G1550">
        <v>983.93</v>
      </c>
      <c r="H1550">
        <v>0.1</v>
      </c>
      <c r="I1550" t="s">
        <v>2807</v>
      </c>
      <c r="J1550" t="s">
        <v>2000</v>
      </c>
      <c r="K1550" t="s">
        <v>38</v>
      </c>
      <c r="L1550" t="s">
        <v>143</v>
      </c>
      <c r="M1550" t="s">
        <v>144</v>
      </c>
      <c r="N1550" t="s">
        <v>3967</v>
      </c>
      <c r="P1550">
        <f t="shared" si="24"/>
        <v>0.29999969510057106</v>
      </c>
    </row>
    <row r="1551" spans="1:16" x14ac:dyDescent="0.25">
      <c r="A1551" t="s">
        <v>2808</v>
      </c>
      <c r="B1551" s="1">
        <v>45058</v>
      </c>
      <c r="C1551" t="s">
        <v>2807</v>
      </c>
      <c r="D1551" t="s">
        <v>36</v>
      </c>
      <c r="E1551">
        <v>2036.58</v>
      </c>
      <c r="F1551">
        <v>9</v>
      </c>
      <c r="G1551">
        <v>610.97</v>
      </c>
      <c r="H1551">
        <v>0.1</v>
      </c>
      <c r="I1551" t="s">
        <v>2807</v>
      </c>
      <c r="J1551" t="s">
        <v>2000</v>
      </c>
      <c r="K1551" t="s">
        <v>38</v>
      </c>
      <c r="L1551" t="s">
        <v>143</v>
      </c>
      <c r="M1551" t="s">
        <v>144</v>
      </c>
      <c r="N1551" t="s">
        <v>3966</v>
      </c>
      <c r="P1551">
        <f t="shared" si="24"/>
        <v>0.29999803592296892</v>
      </c>
    </row>
    <row r="1552" spans="1:16" x14ac:dyDescent="0.25">
      <c r="A1552" t="s">
        <v>3623</v>
      </c>
      <c r="B1552" s="1">
        <v>45254</v>
      </c>
      <c r="C1552" t="s">
        <v>3624</v>
      </c>
      <c r="D1552" t="s">
        <v>22</v>
      </c>
      <c r="E1552">
        <v>2667.6</v>
      </c>
      <c r="F1552">
        <v>5</v>
      </c>
      <c r="G1552">
        <v>800.28</v>
      </c>
      <c r="H1552">
        <v>0</v>
      </c>
      <c r="I1552" t="s">
        <v>3624</v>
      </c>
      <c r="J1552" t="s">
        <v>3625</v>
      </c>
      <c r="K1552" t="s">
        <v>38</v>
      </c>
      <c r="L1552" t="s">
        <v>265</v>
      </c>
      <c r="M1552" t="s">
        <v>645</v>
      </c>
      <c r="N1552" t="s">
        <v>3968</v>
      </c>
      <c r="P1552">
        <f t="shared" si="24"/>
        <v>0.3</v>
      </c>
    </row>
    <row r="1553" spans="1:16" x14ac:dyDescent="0.25">
      <c r="A1553" t="s">
        <v>3626</v>
      </c>
      <c r="B1553" s="1">
        <v>45380</v>
      </c>
      <c r="C1553" t="s">
        <v>3627</v>
      </c>
      <c r="D1553" t="s">
        <v>36</v>
      </c>
      <c r="E1553">
        <v>359.44</v>
      </c>
      <c r="F1553">
        <v>1</v>
      </c>
      <c r="G1553">
        <v>107.83</v>
      </c>
      <c r="H1553">
        <v>0.05</v>
      </c>
      <c r="I1553" t="s">
        <v>3627</v>
      </c>
      <c r="J1553" t="s">
        <v>3084</v>
      </c>
      <c r="K1553" t="s">
        <v>17</v>
      </c>
      <c r="L1553" t="s">
        <v>143</v>
      </c>
      <c r="M1553" t="s">
        <v>144</v>
      </c>
      <c r="N1553" t="s">
        <v>3966</v>
      </c>
      <c r="P1553">
        <f t="shared" si="24"/>
        <v>0.29999443578900514</v>
      </c>
    </row>
    <row r="1554" spans="1:16" x14ac:dyDescent="0.25">
      <c r="A1554" t="s">
        <v>3628</v>
      </c>
      <c r="B1554" s="1">
        <v>45792</v>
      </c>
      <c r="C1554" t="s">
        <v>3627</v>
      </c>
      <c r="D1554" t="s">
        <v>36</v>
      </c>
      <c r="E1554">
        <v>4922.3999999999996</v>
      </c>
      <c r="F1554">
        <v>10</v>
      </c>
      <c r="G1554">
        <v>1476.72</v>
      </c>
      <c r="H1554">
        <v>0</v>
      </c>
      <c r="I1554" t="s">
        <v>3627</v>
      </c>
      <c r="J1554" t="s">
        <v>3084</v>
      </c>
      <c r="K1554" t="s">
        <v>17</v>
      </c>
      <c r="L1554" t="s">
        <v>143</v>
      </c>
      <c r="M1554" t="s">
        <v>144</v>
      </c>
      <c r="N1554" t="s">
        <v>3968</v>
      </c>
      <c r="P1554">
        <f t="shared" si="24"/>
        <v>0.30000000000000004</v>
      </c>
    </row>
    <row r="1555" spans="1:16" x14ac:dyDescent="0.25">
      <c r="A1555" t="s">
        <v>3629</v>
      </c>
      <c r="B1555" s="1">
        <v>45753</v>
      </c>
      <c r="C1555" t="s">
        <v>3630</v>
      </c>
      <c r="D1555" t="s">
        <v>91</v>
      </c>
      <c r="E1555">
        <v>4158.3100000000004</v>
      </c>
      <c r="F1555">
        <v>9</v>
      </c>
      <c r="G1555">
        <v>1247.49</v>
      </c>
      <c r="H1555">
        <v>0.15</v>
      </c>
      <c r="I1555" t="s">
        <v>3630</v>
      </c>
      <c r="J1555" t="s">
        <v>1488</v>
      </c>
      <c r="K1555" t="s">
        <v>24</v>
      </c>
      <c r="L1555" t="s">
        <v>868</v>
      </c>
      <c r="M1555" t="s">
        <v>26</v>
      </c>
      <c r="N1555" t="s">
        <v>3966</v>
      </c>
      <c r="P1555">
        <f t="shared" si="24"/>
        <v>0.29999927855306602</v>
      </c>
    </row>
    <row r="1556" spans="1:16" x14ac:dyDescent="0.25">
      <c r="A1556" t="s">
        <v>3631</v>
      </c>
      <c r="B1556" s="1">
        <v>45328</v>
      </c>
      <c r="C1556" t="s">
        <v>3632</v>
      </c>
      <c r="D1556" t="s">
        <v>29</v>
      </c>
      <c r="E1556">
        <v>2168.9299999999998</v>
      </c>
      <c r="F1556">
        <v>17</v>
      </c>
      <c r="G1556">
        <v>650.67999999999995</v>
      </c>
      <c r="H1556">
        <v>0.1</v>
      </c>
      <c r="I1556" t="s">
        <v>3632</v>
      </c>
      <c r="J1556" t="s">
        <v>718</v>
      </c>
      <c r="K1556" t="s">
        <v>24</v>
      </c>
      <c r="L1556" t="s">
        <v>99</v>
      </c>
      <c r="M1556" t="s">
        <v>56</v>
      </c>
      <c r="N1556" t="s">
        <v>3967</v>
      </c>
      <c r="P1556">
        <f t="shared" si="24"/>
        <v>0.30000046105683448</v>
      </c>
    </row>
    <row r="1557" spans="1:16" x14ac:dyDescent="0.25">
      <c r="A1557" t="s">
        <v>3633</v>
      </c>
      <c r="B1557" s="1">
        <v>45791</v>
      </c>
      <c r="C1557" t="s">
        <v>3634</v>
      </c>
      <c r="D1557" t="s">
        <v>15</v>
      </c>
      <c r="E1557">
        <v>5429.16</v>
      </c>
      <c r="F1557">
        <v>12</v>
      </c>
      <c r="G1557">
        <v>1628.75</v>
      </c>
      <c r="H1557">
        <v>0.1</v>
      </c>
      <c r="I1557" t="s">
        <v>3634</v>
      </c>
      <c r="J1557" t="s">
        <v>121</v>
      </c>
      <c r="K1557" t="s">
        <v>31</v>
      </c>
      <c r="L1557" t="s">
        <v>1165</v>
      </c>
      <c r="M1557" t="s">
        <v>44</v>
      </c>
      <c r="N1557" t="s">
        <v>3966</v>
      </c>
      <c r="P1557">
        <f t="shared" si="24"/>
        <v>0.30000036838111238</v>
      </c>
    </row>
    <row r="1558" spans="1:16" x14ac:dyDescent="0.25">
      <c r="A1558" t="s">
        <v>3635</v>
      </c>
      <c r="B1558" s="1">
        <v>44939</v>
      </c>
      <c r="C1558" t="s">
        <v>3636</v>
      </c>
      <c r="D1558" t="s">
        <v>91</v>
      </c>
      <c r="E1558">
        <v>1476.59</v>
      </c>
      <c r="F1558">
        <v>10</v>
      </c>
      <c r="G1558">
        <v>442.98</v>
      </c>
      <c r="H1558">
        <v>0.05</v>
      </c>
      <c r="I1558" t="s">
        <v>3636</v>
      </c>
      <c r="J1558" t="s">
        <v>2270</v>
      </c>
      <c r="K1558" t="s">
        <v>17</v>
      </c>
      <c r="L1558" t="s">
        <v>1485</v>
      </c>
      <c r="M1558" t="s">
        <v>165</v>
      </c>
      <c r="N1558" t="s">
        <v>3966</v>
      </c>
      <c r="P1558">
        <f t="shared" si="24"/>
        <v>0.30000203170819256</v>
      </c>
    </row>
    <row r="1559" spans="1:16" x14ac:dyDescent="0.25">
      <c r="A1559" t="s">
        <v>3637</v>
      </c>
      <c r="B1559" s="1">
        <v>45341</v>
      </c>
      <c r="C1559" t="s">
        <v>3638</v>
      </c>
      <c r="D1559" t="s">
        <v>91</v>
      </c>
      <c r="E1559">
        <v>3667.14</v>
      </c>
      <c r="F1559">
        <v>18</v>
      </c>
      <c r="G1559">
        <v>1100.1400000000001</v>
      </c>
      <c r="H1559">
        <v>0</v>
      </c>
      <c r="I1559" t="s">
        <v>3638</v>
      </c>
      <c r="J1559" t="s">
        <v>3639</v>
      </c>
      <c r="K1559" t="s">
        <v>31</v>
      </c>
      <c r="L1559" t="s">
        <v>1067</v>
      </c>
      <c r="M1559" t="s">
        <v>26</v>
      </c>
      <c r="N1559" t="s">
        <v>3966</v>
      </c>
      <c r="P1559">
        <f t="shared" si="24"/>
        <v>0.2999994546158587</v>
      </c>
    </row>
    <row r="1560" spans="1:16" x14ac:dyDescent="0.25">
      <c r="A1560" t="s">
        <v>3640</v>
      </c>
      <c r="B1560" s="1">
        <v>45206</v>
      </c>
      <c r="C1560" t="s">
        <v>3641</v>
      </c>
      <c r="D1560" t="s">
        <v>22</v>
      </c>
      <c r="E1560">
        <v>1183.48</v>
      </c>
      <c r="F1560">
        <v>3</v>
      </c>
      <c r="G1560">
        <v>355.04</v>
      </c>
      <c r="H1560">
        <v>0.15</v>
      </c>
      <c r="I1560" t="s">
        <v>3641</v>
      </c>
      <c r="J1560" t="s">
        <v>924</v>
      </c>
      <c r="K1560" t="s">
        <v>24</v>
      </c>
      <c r="L1560" t="s">
        <v>82</v>
      </c>
      <c r="M1560" t="s">
        <v>83</v>
      </c>
      <c r="N1560" t="s">
        <v>3966</v>
      </c>
      <c r="P1560">
        <f t="shared" si="24"/>
        <v>0.29999662013722245</v>
      </c>
    </row>
    <row r="1561" spans="1:16" x14ac:dyDescent="0.25">
      <c r="A1561" t="s">
        <v>3642</v>
      </c>
      <c r="B1561" s="1">
        <v>45552</v>
      </c>
      <c r="C1561" t="s">
        <v>3643</v>
      </c>
      <c r="D1561" t="s">
        <v>36</v>
      </c>
      <c r="E1561">
        <v>751.45</v>
      </c>
      <c r="F1561">
        <v>2</v>
      </c>
      <c r="G1561">
        <v>225.44</v>
      </c>
      <c r="H1561">
        <v>0.15</v>
      </c>
      <c r="I1561" t="s">
        <v>3643</v>
      </c>
      <c r="J1561" t="s">
        <v>387</v>
      </c>
      <c r="K1561" t="s">
        <v>38</v>
      </c>
      <c r="L1561" t="s">
        <v>1500</v>
      </c>
      <c r="M1561" t="s">
        <v>266</v>
      </c>
      <c r="N1561" t="s">
        <v>3967</v>
      </c>
      <c r="P1561">
        <f t="shared" si="24"/>
        <v>0.30000665380264818</v>
      </c>
    </row>
    <row r="1562" spans="1:16" x14ac:dyDescent="0.25">
      <c r="A1562" t="s">
        <v>3644</v>
      </c>
      <c r="B1562" s="1">
        <v>45053</v>
      </c>
      <c r="C1562" t="s">
        <v>3645</v>
      </c>
      <c r="D1562" t="s">
        <v>22</v>
      </c>
      <c r="E1562">
        <v>551.35</v>
      </c>
      <c r="F1562">
        <v>7</v>
      </c>
      <c r="G1562">
        <v>165.41</v>
      </c>
      <c r="H1562">
        <v>0.05</v>
      </c>
      <c r="I1562" t="s">
        <v>3645</v>
      </c>
      <c r="J1562" t="s">
        <v>3646</v>
      </c>
      <c r="K1562" t="s">
        <v>31</v>
      </c>
      <c r="L1562" t="s">
        <v>50</v>
      </c>
      <c r="M1562" t="s">
        <v>51</v>
      </c>
      <c r="N1562" t="s">
        <v>3968</v>
      </c>
      <c r="P1562">
        <f t="shared" si="24"/>
        <v>0.30000906864967802</v>
      </c>
    </row>
    <row r="1563" spans="1:16" x14ac:dyDescent="0.25">
      <c r="A1563" t="s">
        <v>639</v>
      </c>
      <c r="B1563" s="1">
        <v>45272</v>
      </c>
      <c r="C1563" t="s">
        <v>640</v>
      </c>
      <c r="D1563" t="s">
        <v>22</v>
      </c>
      <c r="E1563">
        <v>5173.17</v>
      </c>
      <c r="F1563">
        <v>13</v>
      </c>
      <c r="G1563">
        <v>1551.95</v>
      </c>
      <c r="H1563">
        <v>0.15</v>
      </c>
      <c r="I1563" t="s">
        <v>640</v>
      </c>
      <c r="J1563" t="s">
        <v>92</v>
      </c>
      <c r="K1563" t="s">
        <v>31</v>
      </c>
      <c r="L1563" t="s">
        <v>1081</v>
      </c>
      <c r="M1563" t="s">
        <v>412</v>
      </c>
      <c r="N1563" t="s">
        <v>3968</v>
      </c>
      <c r="P1563">
        <f t="shared" si="24"/>
        <v>0.29999980669492787</v>
      </c>
    </row>
    <row r="1564" spans="1:16" x14ac:dyDescent="0.25">
      <c r="A1564" t="s">
        <v>641</v>
      </c>
      <c r="B1564" s="1">
        <v>45060</v>
      </c>
      <c r="C1564" t="s">
        <v>640</v>
      </c>
      <c r="D1564" t="s">
        <v>48</v>
      </c>
      <c r="E1564">
        <v>3784.3</v>
      </c>
      <c r="F1564">
        <v>13</v>
      </c>
      <c r="G1564">
        <v>1135.29</v>
      </c>
      <c r="H1564">
        <v>0</v>
      </c>
      <c r="I1564" t="s">
        <v>640</v>
      </c>
      <c r="J1564" t="s">
        <v>92</v>
      </c>
      <c r="K1564" t="s">
        <v>31</v>
      </c>
      <c r="L1564" t="s">
        <v>1081</v>
      </c>
      <c r="M1564" t="s">
        <v>412</v>
      </c>
      <c r="N1564" t="s">
        <v>3966</v>
      </c>
      <c r="P1564">
        <f t="shared" si="24"/>
        <v>0.3</v>
      </c>
    </row>
    <row r="1565" spans="1:16" x14ac:dyDescent="0.25">
      <c r="A1565" t="s">
        <v>3057</v>
      </c>
      <c r="B1565" s="1">
        <v>45727</v>
      </c>
      <c r="C1565" t="s">
        <v>3058</v>
      </c>
      <c r="D1565" t="s">
        <v>91</v>
      </c>
      <c r="E1565">
        <v>32.26</v>
      </c>
      <c r="F1565">
        <v>3</v>
      </c>
      <c r="G1565">
        <v>9.68</v>
      </c>
      <c r="H1565">
        <v>0.05</v>
      </c>
      <c r="I1565" t="s">
        <v>3058</v>
      </c>
      <c r="J1565" t="s">
        <v>2802</v>
      </c>
      <c r="K1565" t="s">
        <v>38</v>
      </c>
      <c r="L1565" t="s">
        <v>3647</v>
      </c>
      <c r="M1565" t="s">
        <v>354</v>
      </c>
      <c r="N1565" t="s">
        <v>3966</v>
      </c>
      <c r="P1565">
        <f t="shared" si="24"/>
        <v>0.30006199628022318</v>
      </c>
    </row>
    <row r="1566" spans="1:16" x14ac:dyDescent="0.25">
      <c r="A1566" t="s">
        <v>3059</v>
      </c>
      <c r="B1566" s="1">
        <v>45175</v>
      </c>
      <c r="C1566" t="s">
        <v>3058</v>
      </c>
      <c r="D1566" t="s">
        <v>36</v>
      </c>
      <c r="E1566">
        <v>891.96</v>
      </c>
      <c r="F1566">
        <v>3</v>
      </c>
      <c r="G1566">
        <v>267.58999999999997</v>
      </c>
      <c r="H1566">
        <v>0.05</v>
      </c>
      <c r="I1566" t="s">
        <v>3058</v>
      </c>
      <c r="J1566" t="s">
        <v>2802</v>
      </c>
      <c r="K1566" t="s">
        <v>38</v>
      </c>
      <c r="L1566" t="s">
        <v>3647</v>
      </c>
      <c r="M1566" t="s">
        <v>354</v>
      </c>
      <c r="N1566" t="s">
        <v>3966</v>
      </c>
      <c r="P1566">
        <f t="shared" si="24"/>
        <v>0.30000224225301581</v>
      </c>
    </row>
    <row r="1567" spans="1:16" x14ac:dyDescent="0.25">
      <c r="A1567" t="s">
        <v>3626</v>
      </c>
      <c r="B1567" s="1">
        <v>45380</v>
      </c>
      <c r="C1567" t="s">
        <v>3627</v>
      </c>
      <c r="D1567" t="s">
        <v>36</v>
      </c>
      <c r="E1567">
        <v>359.44</v>
      </c>
      <c r="F1567">
        <v>1</v>
      </c>
      <c r="G1567">
        <v>107.83</v>
      </c>
      <c r="H1567">
        <v>0.05</v>
      </c>
      <c r="I1567" t="s">
        <v>3627</v>
      </c>
      <c r="J1567" t="s">
        <v>477</v>
      </c>
      <c r="K1567" t="s">
        <v>17</v>
      </c>
      <c r="L1567" t="s">
        <v>318</v>
      </c>
      <c r="M1567" t="s">
        <v>134</v>
      </c>
      <c r="N1567" t="s">
        <v>3968</v>
      </c>
      <c r="P1567">
        <f t="shared" si="24"/>
        <v>0.29999443578900514</v>
      </c>
    </row>
    <row r="1568" spans="1:16" x14ac:dyDescent="0.25">
      <c r="A1568" t="s">
        <v>3628</v>
      </c>
      <c r="B1568" s="1">
        <v>45792</v>
      </c>
      <c r="C1568" t="s">
        <v>3627</v>
      </c>
      <c r="D1568" t="s">
        <v>36</v>
      </c>
      <c r="E1568">
        <v>4922.3999999999996</v>
      </c>
      <c r="F1568">
        <v>10</v>
      </c>
      <c r="G1568">
        <v>1476.72</v>
      </c>
      <c r="H1568">
        <v>0</v>
      </c>
      <c r="I1568" t="s">
        <v>3627</v>
      </c>
      <c r="J1568" t="s">
        <v>477</v>
      </c>
      <c r="K1568" t="s">
        <v>17</v>
      </c>
      <c r="L1568" t="s">
        <v>318</v>
      </c>
      <c r="M1568" t="s">
        <v>134</v>
      </c>
      <c r="N1568" t="s">
        <v>3966</v>
      </c>
      <c r="P1568">
        <f t="shared" si="24"/>
        <v>0.30000000000000004</v>
      </c>
    </row>
    <row r="1569" spans="1:16" x14ac:dyDescent="0.25">
      <c r="A1569" t="s">
        <v>3648</v>
      </c>
      <c r="B1569" s="1">
        <v>45501</v>
      </c>
      <c r="C1569" t="s">
        <v>3649</v>
      </c>
      <c r="D1569" t="s">
        <v>91</v>
      </c>
      <c r="E1569">
        <v>366.36</v>
      </c>
      <c r="F1569">
        <v>6</v>
      </c>
      <c r="G1569">
        <v>109.91</v>
      </c>
      <c r="H1569">
        <v>0</v>
      </c>
      <c r="I1569" t="s">
        <v>3649</v>
      </c>
      <c r="J1569" t="s">
        <v>2339</v>
      </c>
      <c r="K1569" t="s">
        <v>71</v>
      </c>
      <c r="L1569" t="s">
        <v>3650</v>
      </c>
      <c r="M1569" t="s">
        <v>186</v>
      </c>
      <c r="N1569" t="s">
        <v>3966</v>
      </c>
      <c r="P1569">
        <f t="shared" si="24"/>
        <v>0.30000545911125664</v>
      </c>
    </row>
    <row r="1570" spans="1:16" x14ac:dyDescent="0.25">
      <c r="A1570" t="s">
        <v>3651</v>
      </c>
      <c r="B1570" s="1">
        <v>45484</v>
      </c>
      <c r="C1570" t="s">
        <v>3652</v>
      </c>
      <c r="D1570" t="s">
        <v>91</v>
      </c>
      <c r="E1570">
        <v>1235.56</v>
      </c>
      <c r="F1570">
        <v>14</v>
      </c>
      <c r="G1570">
        <v>370.67</v>
      </c>
      <c r="H1570">
        <v>0.1</v>
      </c>
      <c r="I1570" t="s">
        <v>3652</v>
      </c>
      <c r="J1570" t="s">
        <v>998</v>
      </c>
      <c r="K1570" t="s">
        <v>24</v>
      </c>
      <c r="L1570" t="s">
        <v>318</v>
      </c>
      <c r="M1570" t="s">
        <v>266</v>
      </c>
      <c r="N1570" t="s">
        <v>3966</v>
      </c>
      <c r="P1570">
        <f t="shared" si="24"/>
        <v>0.30000161869921332</v>
      </c>
    </row>
    <row r="1571" spans="1:16" x14ac:dyDescent="0.25">
      <c r="A1571" t="s">
        <v>3653</v>
      </c>
      <c r="B1571" s="1">
        <v>45478</v>
      </c>
      <c r="C1571" t="s">
        <v>3654</v>
      </c>
      <c r="D1571" t="s">
        <v>15</v>
      </c>
      <c r="E1571">
        <v>1684.5</v>
      </c>
      <c r="F1571">
        <v>16</v>
      </c>
      <c r="G1571">
        <v>505.35</v>
      </c>
      <c r="H1571">
        <v>0.15</v>
      </c>
      <c r="I1571" t="s">
        <v>3654</v>
      </c>
      <c r="J1571" t="s">
        <v>3655</v>
      </c>
      <c r="K1571" t="s">
        <v>71</v>
      </c>
      <c r="L1571" t="s">
        <v>488</v>
      </c>
      <c r="M1571" t="s">
        <v>26</v>
      </c>
      <c r="N1571" t="s">
        <v>3967</v>
      </c>
      <c r="P1571">
        <f t="shared" si="24"/>
        <v>0.3</v>
      </c>
    </row>
    <row r="1572" spans="1:16" x14ac:dyDescent="0.25">
      <c r="A1572" t="s">
        <v>3656</v>
      </c>
      <c r="B1572" s="1">
        <v>45320</v>
      </c>
      <c r="C1572" t="s">
        <v>3657</v>
      </c>
      <c r="D1572" t="s">
        <v>91</v>
      </c>
      <c r="E1572">
        <v>1970.64</v>
      </c>
      <c r="F1572">
        <v>12</v>
      </c>
      <c r="G1572">
        <v>591.19000000000005</v>
      </c>
      <c r="H1572">
        <v>0</v>
      </c>
      <c r="I1572" t="s">
        <v>3657</v>
      </c>
      <c r="J1572" t="s">
        <v>184</v>
      </c>
      <c r="K1572" t="s">
        <v>17</v>
      </c>
      <c r="L1572" t="s">
        <v>72</v>
      </c>
      <c r="M1572" t="s">
        <v>26</v>
      </c>
      <c r="N1572" t="s">
        <v>3966</v>
      </c>
      <c r="P1572">
        <f t="shared" si="24"/>
        <v>0.29999898510128692</v>
      </c>
    </row>
    <row r="1573" spans="1:16" x14ac:dyDescent="0.25">
      <c r="A1573" t="s">
        <v>3658</v>
      </c>
      <c r="B1573" s="1">
        <v>45370</v>
      </c>
      <c r="C1573" t="s">
        <v>3657</v>
      </c>
      <c r="D1573" t="s">
        <v>15</v>
      </c>
      <c r="E1573">
        <v>1372.56</v>
      </c>
      <c r="F1573">
        <v>16</v>
      </c>
      <c r="G1573">
        <v>411.77</v>
      </c>
      <c r="H1573">
        <v>0.05</v>
      </c>
      <c r="I1573" t="s">
        <v>3657</v>
      </c>
      <c r="J1573" t="s">
        <v>184</v>
      </c>
      <c r="K1573" t="s">
        <v>17</v>
      </c>
      <c r="L1573" t="s">
        <v>72</v>
      </c>
      <c r="M1573" t="s">
        <v>26</v>
      </c>
      <c r="N1573" t="s">
        <v>3966</v>
      </c>
      <c r="P1573">
        <f t="shared" si="24"/>
        <v>0.30000145713120008</v>
      </c>
    </row>
    <row r="1574" spans="1:16" x14ac:dyDescent="0.25">
      <c r="A1574" t="s">
        <v>3659</v>
      </c>
      <c r="B1574" s="1">
        <v>45285</v>
      </c>
      <c r="C1574" t="s">
        <v>3660</v>
      </c>
      <c r="D1574" t="s">
        <v>91</v>
      </c>
      <c r="E1574">
        <v>7628.74</v>
      </c>
      <c r="F1574">
        <v>18</v>
      </c>
      <c r="G1574">
        <v>2288.62</v>
      </c>
      <c r="H1574">
        <v>0.1</v>
      </c>
      <c r="I1574" t="s">
        <v>3660</v>
      </c>
      <c r="J1574" t="s">
        <v>1054</v>
      </c>
      <c r="K1574" t="s">
        <v>38</v>
      </c>
      <c r="L1574" t="s">
        <v>774</v>
      </c>
      <c r="M1574" t="s">
        <v>44</v>
      </c>
      <c r="N1574" t="s">
        <v>3966</v>
      </c>
      <c r="P1574">
        <f t="shared" si="24"/>
        <v>0.29999973783350853</v>
      </c>
    </row>
    <row r="1575" spans="1:16" x14ac:dyDescent="0.25">
      <c r="A1575" t="s">
        <v>3661</v>
      </c>
      <c r="B1575" s="1">
        <v>45629</v>
      </c>
      <c r="C1575" t="s">
        <v>3662</v>
      </c>
      <c r="D1575" t="s">
        <v>48</v>
      </c>
      <c r="E1575">
        <v>4601.3999999999996</v>
      </c>
      <c r="F1575">
        <v>12</v>
      </c>
      <c r="G1575">
        <v>1380.42</v>
      </c>
      <c r="H1575">
        <v>0</v>
      </c>
      <c r="I1575" t="s">
        <v>3662</v>
      </c>
      <c r="J1575" t="s">
        <v>1856</v>
      </c>
      <c r="K1575" t="s">
        <v>24</v>
      </c>
      <c r="L1575" t="s">
        <v>322</v>
      </c>
      <c r="M1575" t="s">
        <v>632</v>
      </c>
      <c r="N1575" t="s">
        <v>3966</v>
      </c>
      <c r="P1575">
        <f t="shared" si="24"/>
        <v>0.30000000000000004</v>
      </c>
    </row>
    <row r="1576" spans="1:16" x14ac:dyDescent="0.25">
      <c r="A1576" t="s">
        <v>3663</v>
      </c>
      <c r="B1576" s="1">
        <v>45177</v>
      </c>
      <c r="C1576" t="s">
        <v>3664</v>
      </c>
      <c r="D1576" t="s">
        <v>91</v>
      </c>
      <c r="E1576">
        <v>4996.9799999999996</v>
      </c>
      <c r="F1576">
        <v>20</v>
      </c>
      <c r="G1576">
        <v>1499.09</v>
      </c>
      <c r="H1576">
        <v>0.15</v>
      </c>
      <c r="I1576" t="s">
        <v>3664</v>
      </c>
      <c r="J1576" t="s">
        <v>1793</v>
      </c>
      <c r="K1576" t="s">
        <v>17</v>
      </c>
      <c r="L1576" t="s">
        <v>3665</v>
      </c>
      <c r="M1576" t="s">
        <v>56</v>
      </c>
      <c r="N1576" t="s">
        <v>3966</v>
      </c>
      <c r="P1576">
        <f t="shared" si="24"/>
        <v>0.299999199516508</v>
      </c>
    </row>
    <row r="1577" spans="1:16" x14ac:dyDescent="0.25">
      <c r="A1577" t="s">
        <v>3666</v>
      </c>
      <c r="B1577" s="1">
        <v>45296</v>
      </c>
      <c r="C1577" t="s">
        <v>3667</v>
      </c>
      <c r="D1577" t="s">
        <v>29</v>
      </c>
      <c r="E1577">
        <v>908.02</v>
      </c>
      <c r="F1577">
        <v>2</v>
      </c>
      <c r="G1577">
        <v>272.41000000000003</v>
      </c>
      <c r="H1577">
        <v>0</v>
      </c>
      <c r="I1577" t="s">
        <v>3667</v>
      </c>
      <c r="J1577" t="s">
        <v>3668</v>
      </c>
      <c r="K1577" t="s">
        <v>17</v>
      </c>
      <c r="L1577" t="s">
        <v>3458</v>
      </c>
      <c r="M1577" t="s">
        <v>33</v>
      </c>
      <c r="N1577" t="s">
        <v>3966</v>
      </c>
      <c r="P1577">
        <f t="shared" si="24"/>
        <v>0.30000440518931304</v>
      </c>
    </row>
    <row r="1578" spans="1:16" x14ac:dyDescent="0.25">
      <c r="A1578" t="s">
        <v>3669</v>
      </c>
      <c r="B1578" s="1">
        <v>45141</v>
      </c>
      <c r="C1578" t="s">
        <v>3670</v>
      </c>
      <c r="D1578" t="s">
        <v>36</v>
      </c>
      <c r="E1578">
        <v>776.86</v>
      </c>
      <c r="F1578">
        <v>5</v>
      </c>
      <c r="G1578">
        <v>233.06</v>
      </c>
      <c r="H1578">
        <v>0.05</v>
      </c>
      <c r="I1578" t="s">
        <v>3670</v>
      </c>
      <c r="J1578" t="s">
        <v>989</v>
      </c>
      <c r="K1578" t="s">
        <v>24</v>
      </c>
      <c r="L1578" t="s">
        <v>50</v>
      </c>
      <c r="M1578" t="s">
        <v>51</v>
      </c>
      <c r="N1578" t="s">
        <v>3968</v>
      </c>
      <c r="P1578">
        <f t="shared" si="24"/>
        <v>0.30000257446644185</v>
      </c>
    </row>
    <row r="1579" spans="1:16" x14ac:dyDescent="0.25">
      <c r="A1579" t="s">
        <v>3671</v>
      </c>
      <c r="B1579" s="1">
        <v>45699</v>
      </c>
      <c r="C1579" t="s">
        <v>3672</v>
      </c>
      <c r="D1579" t="s">
        <v>48</v>
      </c>
      <c r="E1579">
        <v>1699.32</v>
      </c>
      <c r="F1579">
        <v>12</v>
      </c>
      <c r="G1579">
        <v>509.8</v>
      </c>
      <c r="H1579">
        <v>0</v>
      </c>
      <c r="I1579" t="s">
        <v>3672</v>
      </c>
      <c r="J1579" t="s">
        <v>3290</v>
      </c>
      <c r="K1579" t="s">
        <v>31</v>
      </c>
      <c r="L1579" t="s">
        <v>3673</v>
      </c>
      <c r="M1579" t="s">
        <v>26</v>
      </c>
      <c r="N1579" t="s">
        <v>3968</v>
      </c>
      <c r="P1579">
        <f t="shared" si="24"/>
        <v>0.30000235388272956</v>
      </c>
    </row>
    <row r="1580" spans="1:16" x14ac:dyDescent="0.25">
      <c r="A1580" t="s">
        <v>3674</v>
      </c>
      <c r="B1580" s="1">
        <v>45094</v>
      </c>
      <c r="C1580" t="s">
        <v>3675</v>
      </c>
      <c r="D1580" t="s">
        <v>36</v>
      </c>
      <c r="E1580">
        <v>1793.77</v>
      </c>
      <c r="F1580">
        <v>6</v>
      </c>
      <c r="G1580">
        <v>538.13</v>
      </c>
      <c r="H1580">
        <v>0.1</v>
      </c>
      <c r="I1580" t="s">
        <v>3675</v>
      </c>
      <c r="J1580" t="s">
        <v>2495</v>
      </c>
      <c r="K1580" t="s">
        <v>24</v>
      </c>
      <c r="L1580" t="s">
        <v>25</v>
      </c>
      <c r="M1580" t="s">
        <v>26</v>
      </c>
      <c r="N1580" t="s">
        <v>3966</v>
      </c>
      <c r="P1580">
        <f t="shared" si="24"/>
        <v>0.29999944251492666</v>
      </c>
    </row>
    <row r="1581" spans="1:16" x14ac:dyDescent="0.25">
      <c r="A1581" t="s">
        <v>3676</v>
      </c>
      <c r="B1581" s="1">
        <v>45327</v>
      </c>
      <c r="C1581" t="s">
        <v>3677</v>
      </c>
      <c r="D1581" t="s">
        <v>48</v>
      </c>
      <c r="E1581">
        <v>5521.12</v>
      </c>
      <c r="F1581">
        <v>14</v>
      </c>
      <c r="G1581">
        <v>1656.34</v>
      </c>
      <c r="H1581">
        <v>0.15</v>
      </c>
      <c r="I1581" t="s">
        <v>3677</v>
      </c>
      <c r="J1581" t="s">
        <v>3678</v>
      </c>
      <c r="K1581" t="s">
        <v>38</v>
      </c>
      <c r="L1581" t="s">
        <v>72</v>
      </c>
      <c r="M1581" t="s">
        <v>26</v>
      </c>
      <c r="N1581" t="s">
        <v>3966</v>
      </c>
      <c r="P1581">
        <f t="shared" si="24"/>
        <v>0.30000072449068305</v>
      </c>
    </row>
    <row r="1582" spans="1:16" x14ac:dyDescent="0.25">
      <c r="A1582" t="s">
        <v>2787</v>
      </c>
      <c r="B1582" s="1">
        <v>45368</v>
      </c>
      <c r="C1582" t="s">
        <v>2788</v>
      </c>
      <c r="D1582" t="s">
        <v>29</v>
      </c>
      <c r="E1582">
        <v>580.29999999999995</v>
      </c>
      <c r="F1582">
        <v>10</v>
      </c>
      <c r="G1582">
        <v>174.09</v>
      </c>
      <c r="H1582">
        <v>0.15</v>
      </c>
      <c r="I1582" t="s">
        <v>2788</v>
      </c>
      <c r="J1582" t="s">
        <v>1293</v>
      </c>
      <c r="K1582" t="s">
        <v>24</v>
      </c>
      <c r="L1582" t="s">
        <v>143</v>
      </c>
      <c r="M1582" t="s">
        <v>144</v>
      </c>
      <c r="N1582" t="s">
        <v>3966</v>
      </c>
      <c r="P1582">
        <f t="shared" si="24"/>
        <v>0.30000000000000004</v>
      </c>
    </row>
    <row r="1583" spans="1:16" x14ac:dyDescent="0.25">
      <c r="A1583" t="s">
        <v>2789</v>
      </c>
      <c r="B1583" s="1">
        <v>44955</v>
      </c>
      <c r="C1583" t="s">
        <v>2788</v>
      </c>
      <c r="D1583" t="s">
        <v>15</v>
      </c>
      <c r="E1583">
        <v>8654.4599999999991</v>
      </c>
      <c r="F1583">
        <v>17</v>
      </c>
      <c r="G1583">
        <v>2596.34</v>
      </c>
      <c r="H1583">
        <v>0.05</v>
      </c>
      <c r="I1583" t="s">
        <v>2788</v>
      </c>
      <c r="J1583" t="s">
        <v>1293</v>
      </c>
      <c r="K1583" t="s">
        <v>24</v>
      </c>
      <c r="L1583" t="s">
        <v>143</v>
      </c>
      <c r="M1583" t="s">
        <v>144</v>
      </c>
      <c r="N1583" t="s">
        <v>3966</v>
      </c>
      <c r="P1583">
        <f t="shared" si="24"/>
        <v>0.30000023109471885</v>
      </c>
    </row>
    <row r="1584" spans="1:16" x14ac:dyDescent="0.25">
      <c r="A1584" t="s">
        <v>3679</v>
      </c>
      <c r="B1584" s="1">
        <v>45325</v>
      </c>
      <c r="C1584" t="s">
        <v>3680</v>
      </c>
      <c r="D1584" t="s">
        <v>15</v>
      </c>
      <c r="E1584">
        <v>205.28</v>
      </c>
      <c r="F1584">
        <v>8</v>
      </c>
      <c r="G1584">
        <v>61.58</v>
      </c>
      <c r="H1584">
        <v>0.05</v>
      </c>
      <c r="I1584" t="s">
        <v>3680</v>
      </c>
      <c r="J1584" t="s">
        <v>3681</v>
      </c>
      <c r="K1584" t="s">
        <v>38</v>
      </c>
      <c r="L1584" t="s">
        <v>265</v>
      </c>
      <c r="M1584" t="s">
        <v>645</v>
      </c>
      <c r="N1584" t="s">
        <v>3966</v>
      </c>
      <c r="P1584">
        <f t="shared" si="24"/>
        <v>0.29998051441932971</v>
      </c>
    </row>
    <row r="1585" spans="1:16" x14ac:dyDescent="0.25">
      <c r="A1585" t="s">
        <v>2415</v>
      </c>
      <c r="B1585" s="1">
        <v>45016</v>
      </c>
      <c r="C1585" t="s">
        <v>2416</v>
      </c>
      <c r="D1585" t="s">
        <v>91</v>
      </c>
      <c r="E1585">
        <v>638.28</v>
      </c>
      <c r="F1585">
        <v>9</v>
      </c>
      <c r="G1585">
        <v>191.48</v>
      </c>
      <c r="H1585">
        <v>0.1</v>
      </c>
      <c r="I1585" t="s">
        <v>2416</v>
      </c>
      <c r="J1585" t="s">
        <v>3682</v>
      </c>
      <c r="K1585" t="s">
        <v>31</v>
      </c>
      <c r="L1585" t="s">
        <v>1987</v>
      </c>
      <c r="M1585" t="s">
        <v>67</v>
      </c>
      <c r="N1585" t="s">
        <v>3966</v>
      </c>
      <c r="P1585">
        <f t="shared" si="24"/>
        <v>0.29999373315786176</v>
      </c>
    </row>
    <row r="1586" spans="1:16" x14ac:dyDescent="0.25">
      <c r="A1586" t="s">
        <v>2419</v>
      </c>
      <c r="B1586" s="1">
        <v>45836</v>
      </c>
      <c r="C1586" t="s">
        <v>2416</v>
      </c>
      <c r="D1586" t="s">
        <v>91</v>
      </c>
      <c r="E1586">
        <v>3772.25</v>
      </c>
      <c r="F1586">
        <v>13</v>
      </c>
      <c r="G1586">
        <v>1131.67</v>
      </c>
      <c r="H1586">
        <v>0.15</v>
      </c>
      <c r="I1586" t="s">
        <v>2416</v>
      </c>
      <c r="J1586" t="s">
        <v>3682</v>
      </c>
      <c r="K1586" t="s">
        <v>31</v>
      </c>
      <c r="L1586" t="s">
        <v>1987</v>
      </c>
      <c r="M1586" t="s">
        <v>67</v>
      </c>
      <c r="N1586" t="s">
        <v>3966</v>
      </c>
      <c r="P1586">
        <f t="shared" si="24"/>
        <v>0.29999867453111539</v>
      </c>
    </row>
    <row r="1587" spans="1:16" x14ac:dyDescent="0.25">
      <c r="A1587" t="s">
        <v>3279</v>
      </c>
      <c r="B1587" s="1">
        <v>45156</v>
      </c>
      <c r="C1587" t="s">
        <v>3280</v>
      </c>
      <c r="D1587" t="s">
        <v>91</v>
      </c>
      <c r="E1587">
        <v>2375.65</v>
      </c>
      <c r="F1587">
        <v>16</v>
      </c>
      <c r="G1587">
        <v>712.69</v>
      </c>
      <c r="H1587">
        <v>0.15</v>
      </c>
      <c r="I1587" t="s">
        <v>3280</v>
      </c>
      <c r="J1587" t="s">
        <v>333</v>
      </c>
      <c r="K1587" t="s">
        <v>71</v>
      </c>
      <c r="L1587" t="s">
        <v>72</v>
      </c>
      <c r="M1587" t="s">
        <v>26</v>
      </c>
      <c r="N1587" t="s">
        <v>3966</v>
      </c>
      <c r="P1587">
        <f t="shared" si="24"/>
        <v>0.29999789531286175</v>
      </c>
    </row>
    <row r="1588" spans="1:16" x14ac:dyDescent="0.25">
      <c r="A1588" t="s">
        <v>3281</v>
      </c>
      <c r="B1588" s="1">
        <v>45222</v>
      </c>
      <c r="C1588" t="s">
        <v>3280</v>
      </c>
      <c r="D1588" t="s">
        <v>36</v>
      </c>
      <c r="E1588">
        <v>386</v>
      </c>
      <c r="F1588">
        <v>20</v>
      </c>
      <c r="G1588">
        <v>115.8</v>
      </c>
      <c r="H1588">
        <v>0</v>
      </c>
      <c r="I1588" t="s">
        <v>3280</v>
      </c>
      <c r="J1588" t="s">
        <v>333</v>
      </c>
      <c r="K1588" t="s">
        <v>71</v>
      </c>
      <c r="L1588" t="s">
        <v>72</v>
      </c>
      <c r="M1588" t="s">
        <v>26</v>
      </c>
      <c r="N1588" t="s">
        <v>3966</v>
      </c>
      <c r="P1588">
        <f t="shared" si="24"/>
        <v>0.3</v>
      </c>
    </row>
    <row r="1589" spans="1:16" x14ac:dyDescent="0.25">
      <c r="A1589" t="s">
        <v>2058</v>
      </c>
      <c r="B1589" s="1">
        <v>45179</v>
      </c>
      <c r="C1589" t="s">
        <v>2059</v>
      </c>
      <c r="D1589" t="s">
        <v>41</v>
      </c>
      <c r="E1589">
        <v>1163.03</v>
      </c>
      <c r="F1589">
        <v>4</v>
      </c>
      <c r="G1589">
        <v>348.91</v>
      </c>
      <c r="H1589">
        <v>0.05</v>
      </c>
      <c r="I1589" t="s">
        <v>2059</v>
      </c>
      <c r="J1589" t="s">
        <v>2275</v>
      </c>
      <c r="K1589" t="s">
        <v>38</v>
      </c>
      <c r="L1589" t="s">
        <v>82</v>
      </c>
      <c r="M1589" t="s">
        <v>83</v>
      </c>
      <c r="N1589" t="s">
        <v>3966</v>
      </c>
      <c r="P1589">
        <f t="shared" si="24"/>
        <v>0.30000085982304847</v>
      </c>
    </row>
    <row r="1590" spans="1:16" x14ac:dyDescent="0.25">
      <c r="A1590" t="s">
        <v>2062</v>
      </c>
      <c r="B1590" s="1">
        <v>45408</v>
      </c>
      <c r="C1590" t="s">
        <v>2059</v>
      </c>
      <c r="D1590" t="s">
        <v>36</v>
      </c>
      <c r="E1590">
        <v>7103.04</v>
      </c>
      <c r="F1590">
        <v>12</v>
      </c>
      <c r="G1590">
        <v>2130.91</v>
      </c>
      <c r="H1590">
        <v>0</v>
      </c>
      <c r="I1590" t="s">
        <v>2059</v>
      </c>
      <c r="J1590" t="s">
        <v>2275</v>
      </c>
      <c r="K1590" t="s">
        <v>38</v>
      </c>
      <c r="L1590" t="s">
        <v>82</v>
      </c>
      <c r="M1590" t="s">
        <v>83</v>
      </c>
      <c r="N1590" t="s">
        <v>3966</v>
      </c>
      <c r="P1590">
        <f t="shared" si="24"/>
        <v>0.2999997184304185</v>
      </c>
    </row>
    <row r="1591" spans="1:16" x14ac:dyDescent="0.25">
      <c r="A1591" t="s">
        <v>3656</v>
      </c>
      <c r="B1591" s="1">
        <v>45320</v>
      </c>
      <c r="C1591" t="s">
        <v>3657</v>
      </c>
      <c r="D1591" t="s">
        <v>91</v>
      </c>
      <c r="E1591">
        <v>1970.64</v>
      </c>
      <c r="F1591">
        <v>12</v>
      </c>
      <c r="G1591">
        <v>591.19000000000005</v>
      </c>
      <c r="H1591">
        <v>0</v>
      </c>
      <c r="I1591" t="s">
        <v>3657</v>
      </c>
      <c r="J1591" t="s">
        <v>1563</v>
      </c>
      <c r="K1591" t="s">
        <v>24</v>
      </c>
      <c r="L1591" t="s">
        <v>82</v>
      </c>
      <c r="M1591" t="s">
        <v>83</v>
      </c>
      <c r="N1591" t="s">
        <v>3967</v>
      </c>
      <c r="P1591">
        <f t="shared" si="24"/>
        <v>0.29999898510128692</v>
      </c>
    </row>
    <row r="1592" spans="1:16" x14ac:dyDescent="0.25">
      <c r="A1592" t="s">
        <v>3658</v>
      </c>
      <c r="B1592" s="1">
        <v>45370</v>
      </c>
      <c r="C1592" t="s">
        <v>3657</v>
      </c>
      <c r="D1592" t="s">
        <v>15</v>
      </c>
      <c r="E1592">
        <v>1372.56</v>
      </c>
      <c r="F1592">
        <v>16</v>
      </c>
      <c r="G1592">
        <v>411.77</v>
      </c>
      <c r="H1592">
        <v>0.05</v>
      </c>
      <c r="I1592" t="s">
        <v>3657</v>
      </c>
      <c r="J1592" t="s">
        <v>1563</v>
      </c>
      <c r="K1592" t="s">
        <v>24</v>
      </c>
      <c r="L1592" t="s">
        <v>82</v>
      </c>
      <c r="M1592" t="s">
        <v>83</v>
      </c>
      <c r="N1592" t="s">
        <v>3967</v>
      </c>
      <c r="P1592">
        <f t="shared" si="24"/>
        <v>0.30000145713120008</v>
      </c>
    </row>
    <row r="1593" spans="1:16" x14ac:dyDescent="0.25">
      <c r="A1593" t="s">
        <v>3683</v>
      </c>
      <c r="B1593" s="1">
        <v>45372</v>
      </c>
      <c r="C1593" t="s">
        <v>3684</v>
      </c>
      <c r="D1593" t="s">
        <v>91</v>
      </c>
      <c r="E1593">
        <v>6725.8</v>
      </c>
      <c r="F1593">
        <v>20</v>
      </c>
      <c r="G1593">
        <v>2017.74</v>
      </c>
      <c r="H1593">
        <v>0</v>
      </c>
      <c r="I1593" t="s">
        <v>3684</v>
      </c>
      <c r="J1593" t="s">
        <v>3685</v>
      </c>
      <c r="K1593" t="s">
        <v>31</v>
      </c>
      <c r="L1593" t="s">
        <v>427</v>
      </c>
      <c r="M1593" t="s">
        <v>56</v>
      </c>
      <c r="N1593" t="s">
        <v>3967</v>
      </c>
      <c r="P1593">
        <f t="shared" si="24"/>
        <v>0.3</v>
      </c>
    </row>
    <row r="1594" spans="1:16" x14ac:dyDescent="0.25">
      <c r="A1594" t="s">
        <v>3686</v>
      </c>
      <c r="B1594" s="1">
        <v>45507</v>
      </c>
      <c r="C1594" t="s">
        <v>3687</v>
      </c>
      <c r="D1594" t="s">
        <v>91</v>
      </c>
      <c r="E1594">
        <v>1135.58</v>
      </c>
      <c r="F1594">
        <v>7</v>
      </c>
      <c r="G1594">
        <v>340.67</v>
      </c>
      <c r="H1594">
        <v>0.1</v>
      </c>
      <c r="I1594" t="s">
        <v>3687</v>
      </c>
      <c r="J1594" t="s">
        <v>1645</v>
      </c>
      <c r="K1594" t="s">
        <v>71</v>
      </c>
      <c r="L1594" t="s">
        <v>3688</v>
      </c>
      <c r="M1594" t="s">
        <v>61</v>
      </c>
      <c r="N1594" t="s">
        <v>3966</v>
      </c>
      <c r="P1594">
        <f t="shared" si="24"/>
        <v>0.29999647757093295</v>
      </c>
    </row>
    <row r="1595" spans="1:16" x14ac:dyDescent="0.25">
      <c r="A1595" t="s">
        <v>3689</v>
      </c>
      <c r="B1595" s="1">
        <v>45782</v>
      </c>
      <c r="C1595" t="s">
        <v>3690</v>
      </c>
      <c r="D1595" t="s">
        <v>48</v>
      </c>
      <c r="E1595">
        <v>21.75</v>
      </c>
      <c r="F1595">
        <v>1</v>
      </c>
      <c r="G1595">
        <v>6.53</v>
      </c>
      <c r="H1595">
        <v>0</v>
      </c>
      <c r="I1595" t="s">
        <v>3690</v>
      </c>
      <c r="J1595" t="s">
        <v>2631</v>
      </c>
      <c r="K1595" t="s">
        <v>31</v>
      </c>
      <c r="L1595" t="s">
        <v>32</v>
      </c>
      <c r="M1595" t="s">
        <v>33</v>
      </c>
      <c r="N1595" t="s">
        <v>3966</v>
      </c>
      <c r="P1595">
        <f t="shared" si="24"/>
        <v>0.30022988505747128</v>
      </c>
    </row>
    <row r="1596" spans="1:16" x14ac:dyDescent="0.25">
      <c r="A1596" t="s">
        <v>1881</v>
      </c>
      <c r="B1596" s="1">
        <v>44965</v>
      </c>
      <c r="C1596" t="s">
        <v>1882</v>
      </c>
      <c r="D1596" t="s">
        <v>91</v>
      </c>
      <c r="E1596">
        <v>1745.17</v>
      </c>
      <c r="F1596">
        <v>13</v>
      </c>
      <c r="G1596">
        <v>523.54999999999995</v>
      </c>
      <c r="H1596">
        <v>0.1</v>
      </c>
      <c r="I1596" t="s">
        <v>1882</v>
      </c>
      <c r="J1596" t="s">
        <v>1594</v>
      </c>
      <c r="K1596" t="s">
        <v>71</v>
      </c>
      <c r="L1596" t="s">
        <v>459</v>
      </c>
      <c r="M1596" t="s">
        <v>129</v>
      </c>
      <c r="N1596" t="s">
        <v>3968</v>
      </c>
      <c r="P1596">
        <f t="shared" si="24"/>
        <v>0.29999942698992071</v>
      </c>
    </row>
    <row r="1597" spans="1:16" x14ac:dyDescent="0.25">
      <c r="A1597" t="s">
        <v>1883</v>
      </c>
      <c r="B1597" s="1">
        <v>44977</v>
      </c>
      <c r="C1597" t="s">
        <v>1882</v>
      </c>
      <c r="D1597" t="s">
        <v>15</v>
      </c>
      <c r="E1597">
        <v>561.92999999999995</v>
      </c>
      <c r="F1597">
        <v>3</v>
      </c>
      <c r="G1597">
        <v>168.58</v>
      </c>
      <c r="H1597">
        <v>0.05</v>
      </c>
      <c r="I1597" t="s">
        <v>1882</v>
      </c>
      <c r="J1597" t="s">
        <v>1594</v>
      </c>
      <c r="K1597" t="s">
        <v>71</v>
      </c>
      <c r="L1597" t="s">
        <v>459</v>
      </c>
      <c r="M1597" t="s">
        <v>129</v>
      </c>
      <c r="N1597" t="s">
        <v>3966</v>
      </c>
      <c r="P1597">
        <f t="shared" si="24"/>
        <v>0.30000177958108665</v>
      </c>
    </row>
    <row r="1598" spans="1:16" x14ac:dyDescent="0.25">
      <c r="A1598" t="s">
        <v>1884</v>
      </c>
      <c r="B1598" s="1">
        <v>45730</v>
      </c>
      <c r="C1598" t="s">
        <v>1882</v>
      </c>
      <c r="D1598" t="s">
        <v>22</v>
      </c>
      <c r="E1598">
        <v>79.12</v>
      </c>
      <c r="F1598">
        <v>4</v>
      </c>
      <c r="G1598">
        <v>23.74</v>
      </c>
      <c r="H1598">
        <v>0.15</v>
      </c>
      <c r="I1598" t="s">
        <v>1882</v>
      </c>
      <c r="J1598" t="s">
        <v>1594</v>
      </c>
      <c r="K1598" t="s">
        <v>71</v>
      </c>
      <c r="L1598" t="s">
        <v>459</v>
      </c>
      <c r="M1598" t="s">
        <v>129</v>
      </c>
      <c r="N1598" t="s">
        <v>3967</v>
      </c>
      <c r="P1598">
        <f t="shared" si="24"/>
        <v>0.30005055611729015</v>
      </c>
    </row>
    <row r="1599" spans="1:16" x14ac:dyDescent="0.25">
      <c r="A1599" t="s">
        <v>3691</v>
      </c>
      <c r="B1599" s="1">
        <v>45072</v>
      </c>
      <c r="C1599" t="s">
        <v>3692</v>
      </c>
      <c r="D1599" t="s">
        <v>36</v>
      </c>
      <c r="E1599">
        <v>1314.36</v>
      </c>
      <c r="F1599">
        <v>7</v>
      </c>
      <c r="G1599">
        <v>394.31</v>
      </c>
      <c r="H1599">
        <v>0.15</v>
      </c>
      <c r="I1599" t="s">
        <v>3692</v>
      </c>
      <c r="J1599" t="s">
        <v>2571</v>
      </c>
      <c r="K1599" t="s">
        <v>38</v>
      </c>
      <c r="L1599" t="s">
        <v>164</v>
      </c>
      <c r="M1599" t="s">
        <v>266</v>
      </c>
      <c r="N1599" t="s">
        <v>3966</v>
      </c>
      <c r="P1599">
        <f t="shared" si="24"/>
        <v>0.30000152165312399</v>
      </c>
    </row>
    <row r="1600" spans="1:16" x14ac:dyDescent="0.25">
      <c r="A1600" t="s">
        <v>3693</v>
      </c>
      <c r="B1600" s="1">
        <v>45488</v>
      </c>
      <c r="C1600" t="s">
        <v>3694</v>
      </c>
      <c r="D1600" t="s">
        <v>36</v>
      </c>
      <c r="E1600">
        <v>327.84</v>
      </c>
      <c r="F1600">
        <v>1</v>
      </c>
      <c r="G1600">
        <v>98.35</v>
      </c>
      <c r="H1600">
        <v>0.1</v>
      </c>
      <c r="I1600" t="s">
        <v>3694</v>
      </c>
      <c r="J1600" t="s">
        <v>174</v>
      </c>
      <c r="K1600" t="s">
        <v>17</v>
      </c>
      <c r="L1600" t="s">
        <v>488</v>
      </c>
      <c r="M1600" t="s">
        <v>26</v>
      </c>
      <c r="N1600" t="s">
        <v>3966</v>
      </c>
      <c r="P1600">
        <f t="shared" si="24"/>
        <v>0.29999389946315275</v>
      </c>
    </row>
    <row r="1601" spans="1:16" x14ac:dyDescent="0.25">
      <c r="A1601" t="s">
        <v>3695</v>
      </c>
      <c r="B1601" s="1">
        <v>45644</v>
      </c>
      <c r="C1601" t="s">
        <v>3696</v>
      </c>
      <c r="D1601" t="s">
        <v>48</v>
      </c>
      <c r="E1601">
        <v>2757.78</v>
      </c>
      <c r="F1601">
        <v>9</v>
      </c>
      <c r="G1601">
        <v>827.33</v>
      </c>
      <c r="H1601">
        <v>0</v>
      </c>
      <c r="I1601" t="s">
        <v>3696</v>
      </c>
      <c r="J1601" t="s">
        <v>232</v>
      </c>
      <c r="K1601" t="s">
        <v>31</v>
      </c>
      <c r="L1601" t="s">
        <v>555</v>
      </c>
      <c r="M1601" t="s">
        <v>244</v>
      </c>
      <c r="N1601" t="s">
        <v>3966</v>
      </c>
      <c r="P1601">
        <f t="shared" si="24"/>
        <v>0.29999854955797778</v>
      </c>
    </row>
    <row r="1602" spans="1:16" x14ac:dyDescent="0.25">
      <c r="A1602" t="s">
        <v>3697</v>
      </c>
      <c r="B1602" s="1">
        <v>45564</v>
      </c>
      <c r="C1602" t="s">
        <v>3698</v>
      </c>
      <c r="D1602" t="s">
        <v>91</v>
      </c>
      <c r="E1602">
        <v>9541.7999999999993</v>
      </c>
      <c r="F1602">
        <v>18</v>
      </c>
      <c r="G1602">
        <v>2862.54</v>
      </c>
      <c r="H1602">
        <v>0.1</v>
      </c>
      <c r="I1602" t="s">
        <v>3698</v>
      </c>
      <c r="J1602" t="s">
        <v>1494</v>
      </c>
      <c r="K1602" t="s">
        <v>31</v>
      </c>
      <c r="L1602" t="s">
        <v>3699</v>
      </c>
      <c r="M1602" t="s">
        <v>26</v>
      </c>
      <c r="N1602" t="s">
        <v>3966</v>
      </c>
      <c r="P1602">
        <f t="shared" si="24"/>
        <v>0.30000000000000004</v>
      </c>
    </row>
    <row r="1603" spans="1:16" x14ac:dyDescent="0.25">
      <c r="A1603" t="s">
        <v>3700</v>
      </c>
      <c r="B1603" s="1">
        <v>45590</v>
      </c>
      <c r="C1603" t="s">
        <v>3701</v>
      </c>
      <c r="D1603" t="s">
        <v>29</v>
      </c>
      <c r="E1603">
        <v>3592.08</v>
      </c>
      <c r="F1603">
        <v>16</v>
      </c>
      <c r="G1603">
        <v>1077.6199999999999</v>
      </c>
      <c r="H1603">
        <v>0.1</v>
      </c>
      <c r="I1603" t="s">
        <v>3701</v>
      </c>
      <c r="J1603" t="s">
        <v>708</v>
      </c>
      <c r="K1603" t="s">
        <v>24</v>
      </c>
      <c r="L1603" t="s">
        <v>3702</v>
      </c>
      <c r="M1603" t="s">
        <v>33</v>
      </c>
      <c r="N1603" t="s">
        <v>3967</v>
      </c>
      <c r="P1603">
        <f t="shared" ref="P1603:P1666" si="25">G1603/E1603</f>
        <v>0.29999888643905481</v>
      </c>
    </row>
    <row r="1604" spans="1:16" x14ac:dyDescent="0.25">
      <c r="A1604" t="s">
        <v>3703</v>
      </c>
      <c r="B1604" s="1">
        <v>45663</v>
      </c>
      <c r="C1604" t="s">
        <v>3704</v>
      </c>
      <c r="D1604" t="s">
        <v>48</v>
      </c>
      <c r="E1604">
        <v>8366.08</v>
      </c>
      <c r="F1604">
        <v>20</v>
      </c>
      <c r="G1604">
        <v>2509.8200000000002</v>
      </c>
      <c r="H1604">
        <v>0.05</v>
      </c>
      <c r="I1604" t="s">
        <v>3704</v>
      </c>
      <c r="J1604" t="s">
        <v>3582</v>
      </c>
      <c r="K1604" t="s">
        <v>31</v>
      </c>
      <c r="L1604" t="s">
        <v>143</v>
      </c>
      <c r="M1604" t="s">
        <v>144</v>
      </c>
      <c r="N1604" t="s">
        <v>3966</v>
      </c>
      <c r="P1604">
        <f t="shared" si="25"/>
        <v>0.299999521878825</v>
      </c>
    </row>
    <row r="1605" spans="1:16" x14ac:dyDescent="0.25">
      <c r="A1605" t="s">
        <v>3705</v>
      </c>
      <c r="B1605" s="1">
        <v>45249</v>
      </c>
      <c r="C1605" t="s">
        <v>3706</v>
      </c>
      <c r="D1605" t="s">
        <v>91</v>
      </c>
      <c r="E1605">
        <v>304.02</v>
      </c>
      <c r="F1605">
        <v>3</v>
      </c>
      <c r="G1605">
        <v>91.21</v>
      </c>
      <c r="H1605">
        <v>0</v>
      </c>
      <c r="I1605" t="s">
        <v>3706</v>
      </c>
      <c r="J1605" t="s">
        <v>3573</v>
      </c>
      <c r="K1605" t="s">
        <v>38</v>
      </c>
      <c r="L1605" t="s">
        <v>481</v>
      </c>
      <c r="M1605" t="s">
        <v>123</v>
      </c>
      <c r="N1605" t="s">
        <v>3966</v>
      </c>
      <c r="P1605">
        <f t="shared" si="25"/>
        <v>0.30001315702914283</v>
      </c>
    </row>
    <row r="1606" spans="1:16" x14ac:dyDescent="0.25">
      <c r="A1606" t="s">
        <v>3707</v>
      </c>
      <c r="B1606" s="1">
        <v>45393</v>
      </c>
      <c r="C1606" t="s">
        <v>3708</v>
      </c>
      <c r="D1606" t="s">
        <v>22</v>
      </c>
      <c r="E1606">
        <v>5032.5</v>
      </c>
      <c r="F1606">
        <v>17</v>
      </c>
      <c r="G1606">
        <v>1509.75</v>
      </c>
      <c r="H1606">
        <v>0.05</v>
      </c>
      <c r="I1606" t="s">
        <v>3708</v>
      </c>
      <c r="J1606" t="s">
        <v>2006</v>
      </c>
      <c r="K1606" t="s">
        <v>24</v>
      </c>
      <c r="L1606" t="s">
        <v>459</v>
      </c>
      <c r="M1606" t="s">
        <v>129</v>
      </c>
      <c r="N1606" t="s">
        <v>3966</v>
      </c>
      <c r="P1606">
        <f t="shared" si="25"/>
        <v>0.3</v>
      </c>
    </row>
    <row r="1607" spans="1:16" x14ac:dyDescent="0.25">
      <c r="A1607" t="s">
        <v>3709</v>
      </c>
      <c r="B1607" s="1">
        <v>45381</v>
      </c>
      <c r="C1607" t="s">
        <v>3710</v>
      </c>
      <c r="D1607" t="s">
        <v>48</v>
      </c>
      <c r="E1607">
        <v>750.01</v>
      </c>
      <c r="F1607">
        <v>2</v>
      </c>
      <c r="G1607">
        <v>225</v>
      </c>
      <c r="H1607">
        <v>0.15</v>
      </c>
      <c r="I1607" t="s">
        <v>3710</v>
      </c>
      <c r="J1607" t="s">
        <v>676</v>
      </c>
      <c r="K1607" t="s">
        <v>24</v>
      </c>
      <c r="L1607" t="s">
        <v>82</v>
      </c>
      <c r="M1607" t="s">
        <v>83</v>
      </c>
      <c r="N1607" t="s">
        <v>3966</v>
      </c>
      <c r="P1607">
        <f t="shared" si="25"/>
        <v>0.2999960000533326</v>
      </c>
    </row>
    <row r="1608" spans="1:16" x14ac:dyDescent="0.25">
      <c r="A1608" t="s">
        <v>832</v>
      </c>
      <c r="B1608" s="1">
        <v>45621</v>
      </c>
      <c r="C1608" t="s">
        <v>833</v>
      </c>
      <c r="D1608" t="s">
        <v>36</v>
      </c>
      <c r="E1608">
        <v>5159.88</v>
      </c>
      <c r="F1608">
        <v>20</v>
      </c>
      <c r="G1608">
        <v>1547.96</v>
      </c>
      <c r="H1608">
        <v>0.1</v>
      </c>
      <c r="I1608" t="s">
        <v>833</v>
      </c>
      <c r="J1608" t="s">
        <v>749</v>
      </c>
      <c r="K1608" t="s">
        <v>31</v>
      </c>
      <c r="L1608" t="s">
        <v>148</v>
      </c>
      <c r="M1608" t="s">
        <v>266</v>
      </c>
      <c r="N1608" t="s">
        <v>3966</v>
      </c>
      <c r="P1608">
        <f t="shared" si="25"/>
        <v>0.29999922478817337</v>
      </c>
    </row>
    <row r="1609" spans="1:16" x14ac:dyDescent="0.25">
      <c r="A1609" t="s">
        <v>835</v>
      </c>
      <c r="B1609" s="1">
        <v>44950</v>
      </c>
      <c r="C1609" t="s">
        <v>833</v>
      </c>
      <c r="D1609" t="s">
        <v>22</v>
      </c>
      <c r="E1609">
        <v>2661.3</v>
      </c>
      <c r="F1609">
        <v>10</v>
      </c>
      <c r="G1609">
        <v>798.39</v>
      </c>
      <c r="H1609">
        <v>0</v>
      </c>
      <c r="I1609" t="s">
        <v>833</v>
      </c>
      <c r="J1609" t="s">
        <v>749</v>
      </c>
      <c r="K1609" t="s">
        <v>31</v>
      </c>
      <c r="L1609" t="s">
        <v>148</v>
      </c>
      <c r="M1609" t="s">
        <v>266</v>
      </c>
      <c r="N1609" t="s">
        <v>3966</v>
      </c>
      <c r="P1609">
        <f t="shared" si="25"/>
        <v>0.3</v>
      </c>
    </row>
    <row r="1610" spans="1:16" x14ac:dyDescent="0.25">
      <c r="A1610" t="s">
        <v>3711</v>
      </c>
      <c r="B1610" s="1">
        <v>45663</v>
      </c>
      <c r="C1610" t="s">
        <v>3712</v>
      </c>
      <c r="D1610" t="s">
        <v>41</v>
      </c>
      <c r="E1610">
        <v>5972.83</v>
      </c>
      <c r="F1610">
        <v>13</v>
      </c>
      <c r="G1610">
        <v>1791.85</v>
      </c>
      <c r="H1610">
        <v>0.05</v>
      </c>
      <c r="I1610" t="s">
        <v>3712</v>
      </c>
      <c r="J1610" t="s">
        <v>2509</v>
      </c>
      <c r="K1610" t="s">
        <v>31</v>
      </c>
      <c r="L1610" t="s">
        <v>25</v>
      </c>
      <c r="M1610" t="s">
        <v>26</v>
      </c>
      <c r="N1610" t="s">
        <v>3966</v>
      </c>
      <c r="P1610">
        <f t="shared" si="25"/>
        <v>0.30000016742482205</v>
      </c>
    </row>
    <row r="1611" spans="1:16" x14ac:dyDescent="0.25">
      <c r="A1611" t="s">
        <v>3713</v>
      </c>
      <c r="B1611" s="1">
        <v>45031</v>
      </c>
      <c r="C1611" t="s">
        <v>3714</v>
      </c>
      <c r="D1611" t="s">
        <v>91</v>
      </c>
      <c r="E1611">
        <v>2311.54</v>
      </c>
      <c r="F1611">
        <v>8</v>
      </c>
      <c r="G1611">
        <v>693.46</v>
      </c>
      <c r="H1611">
        <v>0.05</v>
      </c>
      <c r="I1611" t="s">
        <v>3714</v>
      </c>
      <c r="J1611" t="s">
        <v>2757</v>
      </c>
      <c r="K1611" t="s">
        <v>71</v>
      </c>
      <c r="L1611" t="s">
        <v>3715</v>
      </c>
      <c r="M1611" t="s">
        <v>56</v>
      </c>
      <c r="N1611" t="s">
        <v>3966</v>
      </c>
      <c r="P1611">
        <f t="shared" si="25"/>
        <v>0.29999913477595025</v>
      </c>
    </row>
    <row r="1612" spans="1:16" x14ac:dyDescent="0.25">
      <c r="A1612" t="s">
        <v>3716</v>
      </c>
      <c r="B1612" s="1">
        <v>45329</v>
      </c>
      <c r="C1612" t="s">
        <v>3717</v>
      </c>
      <c r="D1612" t="s">
        <v>41</v>
      </c>
      <c r="E1612">
        <v>4069.89</v>
      </c>
      <c r="F1612">
        <v>10</v>
      </c>
      <c r="G1612">
        <v>1220.97</v>
      </c>
      <c r="H1612">
        <v>0.1</v>
      </c>
      <c r="I1612" t="s">
        <v>3717</v>
      </c>
      <c r="J1612" t="s">
        <v>1358</v>
      </c>
      <c r="K1612" t="s">
        <v>17</v>
      </c>
      <c r="L1612" t="s">
        <v>1316</v>
      </c>
      <c r="M1612" t="s">
        <v>77</v>
      </c>
      <c r="N1612" t="s">
        <v>3967</v>
      </c>
      <c r="P1612">
        <f t="shared" si="25"/>
        <v>0.30000073712065928</v>
      </c>
    </row>
    <row r="1613" spans="1:16" x14ac:dyDescent="0.25">
      <c r="A1613" t="s">
        <v>3718</v>
      </c>
      <c r="B1613" s="1">
        <v>45207</v>
      </c>
      <c r="C1613" t="s">
        <v>3719</v>
      </c>
      <c r="D1613" t="s">
        <v>91</v>
      </c>
      <c r="E1613">
        <v>2726.64</v>
      </c>
      <c r="F1613">
        <v>14</v>
      </c>
      <c r="G1613">
        <v>817.99</v>
      </c>
      <c r="H1613">
        <v>0.1</v>
      </c>
      <c r="I1613" t="s">
        <v>3719</v>
      </c>
      <c r="J1613" t="s">
        <v>3513</v>
      </c>
      <c r="K1613" t="s">
        <v>17</v>
      </c>
      <c r="L1613" t="s">
        <v>3720</v>
      </c>
      <c r="M1613" t="s">
        <v>26</v>
      </c>
      <c r="N1613" t="s">
        <v>3967</v>
      </c>
      <c r="P1613">
        <f t="shared" si="25"/>
        <v>0.29999926649649389</v>
      </c>
    </row>
    <row r="1614" spans="1:16" x14ac:dyDescent="0.25">
      <c r="A1614" t="s">
        <v>3721</v>
      </c>
      <c r="B1614" s="1">
        <v>45079</v>
      </c>
      <c r="C1614" t="s">
        <v>3719</v>
      </c>
      <c r="D1614" t="s">
        <v>41</v>
      </c>
      <c r="E1614">
        <v>893.38</v>
      </c>
      <c r="F1614">
        <v>4</v>
      </c>
      <c r="G1614">
        <v>268.01</v>
      </c>
      <c r="H1614">
        <v>0.1</v>
      </c>
      <c r="I1614" t="s">
        <v>3719</v>
      </c>
      <c r="J1614" t="s">
        <v>3513</v>
      </c>
      <c r="K1614" t="s">
        <v>17</v>
      </c>
      <c r="L1614" t="s">
        <v>3720</v>
      </c>
      <c r="M1614" t="s">
        <v>26</v>
      </c>
      <c r="N1614" t="s">
        <v>3967</v>
      </c>
      <c r="P1614">
        <f t="shared" si="25"/>
        <v>0.29999552262195256</v>
      </c>
    </row>
    <row r="1615" spans="1:16" x14ac:dyDescent="0.25">
      <c r="A1615" t="s">
        <v>3722</v>
      </c>
      <c r="B1615" s="1">
        <v>45162</v>
      </c>
      <c r="C1615" t="s">
        <v>3723</v>
      </c>
      <c r="D1615" t="s">
        <v>15</v>
      </c>
      <c r="E1615">
        <v>2080</v>
      </c>
      <c r="F1615">
        <v>4</v>
      </c>
      <c r="G1615">
        <v>624</v>
      </c>
      <c r="H1615">
        <v>0</v>
      </c>
      <c r="I1615" t="s">
        <v>3723</v>
      </c>
      <c r="J1615" t="s">
        <v>2321</v>
      </c>
      <c r="K1615" t="s">
        <v>17</v>
      </c>
      <c r="L1615" t="s">
        <v>3054</v>
      </c>
      <c r="M1615" t="s">
        <v>865</v>
      </c>
      <c r="N1615" t="s">
        <v>3967</v>
      </c>
      <c r="P1615">
        <f t="shared" si="25"/>
        <v>0.3</v>
      </c>
    </row>
    <row r="1616" spans="1:16" x14ac:dyDescent="0.25">
      <c r="A1616" t="s">
        <v>3724</v>
      </c>
      <c r="B1616" s="1">
        <v>45632</v>
      </c>
      <c r="C1616" t="s">
        <v>3725</v>
      </c>
      <c r="D1616" t="s">
        <v>36</v>
      </c>
      <c r="E1616">
        <v>6281.77</v>
      </c>
      <c r="F1616">
        <v>11</v>
      </c>
      <c r="G1616">
        <v>1884.53</v>
      </c>
      <c r="H1616">
        <v>0</v>
      </c>
      <c r="I1616" t="s">
        <v>3725</v>
      </c>
      <c r="J1616" t="s">
        <v>1429</v>
      </c>
      <c r="K1616" t="s">
        <v>24</v>
      </c>
      <c r="L1616" t="s">
        <v>719</v>
      </c>
      <c r="M1616" t="s">
        <v>33</v>
      </c>
      <c r="N1616" t="s">
        <v>3968</v>
      </c>
      <c r="P1616">
        <f t="shared" si="25"/>
        <v>0.29999984080919867</v>
      </c>
    </row>
    <row r="1617" spans="1:16" x14ac:dyDescent="0.25">
      <c r="A1617" t="s">
        <v>3726</v>
      </c>
      <c r="B1617" s="1">
        <v>45268</v>
      </c>
      <c r="C1617" t="s">
        <v>3727</v>
      </c>
      <c r="D1617" t="s">
        <v>91</v>
      </c>
      <c r="E1617">
        <v>649.14</v>
      </c>
      <c r="F1617">
        <v>11</v>
      </c>
      <c r="G1617">
        <v>194.74</v>
      </c>
      <c r="H1617">
        <v>0.1</v>
      </c>
      <c r="I1617" t="s">
        <v>3727</v>
      </c>
      <c r="J1617" t="s">
        <v>1367</v>
      </c>
      <c r="K1617" t="s">
        <v>17</v>
      </c>
      <c r="L1617" t="s">
        <v>1002</v>
      </c>
      <c r="M1617" t="s">
        <v>221</v>
      </c>
      <c r="N1617" t="s">
        <v>3968</v>
      </c>
      <c r="P1617">
        <f t="shared" si="25"/>
        <v>0.29999691900052378</v>
      </c>
    </row>
    <row r="1618" spans="1:16" x14ac:dyDescent="0.25">
      <c r="A1618" t="s">
        <v>3728</v>
      </c>
      <c r="B1618" s="1">
        <v>45058</v>
      </c>
      <c r="C1618" t="s">
        <v>3729</v>
      </c>
      <c r="D1618" t="s">
        <v>91</v>
      </c>
      <c r="E1618">
        <v>1588.08</v>
      </c>
      <c r="F1618">
        <v>4</v>
      </c>
      <c r="G1618">
        <v>476.42</v>
      </c>
      <c r="H1618">
        <v>0</v>
      </c>
      <c r="I1618" t="s">
        <v>3729</v>
      </c>
      <c r="J1618" t="s">
        <v>3730</v>
      </c>
      <c r="K1618" t="s">
        <v>24</v>
      </c>
      <c r="L1618" t="s">
        <v>3647</v>
      </c>
      <c r="M1618" t="s">
        <v>354</v>
      </c>
      <c r="N1618" t="s">
        <v>3968</v>
      </c>
      <c r="P1618">
        <f t="shared" si="25"/>
        <v>0.29999748123520226</v>
      </c>
    </row>
    <row r="1619" spans="1:16" x14ac:dyDescent="0.25">
      <c r="A1619" t="s">
        <v>3731</v>
      </c>
      <c r="B1619" s="1">
        <v>45771</v>
      </c>
      <c r="C1619" t="s">
        <v>3732</v>
      </c>
      <c r="D1619" t="s">
        <v>15</v>
      </c>
      <c r="E1619">
        <v>1608.83</v>
      </c>
      <c r="F1619">
        <v>10</v>
      </c>
      <c r="G1619">
        <v>482.65</v>
      </c>
      <c r="H1619">
        <v>0.05</v>
      </c>
      <c r="I1619" t="s">
        <v>3732</v>
      </c>
      <c r="J1619" t="s">
        <v>2202</v>
      </c>
      <c r="K1619" t="s">
        <v>71</v>
      </c>
      <c r="L1619" t="s">
        <v>72</v>
      </c>
      <c r="M1619" t="s">
        <v>26</v>
      </c>
      <c r="N1619" t="s">
        <v>3968</v>
      </c>
      <c r="P1619">
        <f t="shared" si="25"/>
        <v>0.30000062156971213</v>
      </c>
    </row>
    <row r="1620" spans="1:16" x14ac:dyDescent="0.25">
      <c r="A1620" t="s">
        <v>3733</v>
      </c>
      <c r="B1620" s="1">
        <v>45039</v>
      </c>
      <c r="C1620" t="s">
        <v>3734</v>
      </c>
      <c r="D1620" t="s">
        <v>91</v>
      </c>
      <c r="E1620">
        <v>2910.76</v>
      </c>
      <c r="F1620">
        <v>9</v>
      </c>
      <c r="G1620">
        <v>873.23</v>
      </c>
      <c r="H1620">
        <v>0.05</v>
      </c>
      <c r="I1620" t="s">
        <v>3734</v>
      </c>
      <c r="J1620" t="s">
        <v>992</v>
      </c>
      <c r="K1620" t="s">
        <v>38</v>
      </c>
      <c r="L1620" t="s">
        <v>2365</v>
      </c>
      <c r="M1620" t="s">
        <v>56</v>
      </c>
      <c r="N1620" t="s">
        <v>3968</v>
      </c>
      <c r="P1620">
        <f t="shared" si="25"/>
        <v>0.30000068710577305</v>
      </c>
    </row>
    <row r="1621" spans="1:16" x14ac:dyDescent="0.25">
      <c r="A1621" t="s">
        <v>3592</v>
      </c>
      <c r="B1621" s="1">
        <v>44944</v>
      </c>
      <c r="C1621" t="s">
        <v>3593</v>
      </c>
      <c r="D1621" t="s">
        <v>48</v>
      </c>
      <c r="E1621">
        <v>114.19</v>
      </c>
      <c r="F1621">
        <v>1</v>
      </c>
      <c r="G1621">
        <v>34.26</v>
      </c>
      <c r="H1621">
        <v>0.05</v>
      </c>
      <c r="I1621" t="s">
        <v>3593</v>
      </c>
      <c r="J1621" t="s">
        <v>3735</v>
      </c>
      <c r="K1621" t="s">
        <v>31</v>
      </c>
      <c r="L1621" t="s">
        <v>50</v>
      </c>
      <c r="M1621" t="s">
        <v>51</v>
      </c>
      <c r="N1621" t="s">
        <v>3968</v>
      </c>
      <c r="P1621">
        <f t="shared" si="25"/>
        <v>0.30002627200280235</v>
      </c>
    </row>
    <row r="1622" spans="1:16" x14ac:dyDescent="0.25">
      <c r="A1622" t="s">
        <v>3594</v>
      </c>
      <c r="B1622" s="1">
        <v>45554</v>
      </c>
      <c r="C1622" t="s">
        <v>3593</v>
      </c>
      <c r="D1622" t="s">
        <v>29</v>
      </c>
      <c r="E1622">
        <v>46.99</v>
      </c>
      <c r="F1622">
        <v>2</v>
      </c>
      <c r="G1622">
        <v>14.1</v>
      </c>
      <c r="H1622">
        <v>0.15</v>
      </c>
      <c r="I1622" t="s">
        <v>3593</v>
      </c>
      <c r="J1622" t="s">
        <v>3735</v>
      </c>
      <c r="K1622" t="s">
        <v>31</v>
      </c>
      <c r="L1622" t="s">
        <v>50</v>
      </c>
      <c r="M1622" t="s">
        <v>51</v>
      </c>
      <c r="N1622" t="s">
        <v>3966</v>
      </c>
      <c r="P1622">
        <f t="shared" si="25"/>
        <v>0.30006384337092995</v>
      </c>
    </row>
    <row r="1623" spans="1:16" x14ac:dyDescent="0.25">
      <c r="A1623" t="s">
        <v>3736</v>
      </c>
      <c r="B1623" s="1">
        <v>45788</v>
      </c>
      <c r="C1623" t="s">
        <v>3737</v>
      </c>
      <c r="D1623" t="s">
        <v>22</v>
      </c>
      <c r="E1623">
        <v>1871.76</v>
      </c>
      <c r="F1623">
        <v>13</v>
      </c>
      <c r="G1623">
        <v>561.53</v>
      </c>
      <c r="H1623">
        <v>0.15</v>
      </c>
      <c r="I1623" t="s">
        <v>3737</v>
      </c>
      <c r="J1623" t="s">
        <v>2296</v>
      </c>
      <c r="K1623" t="s">
        <v>31</v>
      </c>
      <c r="L1623" t="s">
        <v>1329</v>
      </c>
      <c r="M1623" t="s">
        <v>61</v>
      </c>
      <c r="N1623" t="s">
        <v>3966</v>
      </c>
      <c r="P1623">
        <f t="shared" si="25"/>
        <v>0.30000106851305719</v>
      </c>
    </row>
    <row r="1624" spans="1:16" x14ac:dyDescent="0.25">
      <c r="A1624" t="s">
        <v>3738</v>
      </c>
      <c r="B1624" s="1">
        <v>45649</v>
      </c>
      <c r="C1624" t="s">
        <v>3739</v>
      </c>
      <c r="D1624" t="s">
        <v>91</v>
      </c>
      <c r="E1624">
        <v>1621.84</v>
      </c>
      <c r="F1624">
        <v>10</v>
      </c>
      <c r="G1624">
        <v>486.55</v>
      </c>
      <c r="H1624">
        <v>0.05</v>
      </c>
      <c r="I1624" t="s">
        <v>3739</v>
      </c>
      <c r="J1624" t="s">
        <v>3740</v>
      </c>
      <c r="K1624" t="s">
        <v>71</v>
      </c>
      <c r="L1624" t="s">
        <v>322</v>
      </c>
      <c r="M1624" t="s">
        <v>632</v>
      </c>
      <c r="N1624" t="s">
        <v>3966</v>
      </c>
      <c r="P1624">
        <f t="shared" si="25"/>
        <v>0.29999876683273319</v>
      </c>
    </row>
    <row r="1625" spans="1:16" x14ac:dyDescent="0.25">
      <c r="A1625" t="s">
        <v>3741</v>
      </c>
      <c r="B1625" s="1">
        <v>45158</v>
      </c>
      <c r="C1625" t="s">
        <v>3742</v>
      </c>
      <c r="D1625" t="s">
        <v>29</v>
      </c>
      <c r="E1625">
        <v>2476.84</v>
      </c>
      <c r="F1625">
        <v>9</v>
      </c>
      <c r="G1625">
        <v>743.05</v>
      </c>
      <c r="H1625">
        <v>0.15</v>
      </c>
      <c r="I1625" t="s">
        <v>3742</v>
      </c>
      <c r="J1625" t="s">
        <v>3743</v>
      </c>
      <c r="K1625" t="s">
        <v>71</v>
      </c>
      <c r="L1625" t="s">
        <v>1738</v>
      </c>
      <c r="M1625" t="s">
        <v>26</v>
      </c>
      <c r="N1625" t="s">
        <v>3966</v>
      </c>
      <c r="P1625">
        <f t="shared" si="25"/>
        <v>0.29999919251950063</v>
      </c>
    </row>
    <row r="1626" spans="1:16" x14ac:dyDescent="0.25">
      <c r="A1626" t="s">
        <v>3744</v>
      </c>
      <c r="B1626" s="1">
        <v>45734</v>
      </c>
      <c r="C1626" t="s">
        <v>3745</v>
      </c>
      <c r="D1626" t="s">
        <v>36</v>
      </c>
      <c r="E1626">
        <v>1927.44</v>
      </c>
      <c r="F1626">
        <v>4</v>
      </c>
      <c r="G1626">
        <v>578.23</v>
      </c>
      <c r="H1626">
        <v>0</v>
      </c>
      <c r="I1626" t="s">
        <v>3745</v>
      </c>
      <c r="J1626" t="s">
        <v>1681</v>
      </c>
      <c r="K1626" t="s">
        <v>38</v>
      </c>
      <c r="L1626" t="s">
        <v>955</v>
      </c>
      <c r="M1626" t="s">
        <v>26</v>
      </c>
      <c r="N1626" t="s">
        <v>3966</v>
      </c>
      <c r="P1626">
        <f t="shared" si="25"/>
        <v>0.29999896235421075</v>
      </c>
    </row>
    <row r="1627" spans="1:16" x14ac:dyDescent="0.25">
      <c r="A1627" t="s">
        <v>3746</v>
      </c>
      <c r="B1627" s="1">
        <v>45307</v>
      </c>
      <c r="C1627" t="s">
        <v>3747</v>
      </c>
      <c r="D1627" t="s">
        <v>22</v>
      </c>
      <c r="E1627">
        <v>312.2</v>
      </c>
      <c r="F1627">
        <v>4</v>
      </c>
      <c r="G1627">
        <v>93.66</v>
      </c>
      <c r="H1627">
        <v>0</v>
      </c>
      <c r="I1627" t="s">
        <v>3747</v>
      </c>
      <c r="J1627" t="s">
        <v>1909</v>
      </c>
      <c r="K1627" t="s">
        <v>38</v>
      </c>
      <c r="L1627" t="s">
        <v>574</v>
      </c>
      <c r="M1627" t="s">
        <v>56</v>
      </c>
      <c r="N1627" t="s">
        <v>3966</v>
      </c>
      <c r="P1627">
        <f t="shared" si="25"/>
        <v>0.3</v>
      </c>
    </row>
    <row r="1628" spans="1:16" x14ac:dyDescent="0.25">
      <c r="A1628" t="s">
        <v>3748</v>
      </c>
      <c r="B1628" s="1">
        <v>45441</v>
      </c>
      <c r="C1628" t="s">
        <v>3749</v>
      </c>
      <c r="D1628" t="s">
        <v>91</v>
      </c>
      <c r="E1628">
        <v>309.95999999999998</v>
      </c>
      <c r="F1628">
        <v>6</v>
      </c>
      <c r="G1628">
        <v>92.99</v>
      </c>
      <c r="H1628">
        <v>0.1</v>
      </c>
      <c r="I1628" t="s">
        <v>3749</v>
      </c>
      <c r="J1628" t="s">
        <v>841</v>
      </c>
      <c r="K1628" t="s">
        <v>17</v>
      </c>
      <c r="L1628" t="s">
        <v>99</v>
      </c>
      <c r="M1628" t="s">
        <v>56</v>
      </c>
      <c r="N1628" t="s">
        <v>3968</v>
      </c>
      <c r="P1628">
        <f t="shared" si="25"/>
        <v>0.30000645244547686</v>
      </c>
    </row>
    <row r="1629" spans="1:16" x14ac:dyDescent="0.25">
      <c r="A1629" t="s">
        <v>3750</v>
      </c>
      <c r="B1629" s="1">
        <v>45741</v>
      </c>
      <c r="C1629" t="s">
        <v>3751</v>
      </c>
      <c r="D1629" t="s">
        <v>15</v>
      </c>
      <c r="E1629">
        <v>3480.6</v>
      </c>
      <c r="F1629">
        <v>9</v>
      </c>
      <c r="G1629">
        <v>1044.18</v>
      </c>
      <c r="H1629">
        <v>0.15</v>
      </c>
      <c r="I1629" t="s">
        <v>3751</v>
      </c>
      <c r="J1629" t="s">
        <v>357</v>
      </c>
      <c r="K1629" t="s">
        <v>24</v>
      </c>
      <c r="L1629" t="s">
        <v>1280</v>
      </c>
      <c r="M1629" t="s">
        <v>266</v>
      </c>
      <c r="N1629" t="s">
        <v>3966</v>
      </c>
      <c r="P1629">
        <f t="shared" si="25"/>
        <v>0.30000000000000004</v>
      </c>
    </row>
    <row r="1630" spans="1:16" x14ac:dyDescent="0.25">
      <c r="A1630" t="s">
        <v>3752</v>
      </c>
      <c r="B1630" s="1">
        <v>45738</v>
      </c>
      <c r="C1630" t="s">
        <v>3753</v>
      </c>
      <c r="D1630" t="s">
        <v>29</v>
      </c>
      <c r="E1630">
        <v>3822.09</v>
      </c>
      <c r="F1630">
        <v>11</v>
      </c>
      <c r="G1630">
        <v>1146.6300000000001</v>
      </c>
      <c r="H1630">
        <v>0.05</v>
      </c>
      <c r="I1630" t="s">
        <v>3753</v>
      </c>
      <c r="J1630" t="s">
        <v>2044</v>
      </c>
      <c r="K1630" t="s">
        <v>38</v>
      </c>
      <c r="L1630" t="s">
        <v>220</v>
      </c>
      <c r="M1630" t="s">
        <v>221</v>
      </c>
      <c r="N1630" t="s">
        <v>3966</v>
      </c>
      <c r="P1630">
        <f t="shared" si="25"/>
        <v>0.3000007849108734</v>
      </c>
    </row>
    <row r="1631" spans="1:16" x14ac:dyDescent="0.25">
      <c r="A1631" t="s">
        <v>3754</v>
      </c>
      <c r="B1631" s="1">
        <v>45521</v>
      </c>
      <c r="C1631" t="s">
        <v>3755</v>
      </c>
      <c r="D1631" t="s">
        <v>22</v>
      </c>
      <c r="E1631">
        <v>710.75</v>
      </c>
      <c r="F1631">
        <v>7</v>
      </c>
      <c r="G1631">
        <v>213.23</v>
      </c>
      <c r="H1631">
        <v>0.05</v>
      </c>
      <c r="I1631" t="s">
        <v>3755</v>
      </c>
      <c r="J1631" t="s">
        <v>3756</v>
      </c>
      <c r="K1631" t="s">
        <v>17</v>
      </c>
      <c r="L1631" t="s">
        <v>3650</v>
      </c>
      <c r="M1631" t="s">
        <v>186</v>
      </c>
      <c r="N1631" t="s">
        <v>3966</v>
      </c>
      <c r="P1631">
        <f t="shared" si="25"/>
        <v>0.30000703482237073</v>
      </c>
    </row>
    <row r="1632" spans="1:16" x14ac:dyDescent="0.25">
      <c r="A1632" t="s">
        <v>3757</v>
      </c>
      <c r="B1632" s="1">
        <v>45445</v>
      </c>
      <c r="C1632" t="s">
        <v>3758</v>
      </c>
      <c r="D1632" t="s">
        <v>41</v>
      </c>
      <c r="E1632">
        <v>451.76</v>
      </c>
      <c r="F1632">
        <v>2</v>
      </c>
      <c r="G1632">
        <v>135.53</v>
      </c>
      <c r="H1632">
        <v>0.1</v>
      </c>
      <c r="I1632" t="s">
        <v>3758</v>
      </c>
      <c r="J1632" t="s">
        <v>1367</v>
      </c>
      <c r="K1632" t="s">
        <v>24</v>
      </c>
      <c r="L1632" t="s">
        <v>25</v>
      </c>
      <c r="M1632" t="s">
        <v>26</v>
      </c>
      <c r="N1632" t="s">
        <v>3966</v>
      </c>
      <c r="P1632">
        <f t="shared" si="25"/>
        <v>0.30000442712944925</v>
      </c>
    </row>
    <row r="1633" spans="1:16" x14ac:dyDescent="0.25">
      <c r="A1633" t="s">
        <v>3759</v>
      </c>
      <c r="B1633" s="1">
        <v>45016</v>
      </c>
      <c r="C1633" t="s">
        <v>3760</v>
      </c>
      <c r="D1633" t="s">
        <v>48</v>
      </c>
      <c r="E1633">
        <v>4257.29</v>
      </c>
      <c r="F1633">
        <v>8</v>
      </c>
      <c r="G1633">
        <v>1277.19</v>
      </c>
      <c r="H1633">
        <v>0.1</v>
      </c>
      <c r="I1633" t="s">
        <v>3760</v>
      </c>
      <c r="J1633" t="s">
        <v>3582</v>
      </c>
      <c r="K1633" t="s">
        <v>24</v>
      </c>
      <c r="L1633" t="s">
        <v>3458</v>
      </c>
      <c r="M1633" t="s">
        <v>33</v>
      </c>
      <c r="N1633" t="s">
        <v>3966</v>
      </c>
      <c r="P1633">
        <f t="shared" si="25"/>
        <v>0.30000070467363044</v>
      </c>
    </row>
    <row r="1634" spans="1:16" x14ac:dyDescent="0.25">
      <c r="A1634" t="s">
        <v>3761</v>
      </c>
      <c r="B1634" s="1">
        <v>45431</v>
      </c>
      <c r="C1634" t="s">
        <v>3762</v>
      </c>
      <c r="D1634" t="s">
        <v>48</v>
      </c>
      <c r="E1634">
        <v>6323.41</v>
      </c>
      <c r="F1634">
        <v>18</v>
      </c>
      <c r="G1634">
        <v>1897.02</v>
      </c>
      <c r="H1634">
        <v>0.05</v>
      </c>
      <c r="I1634" t="s">
        <v>3762</v>
      </c>
      <c r="J1634" t="s">
        <v>367</v>
      </c>
      <c r="K1634" t="s">
        <v>71</v>
      </c>
      <c r="L1634" t="s">
        <v>143</v>
      </c>
      <c r="M1634" t="s">
        <v>144</v>
      </c>
      <c r="N1634" t="s">
        <v>3966</v>
      </c>
      <c r="P1634">
        <f t="shared" si="25"/>
        <v>0.29999952557243642</v>
      </c>
    </row>
    <row r="1635" spans="1:16" x14ac:dyDescent="0.25">
      <c r="A1635" t="s">
        <v>3763</v>
      </c>
      <c r="B1635" s="1">
        <v>44987</v>
      </c>
      <c r="C1635" t="s">
        <v>3764</v>
      </c>
      <c r="D1635" t="s">
        <v>29</v>
      </c>
      <c r="E1635">
        <v>2244.2399999999998</v>
      </c>
      <c r="F1635">
        <v>15</v>
      </c>
      <c r="G1635">
        <v>673.27</v>
      </c>
      <c r="H1635">
        <v>0.1</v>
      </c>
      <c r="I1635" t="s">
        <v>3764</v>
      </c>
      <c r="J1635" t="s">
        <v>1190</v>
      </c>
      <c r="K1635" t="s">
        <v>71</v>
      </c>
      <c r="L1635" t="s">
        <v>2845</v>
      </c>
      <c r="M1635" t="s">
        <v>165</v>
      </c>
      <c r="N1635" t="s">
        <v>3966</v>
      </c>
      <c r="P1635">
        <f t="shared" si="25"/>
        <v>0.2999991088297152</v>
      </c>
    </row>
    <row r="1636" spans="1:16" x14ac:dyDescent="0.25">
      <c r="A1636" t="s">
        <v>3765</v>
      </c>
      <c r="B1636" s="1">
        <v>44998</v>
      </c>
      <c r="C1636" t="s">
        <v>3766</v>
      </c>
      <c r="D1636" t="s">
        <v>41</v>
      </c>
      <c r="E1636">
        <v>2659.75</v>
      </c>
      <c r="F1636">
        <v>12</v>
      </c>
      <c r="G1636">
        <v>797.93</v>
      </c>
      <c r="H1636">
        <v>0.15</v>
      </c>
      <c r="I1636" t="s">
        <v>3766</v>
      </c>
      <c r="J1636" t="s">
        <v>918</v>
      </c>
      <c r="K1636" t="s">
        <v>31</v>
      </c>
      <c r="L1636" t="s">
        <v>864</v>
      </c>
      <c r="M1636" t="s">
        <v>44</v>
      </c>
      <c r="N1636" t="s">
        <v>3966</v>
      </c>
      <c r="P1636">
        <f t="shared" si="25"/>
        <v>0.30000187987592819</v>
      </c>
    </row>
    <row r="1637" spans="1:16" x14ac:dyDescent="0.25">
      <c r="A1637" t="s">
        <v>3767</v>
      </c>
      <c r="B1637" s="1">
        <v>45763</v>
      </c>
      <c r="C1637" t="s">
        <v>3768</v>
      </c>
      <c r="D1637" t="s">
        <v>15</v>
      </c>
      <c r="E1637">
        <v>3311.99</v>
      </c>
      <c r="F1637">
        <v>10</v>
      </c>
      <c r="G1637">
        <v>993.6</v>
      </c>
      <c r="H1637">
        <v>0.05</v>
      </c>
      <c r="I1637" t="s">
        <v>3768</v>
      </c>
      <c r="J1637" t="s">
        <v>3769</v>
      </c>
      <c r="K1637" t="s">
        <v>71</v>
      </c>
      <c r="L1637" t="s">
        <v>848</v>
      </c>
      <c r="M1637" t="s">
        <v>56</v>
      </c>
      <c r="N1637" t="s">
        <v>3966</v>
      </c>
      <c r="P1637">
        <f t="shared" si="25"/>
        <v>0.3000009057998364</v>
      </c>
    </row>
    <row r="1638" spans="1:16" x14ac:dyDescent="0.25">
      <c r="A1638" t="s">
        <v>3770</v>
      </c>
      <c r="B1638" s="1">
        <v>45448</v>
      </c>
      <c r="C1638" t="s">
        <v>3771</v>
      </c>
      <c r="D1638" t="s">
        <v>36</v>
      </c>
      <c r="E1638">
        <v>2366.4</v>
      </c>
      <c r="F1638">
        <v>5</v>
      </c>
      <c r="G1638">
        <v>709.92</v>
      </c>
      <c r="H1638">
        <v>0</v>
      </c>
      <c r="I1638" t="s">
        <v>3771</v>
      </c>
      <c r="J1638" t="s">
        <v>37</v>
      </c>
      <c r="K1638" t="s">
        <v>31</v>
      </c>
      <c r="L1638" t="s">
        <v>82</v>
      </c>
      <c r="M1638" t="s">
        <v>83</v>
      </c>
      <c r="N1638" t="s">
        <v>3966</v>
      </c>
      <c r="P1638">
        <f t="shared" si="25"/>
        <v>0.3</v>
      </c>
    </row>
    <row r="1639" spans="1:16" x14ac:dyDescent="0.25">
      <c r="A1639" t="s">
        <v>2029</v>
      </c>
      <c r="B1639" s="1">
        <v>45536</v>
      </c>
      <c r="C1639" t="s">
        <v>2030</v>
      </c>
      <c r="D1639" t="s">
        <v>36</v>
      </c>
      <c r="E1639">
        <v>6429.28</v>
      </c>
      <c r="F1639">
        <v>16</v>
      </c>
      <c r="G1639">
        <v>1928.78</v>
      </c>
      <c r="H1639">
        <v>0</v>
      </c>
      <c r="I1639" t="s">
        <v>2030</v>
      </c>
      <c r="J1639" t="s">
        <v>1860</v>
      </c>
      <c r="K1639" t="s">
        <v>31</v>
      </c>
      <c r="L1639" t="s">
        <v>3482</v>
      </c>
      <c r="M1639" t="s">
        <v>111</v>
      </c>
      <c r="N1639" t="s">
        <v>3966</v>
      </c>
      <c r="P1639">
        <f t="shared" si="25"/>
        <v>0.29999937784635294</v>
      </c>
    </row>
    <row r="1640" spans="1:16" x14ac:dyDescent="0.25">
      <c r="A1640" t="s">
        <v>2032</v>
      </c>
      <c r="B1640" s="1">
        <v>45329</v>
      </c>
      <c r="C1640" t="s">
        <v>2030</v>
      </c>
      <c r="D1640" t="s">
        <v>36</v>
      </c>
      <c r="E1640">
        <v>5249.56</v>
      </c>
      <c r="F1640">
        <v>13</v>
      </c>
      <c r="G1640">
        <v>1574.87</v>
      </c>
      <c r="H1640">
        <v>0.1</v>
      </c>
      <c r="I1640" t="s">
        <v>2030</v>
      </c>
      <c r="J1640" t="s">
        <v>1860</v>
      </c>
      <c r="K1640" t="s">
        <v>31</v>
      </c>
      <c r="L1640" t="s">
        <v>3482</v>
      </c>
      <c r="M1640" t="s">
        <v>111</v>
      </c>
      <c r="N1640" t="s">
        <v>3966</v>
      </c>
      <c r="P1640">
        <f t="shared" si="25"/>
        <v>0.30000038098431103</v>
      </c>
    </row>
    <row r="1641" spans="1:16" x14ac:dyDescent="0.25">
      <c r="A1641" t="s">
        <v>3479</v>
      </c>
      <c r="B1641" s="1">
        <v>45556</v>
      </c>
      <c r="C1641" t="s">
        <v>3480</v>
      </c>
      <c r="D1641" t="s">
        <v>22</v>
      </c>
      <c r="E1641">
        <v>2692.9</v>
      </c>
      <c r="F1641">
        <v>10</v>
      </c>
      <c r="G1641">
        <v>807.87</v>
      </c>
      <c r="H1641">
        <v>0</v>
      </c>
      <c r="I1641" t="s">
        <v>3480</v>
      </c>
      <c r="J1641" t="s">
        <v>834</v>
      </c>
      <c r="K1641" t="s">
        <v>31</v>
      </c>
      <c r="L1641" t="s">
        <v>2305</v>
      </c>
      <c r="M1641" t="s">
        <v>632</v>
      </c>
      <c r="N1641" t="s">
        <v>3966</v>
      </c>
      <c r="P1641">
        <f t="shared" si="25"/>
        <v>0.3</v>
      </c>
    </row>
    <row r="1642" spans="1:16" x14ac:dyDescent="0.25">
      <c r="A1642" t="s">
        <v>3481</v>
      </c>
      <c r="B1642" s="1">
        <v>45342</v>
      </c>
      <c r="C1642" t="s">
        <v>3480</v>
      </c>
      <c r="D1642" t="s">
        <v>22</v>
      </c>
      <c r="E1642">
        <v>1811.08</v>
      </c>
      <c r="F1642">
        <v>4</v>
      </c>
      <c r="G1642">
        <v>543.32000000000005</v>
      </c>
      <c r="H1642">
        <v>0</v>
      </c>
      <c r="I1642" t="s">
        <v>3480</v>
      </c>
      <c r="J1642" t="s">
        <v>834</v>
      </c>
      <c r="K1642" t="s">
        <v>31</v>
      </c>
      <c r="L1642" t="s">
        <v>2305</v>
      </c>
      <c r="M1642" t="s">
        <v>632</v>
      </c>
      <c r="N1642" t="s">
        <v>3966</v>
      </c>
      <c r="P1642">
        <f t="shared" si="25"/>
        <v>0.2999977913731034</v>
      </c>
    </row>
    <row r="1643" spans="1:16" x14ac:dyDescent="0.25">
      <c r="A1643" t="s">
        <v>3772</v>
      </c>
      <c r="B1643" s="1">
        <v>45668</v>
      </c>
      <c r="C1643" t="s">
        <v>3773</v>
      </c>
      <c r="D1643" t="s">
        <v>29</v>
      </c>
      <c r="E1643">
        <v>1227.48</v>
      </c>
      <c r="F1643">
        <v>4</v>
      </c>
      <c r="G1643">
        <v>368.24</v>
      </c>
      <c r="H1643">
        <v>0.05</v>
      </c>
      <c r="I1643" t="s">
        <v>3773</v>
      </c>
      <c r="J1643" t="s">
        <v>1690</v>
      </c>
      <c r="K1643" t="s">
        <v>31</v>
      </c>
      <c r="L1643" t="s">
        <v>155</v>
      </c>
      <c r="M1643" t="s">
        <v>111</v>
      </c>
      <c r="N1643" t="s">
        <v>3966</v>
      </c>
      <c r="P1643">
        <f t="shared" si="25"/>
        <v>0.29999674129110049</v>
      </c>
    </row>
    <row r="1644" spans="1:16" x14ac:dyDescent="0.25">
      <c r="A1644" t="s">
        <v>3774</v>
      </c>
      <c r="B1644" s="1">
        <v>44930</v>
      </c>
      <c r="C1644" t="s">
        <v>3775</v>
      </c>
      <c r="D1644" t="s">
        <v>48</v>
      </c>
      <c r="E1644">
        <v>5608.6</v>
      </c>
      <c r="F1644">
        <v>15</v>
      </c>
      <c r="G1644">
        <v>1682.58</v>
      </c>
      <c r="H1644">
        <v>0.15</v>
      </c>
      <c r="I1644" t="s">
        <v>3775</v>
      </c>
      <c r="J1644" t="s">
        <v>3776</v>
      </c>
      <c r="K1644" t="s">
        <v>71</v>
      </c>
      <c r="L1644" t="s">
        <v>1745</v>
      </c>
      <c r="M1644" t="s">
        <v>645</v>
      </c>
      <c r="N1644" t="s">
        <v>3967</v>
      </c>
      <c r="P1644">
        <f t="shared" si="25"/>
        <v>0.3</v>
      </c>
    </row>
    <row r="1645" spans="1:16" x14ac:dyDescent="0.25">
      <c r="A1645" t="s">
        <v>3516</v>
      </c>
      <c r="B1645" s="1">
        <v>45048</v>
      </c>
      <c r="C1645" t="s">
        <v>3517</v>
      </c>
      <c r="D1645" t="s">
        <v>48</v>
      </c>
      <c r="E1645">
        <v>7342.97</v>
      </c>
      <c r="F1645">
        <v>16</v>
      </c>
      <c r="G1645">
        <v>2202.89</v>
      </c>
      <c r="H1645">
        <v>0.05</v>
      </c>
      <c r="I1645" t="s">
        <v>3517</v>
      </c>
      <c r="J1645" t="s">
        <v>1395</v>
      </c>
      <c r="K1645" t="s">
        <v>71</v>
      </c>
      <c r="L1645" t="s">
        <v>1176</v>
      </c>
      <c r="M1645" t="s">
        <v>33</v>
      </c>
      <c r="N1645" t="s">
        <v>3967</v>
      </c>
      <c r="P1645">
        <f t="shared" si="25"/>
        <v>0.29999986381532268</v>
      </c>
    </row>
    <row r="1646" spans="1:16" x14ac:dyDescent="0.25">
      <c r="A1646" t="s">
        <v>3518</v>
      </c>
      <c r="B1646" s="1">
        <v>45177</v>
      </c>
      <c r="C1646" t="s">
        <v>3517</v>
      </c>
      <c r="D1646" t="s">
        <v>22</v>
      </c>
      <c r="E1646">
        <v>3944.49</v>
      </c>
      <c r="F1646">
        <v>11</v>
      </c>
      <c r="G1646">
        <v>1183.3499999999999</v>
      </c>
      <c r="H1646">
        <v>0</v>
      </c>
      <c r="I1646" t="s">
        <v>3517</v>
      </c>
      <c r="J1646" t="s">
        <v>1395</v>
      </c>
      <c r="K1646" t="s">
        <v>71</v>
      </c>
      <c r="L1646" t="s">
        <v>1176</v>
      </c>
      <c r="M1646" t="s">
        <v>33</v>
      </c>
      <c r="N1646" t="s">
        <v>3967</v>
      </c>
      <c r="P1646">
        <f t="shared" si="25"/>
        <v>0.3000007605545964</v>
      </c>
    </row>
    <row r="1647" spans="1:16" x14ac:dyDescent="0.25">
      <c r="A1647" t="s">
        <v>3777</v>
      </c>
      <c r="B1647" s="1">
        <v>45546</v>
      </c>
      <c r="C1647" t="s">
        <v>3778</v>
      </c>
      <c r="D1647" t="s">
        <v>91</v>
      </c>
      <c r="E1647">
        <v>2144.88</v>
      </c>
      <c r="F1647">
        <v>9</v>
      </c>
      <c r="G1647">
        <v>643.46</v>
      </c>
      <c r="H1647">
        <v>0</v>
      </c>
      <c r="I1647" t="s">
        <v>3778</v>
      </c>
      <c r="J1647" t="s">
        <v>1517</v>
      </c>
      <c r="K1647" t="s">
        <v>17</v>
      </c>
      <c r="L1647" t="s">
        <v>82</v>
      </c>
      <c r="M1647" t="s">
        <v>83</v>
      </c>
      <c r="N1647" t="s">
        <v>3967</v>
      </c>
      <c r="P1647">
        <f t="shared" si="25"/>
        <v>0.2999981350938048</v>
      </c>
    </row>
    <row r="1648" spans="1:16" x14ac:dyDescent="0.25">
      <c r="A1648" t="s">
        <v>3779</v>
      </c>
      <c r="B1648" s="1">
        <v>45116</v>
      </c>
      <c r="C1648" t="s">
        <v>3778</v>
      </c>
      <c r="D1648" t="s">
        <v>22</v>
      </c>
      <c r="E1648">
        <v>302.66000000000003</v>
      </c>
      <c r="F1648">
        <v>13</v>
      </c>
      <c r="G1648">
        <v>90.8</v>
      </c>
      <c r="H1648">
        <v>0.15</v>
      </c>
      <c r="I1648" t="s">
        <v>3778</v>
      </c>
      <c r="J1648" t="s">
        <v>1517</v>
      </c>
      <c r="K1648" t="s">
        <v>17</v>
      </c>
      <c r="L1648" t="s">
        <v>82</v>
      </c>
      <c r="M1648" t="s">
        <v>83</v>
      </c>
      <c r="N1648" t="s">
        <v>3968</v>
      </c>
      <c r="P1648">
        <f t="shared" si="25"/>
        <v>0.30000660807506768</v>
      </c>
    </row>
    <row r="1649" spans="1:16" x14ac:dyDescent="0.25">
      <c r="A1649" t="s">
        <v>84</v>
      </c>
      <c r="B1649" s="1">
        <v>45715</v>
      </c>
      <c r="C1649" t="s">
        <v>85</v>
      </c>
      <c r="D1649" t="s">
        <v>48</v>
      </c>
      <c r="E1649">
        <v>7396.09</v>
      </c>
      <c r="F1649">
        <v>18</v>
      </c>
      <c r="G1649">
        <v>2218.83</v>
      </c>
      <c r="H1649">
        <v>0.05</v>
      </c>
      <c r="I1649" t="s">
        <v>85</v>
      </c>
      <c r="J1649" t="s">
        <v>3780</v>
      </c>
      <c r="K1649" t="s">
        <v>17</v>
      </c>
      <c r="L1649" t="s">
        <v>265</v>
      </c>
      <c r="M1649" t="s">
        <v>139</v>
      </c>
      <c r="N1649" t="s">
        <v>3968</v>
      </c>
      <c r="P1649">
        <f t="shared" si="25"/>
        <v>0.30000040561972607</v>
      </c>
    </row>
    <row r="1650" spans="1:16" x14ac:dyDescent="0.25">
      <c r="A1650" t="s">
        <v>88</v>
      </c>
      <c r="B1650" s="1">
        <v>45128</v>
      </c>
      <c r="C1650" t="s">
        <v>85</v>
      </c>
      <c r="D1650" t="s">
        <v>22</v>
      </c>
      <c r="E1650">
        <v>114.5</v>
      </c>
      <c r="F1650">
        <v>1</v>
      </c>
      <c r="G1650">
        <v>34.35</v>
      </c>
      <c r="H1650">
        <v>0.05</v>
      </c>
      <c r="I1650" t="s">
        <v>85</v>
      </c>
      <c r="J1650" t="s">
        <v>3780</v>
      </c>
      <c r="K1650" t="s">
        <v>17</v>
      </c>
      <c r="L1650" t="s">
        <v>265</v>
      </c>
      <c r="M1650" t="s">
        <v>139</v>
      </c>
      <c r="N1650" t="s">
        <v>3966</v>
      </c>
      <c r="P1650">
        <f t="shared" si="25"/>
        <v>0.3</v>
      </c>
    </row>
    <row r="1651" spans="1:16" x14ac:dyDescent="0.25">
      <c r="A1651" t="s">
        <v>3781</v>
      </c>
      <c r="B1651" s="1">
        <v>45558</v>
      </c>
      <c r="C1651" t="s">
        <v>3782</v>
      </c>
      <c r="D1651" t="s">
        <v>41</v>
      </c>
      <c r="E1651">
        <v>920.37</v>
      </c>
      <c r="F1651">
        <v>3</v>
      </c>
      <c r="G1651">
        <v>276.11</v>
      </c>
      <c r="H1651">
        <v>0.15</v>
      </c>
      <c r="I1651" t="s">
        <v>3782</v>
      </c>
      <c r="J1651" t="s">
        <v>3197</v>
      </c>
      <c r="K1651" t="s">
        <v>71</v>
      </c>
      <c r="L1651" t="s">
        <v>1210</v>
      </c>
      <c r="M1651" t="s">
        <v>144</v>
      </c>
      <c r="N1651" t="s">
        <v>3966</v>
      </c>
      <c r="P1651">
        <f t="shared" si="25"/>
        <v>0.2999989134804481</v>
      </c>
    </row>
    <row r="1652" spans="1:16" x14ac:dyDescent="0.25">
      <c r="A1652" t="s">
        <v>3783</v>
      </c>
      <c r="B1652" s="1">
        <v>45830</v>
      </c>
      <c r="C1652" t="s">
        <v>3784</v>
      </c>
      <c r="D1652" t="s">
        <v>91</v>
      </c>
      <c r="E1652">
        <v>1865.61</v>
      </c>
      <c r="F1652">
        <v>5</v>
      </c>
      <c r="G1652">
        <v>559.67999999999995</v>
      </c>
      <c r="H1652">
        <v>0.1</v>
      </c>
      <c r="I1652" t="s">
        <v>3784</v>
      </c>
      <c r="J1652" t="s">
        <v>3297</v>
      </c>
      <c r="K1652" t="s">
        <v>17</v>
      </c>
      <c r="L1652" t="s">
        <v>322</v>
      </c>
      <c r="M1652" t="s">
        <v>632</v>
      </c>
      <c r="N1652" t="s">
        <v>3967</v>
      </c>
      <c r="P1652">
        <f t="shared" si="25"/>
        <v>0.29999839194686989</v>
      </c>
    </row>
    <row r="1653" spans="1:16" x14ac:dyDescent="0.25">
      <c r="A1653" t="s">
        <v>3785</v>
      </c>
      <c r="B1653" s="1">
        <v>45676</v>
      </c>
      <c r="C1653" t="s">
        <v>3786</v>
      </c>
      <c r="D1653" t="s">
        <v>91</v>
      </c>
      <c r="E1653">
        <v>272.16000000000003</v>
      </c>
      <c r="F1653">
        <v>4</v>
      </c>
      <c r="G1653">
        <v>81.650000000000006</v>
      </c>
      <c r="H1653">
        <v>0</v>
      </c>
      <c r="I1653" t="s">
        <v>3786</v>
      </c>
      <c r="J1653" t="s">
        <v>790</v>
      </c>
      <c r="K1653" t="s">
        <v>38</v>
      </c>
      <c r="L1653" t="s">
        <v>3204</v>
      </c>
      <c r="M1653" t="s">
        <v>3205</v>
      </c>
      <c r="N1653" t="s">
        <v>3967</v>
      </c>
      <c r="P1653">
        <f t="shared" si="25"/>
        <v>0.30000734861845973</v>
      </c>
    </row>
    <row r="1654" spans="1:16" x14ac:dyDescent="0.25">
      <c r="A1654" t="s">
        <v>3787</v>
      </c>
      <c r="B1654" s="1">
        <v>45691</v>
      </c>
      <c r="C1654" t="s">
        <v>3788</v>
      </c>
      <c r="D1654" t="s">
        <v>22</v>
      </c>
      <c r="E1654">
        <v>3467.92</v>
      </c>
      <c r="F1654">
        <v>10</v>
      </c>
      <c r="G1654">
        <v>1040.3699999999999</v>
      </c>
      <c r="H1654">
        <v>0.15</v>
      </c>
      <c r="I1654" t="s">
        <v>3788</v>
      </c>
      <c r="J1654" t="s">
        <v>605</v>
      </c>
      <c r="K1654" t="s">
        <v>17</v>
      </c>
      <c r="L1654" t="s">
        <v>488</v>
      </c>
      <c r="M1654" t="s">
        <v>26</v>
      </c>
      <c r="N1654" t="s">
        <v>3966</v>
      </c>
      <c r="P1654">
        <f t="shared" si="25"/>
        <v>0.2999982698562827</v>
      </c>
    </row>
    <row r="1655" spans="1:16" x14ac:dyDescent="0.25">
      <c r="A1655" t="s">
        <v>3789</v>
      </c>
      <c r="B1655" s="1">
        <v>45241</v>
      </c>
      <c r="C1655" t="s">
        <v>3790</v>
      </c>
      <c r="D1655" t="s">
        <v>91</v>
      </c>
      <c r="E1655">
        <v>4121.55</v>
      </c>
      <c r="F1655">
        <v>15</v>
      </c>
      <c r="G1655">
        <v>1236.47</v>
      </c>
      <c r="H1655">
        <v>0</v>
      </c>
      <c r="I1655" t="s">
        <v>3790</v>
      </c>
      <c r="J1655" t="s">
        <v>3791</v>
      </c>
      <c r="K1655" t="s">
        <v>17</v>
      </c>
      <c r="L1655" t="s">
        <v>864</v>
      </c>
      <c r="M1655" t="s">
        <v>44</v>
      </c>
      <c r="N1655" t="s">
        <v>3966</v>
      </c>
      <c r="P1655">
        <f t="shared" si="25"/>
        <v>0.30000121313583483</v>
      </c>
    </row>
    <row r="1656" spans="1:16" x14ac:dyDescent="0.25">
      <c r="A1656" t="s">
        <v>3792</v>
      </c>
      <c r="B1656" s="1">
        <v>45420</v>
      </c>
      <c r="C1656" t="s">
        <v>3793</v>
      </c>
      <c r="D1656" t="s">
        <v>29</v>
      </c>
      <c r="E1656">
        <v>405.58</v>
      </c>
      <c r="F1656">
        <v>15</v>
      </c>
      <c r="G1656">
        <v>121.67</v>
      </c>
      <c r="H1656">
        <v>0.15</v>
      </c>
      <c r="I1656" t="s">
        <v>3793</v>
      </c>
      <c r="J1656" t="s">
        <v>3353</v>
      </c>
      <c r="K1656" t="s">
        <v>17</v>
      </c>
      <c r="L1656" t="s">
        <v>878</v>
      </c>
      <c r="M1656" t="s">
        <v>645</v>
      </c>
      <c r="N1656" t="s">
        <v>3966</v>
      </c>
      <c r="P1656">
        <f t="shared" si="25"/>
        <v>0.29999013758074855</v>
      </c>
    </row>
    <row r="1657" spans="1:16" x14ac:dyDescent="0.25">
      <c r="A1657" t="s">
        <v>3794</v>
      </c>
      <c r="B1657" s="1">
        <v>45187</v>
      </c>
      <c r="C1657" t="s">
        <v>3795</v>
      </c>
      <c r="D1657" t="s">
        <v>41</v>
      </c>
      <c r="E1657">
        <v>3756.48</v>
      </c>
      <c r="F1657">
        <v>14</v>
      </c>
      <c r="G1657">
        <v>1126.94</v>
      </c>
      <c r="H1657">
        <v>0</v>
      </c>
      <c r="I1657" t="s">
        <v>3795</v>
      </c>
      <c r="J1657" t="s">
        <v>1296</v>
      </c>
      <c r="K1657" t="s">
        <v>24</v>
      </c>
      <c r="L1657" t="s">
        <v>3796</v>
      </c>
      <c r="M1657" t="s">
        <v>33</v>
      </c>
      <c r="N1657" t="s">
        <v>3966</v>
      </c>
      <c r="P1657">
        <f t="shared" si="25"/>
        <v>0.2999989351733538</v>
      </c>
    </row>
    <row r="1658" spans="1:16" x14ac:dyDescent="0.25">
      <c r="A1658" t="s">
        <v>2651</v>
      </c>
      <c r="B1658" s="1">
        <v>45752</v>
      </c>
      <c r="C1658" t="s">
        <v>2652</v>
      </c>
      <c r="D1658" t="s">
        <v>91</v>
      </c>
      <c r="E1658">
        <v>6319.67</v>
      </c>
      <c r="F1658">
        <v>19</v>
      </c>
      <c r="G1658">
        <v>1895.9</v>
      </c>
      <c r="H1658">
        <v>0.05</v>
      </c>
      <c r="I1658" t="s">
        <v>2652</v>
      </c>
      <c r="J1658" t="s">
        <v>1161</v>
      </c>
      <c r="K1658" t="s">
        <v>38</v>
      </c>
      <c r="L1658" t="s">
        <v>72</v>
      </c>
      <c r="M1658" t="s">
        <v>26</v>
      </c>
      <c r="N1658" t="s">
        <v>3966</v>
      </c>
      <c r="P1658">
        <f t="shared" si="25"/>
        <v>0.29999984176388961</v>
      </c>
    </row>
    <row r="1659" spans="1:16" x14ac:dyDescent="0.25">
      <c r="A1659" t="s">
        <v>2653</v>
      </c>
      <c r="B1659" s="1">
        <v>45217</v>
      </c>
      <c r="C1659" t="s">
        <v>2652</v>
      </c>
      <c r="D1659" t="s">
        <v>48</v>
      </c>
      <c r="E1659">
        <v>2440.0500000000002</v>
      </c>
      <c r="F1659">
        <v>7</v>
      </c>
      <c r="G1659">
        <v>732.02</v>
      </c>
      <c r="H1659">
        <v>0.1</v>
      </c>
      <c r="I1659" t="s">
        <v>2652</v>
      </c>
      <c r="J1659" t="s">
        <v>1161</v>
      </c>
      <c r="K1659" t="s">
        <v>38</v>
      </c>
      <c r="L1659" t="s">
        <v>72</v>
      </c>
      <c r="M1659" t="s">
        <v>26</v>
      </c>
      <c r="N1659" t="s">
        <v>3966</v>
      </c>
      <c r="P1659">
        <f t="shared" si="25"/>
        <v>0.30000204913833728</v>
      </c>
    </row>
    <row r="1660" spans="1:16" x14ac:dyDescent="0.25">
      <c r="A1660" t="s">
        <v>3797</v>
      </c>
      <c r="B1660" s="1">
        <v>45182</v>
      </c>
      <c r="C1660" t="s">
        <v>3798</v>
      </c>
      <c r="D1660" t="s">
        <v>29</v>
      </c>
      <c r="E1660">
        <v>2814.23</v>
      </c>
      <c r="F1660">
        <v>9</v>
      </c>
      <c r="G1660">
        <v>844.27</v>
      </c>
      <c r="H1660">
        <v>0.05</v>
      </c>
      <c r="I1660" t="s">
        <v>3798</v>
      </c>
      <c r="J1660" t="s">
        <v>1364</v>
      </c>
      <c r="K1660" t="s">
        <v>38</v>
      </c>
      <c r="L1660" t="s">
        <v>1500</v>
      </c>
      <c r="M1660" t="s">
        <v>266</v>
      </c>
      <c r="N1660" t="s">
        <v>3966</v>
      </c>
      <c r="P1660">
        <f t="shared" si="25"/>
        <v>0.30000035533698383</v>
      </c>
    </row>
    <row r="1661" spans="1:16" x14ac:dyDescent="0.25">
      <c r="A1661" t="s">
        <v>3799</v>
      </c>
      <c r="B1661" s="1">
        <v>45471</v>
      </c>
      <c r="C1661" t="s">
        <v>3800</v>
      </c>
      <c r="D1661" t="s">
        <v>48</v>
      </c>
      <c r="E1661">
        <v>548.22</v>
      </c>
      <c r="F1661">
        <v>1</v>
      </c>
      <c r="G1661">
        <v>164.46</v>
      </c>
      <c r="H1661">
        <v>0.05</v>
      </c>
      <c r="I1661" t="s">
        <v>3800</v>
      </c>
      <c r="J1661" t="s">
        <v>298</v>
      </c>
      <c r="K1661" t="s">
        <v>17</v>
      </c>
      <c r="L1661" t="s">
        <v>586</v>
      </c>
      <c r="M1661" t="s">
        <v>33</v>
      </c>
      <c r="N1661" t="s">
        <v>3966</v>
      </c>
      <c r="P1661">
        <f t="shared" si="25"/>
        <v>0.29998905548867244</v>
      </c>
    </row>
    <row r="1662" spans="1:16" x14ac:dyDescent="0.25">
      <c r="A1662" t="s">
        <v>1578</v>
      </c>
      <c r="B1662" s="1">
        <v>45022</v>
      </c>
      <c r="C1662" t="s">
        <v>1579</v>
      </c>
      <c r="D1662" t="s">
        <v>36</v>
      </c>
      <c r="E1662">
        <v>2939.38</v>
      </c>
      <c r="F1662">
        <v>6</v>
      </c>
      <c r="G1662">
        <v>881.81</v>
      </c>
      <c r="H1662">
        <v>0.1</v>
      </c>
      <c r="I1662" t="s">
        <v>1579</v>
      </c>
      <c r="J1662" t="s">
        <v>3801</v>
      </c>
      <c r="K1662" t="s">
        <v>38</v>
      </c>
      <c r="L1662" t="s">
        <v>663</v>
      </c>
      <c r="M1662" t="s">
        <v>160</v>
      </c>
      <c r="N1662" t="s">
        <v>3966</v>
      </c>
      <c r="P1662">
        <f t="shared" si="25"/>
        <v>0.29999863916880426</v>
      </c>
    </row>
    <row r="1663" spans="1:16" x14ac:dyDescent="0.25">
      <c r="A1663" t="s">
        <v>1580</v>
      </c>
      <c r="B1663" s="1">
        <v>45716</v>
      </c>
      <c r="C1663" t="s">
        <v>1579</v>
      </c>
      <c r="D1663" t="s">
        <v>91</v>
      </c>
      <c r="E1663">
        <v>949.69</v>
      </c>
      <c r="F1663">
        <v>13</v>
      </c>
      <c r="G1663">
        <v>284.91000000000003</v>
      </c>
      <c r="H1663">
        <v>0.1</v>
      </c>
      <c r="I1663" t="s">
        <v>1579</v>
      </c>
      <c r="J1663" t="s">
        <v>3801</v>
      </c>
      <c r="K1663" t="s">
        <v>38</v>
      </c>
      <c r="L1663" t="s">
        <v>663</v>
      </c>
      <c r="M1663" t="s">
        <v>160</v>
      </c>
      <c r="N1663" t="s">
        <v>3967</v>
      </c>
      <c r="P1663">
        <f t="shared" si="25"/>
        <v>0.30000315892554413</v>
      </c>
    </row>
    <row r="1664" spans="1:16" x14ac:dyDescent="0.25">
      <c r="A1664" t="s">
        <v>3086</v>
      </c>
      <c r="B1664" s="1">
        <v>45059</v>
      </c>
      <c r="C1664" t="s">
        <v>3087</v>
      </c>
      <c r="D1664" t="s">
        <v>15</v>
      </c>
      <c r="E1664">
        <v>5071.1899999999996</v>
      </c>
      <c r="F1664">
        <v>18</v>
      </c>
      <c r="G1664">
        <v>1521.36</v>
      </c>
      <c r="H1664">
        <v>0.15</v>
      </c>
      <c r="I1664" t="s">
        <v>3087</v>
      </c>
      <c r="J1664" t="s">
        <v>2859</v>
      </c>
      <c r="K1664" t="s">
        <v>24</v>
      </c>
      <c r="L1664" t="s">
        <v>25</v>
      </c>
      <c r="M1664" t="s">
        <v>26</v>
      </c>
      <c r="N1664" t="s">
        <v>3967</v>
      </c>
      <c r="P1664">
        <f t="shared" si="25"/>
        <v>0.30000059157712489</v>
      </c>
    </row>
    <row r="1665" spans="1:16" x14ac:dyDescent="0.25">
      <c r="A1665" t="s">
        <v>3090</v>
      </c>
      <c r="B1665" s="1">
        <v>45578</v>
      </c>
      <c r="C1665" t="s">
        <v>3087</v>
      </c>
      <c r="D1665" t="s">
        <v>41</v>
      </c>
      <c r="E1665">
        <v>4381.53</v>
      </c>
      <c r="F1665">
        <v>18</v>
      </c>
      <c r="G1665">
        <v>1314.46</v>
      </c>
      <c r="H1665">
        <v>0.05</v>
      </c>
      <c r="I1665" t="s">
        <v>3087</v>
      </c>
      <c r="J1665" t="s">
        <v>2859</v>
      </c>
      <c r="K1665" t="s">
        <v>24</v>
      </c>
      <c r="L1665" t="s">
        <v>25</v>
      </c>
      <c r="M1665" t="s">
        <v>26</v>
      </c>
      <c r="N1665" t="s">
        <v>3966</v>
      </c>
      <c r="P1665">
        <f t="shared" si="25"/>
        <v>0.30000022823077788</v>
      </c>
    </row>
    <row r="1666" spans="1:16" x14ac:dyDescent="0.25">
      <c r="A1666" t="s">
        <v>3802</v>
      </c>
      <c r="B1666" s="1">
        <v>45784</v>
      </c>
      <c r="C1666" t="s">
        <v>3803</v>
      </c>
      <c r="D1666" t="s">
        <v>15</v>
      </c>
      <c r="E1666">
        <v>379.13</v>
      </c>
      <c r="F1666">
        <v>1</v>
      </c>
      <c r="G1666">
        <v>113.74</v>
      </c>
      <c r="H1666">
        <v>0.1</v>
      </c>
      <c r="I1666" t="s">
        <v>3803</v>
      </c>
      <c r="J1666" t="s">
        <v>1535</v>
      </c>
      <c r="K1666" t="s">
        <v>17</v>
      </c>
      <c r="L1666" t="s">
        <v>488</v>
      </c>
      <c r="M1666" t="s">
        <v>26</v>
      </c>
      <c r="N1666" t="s">
        <v>3966</v>
      </c>
      <c r="P1666">
        <f t="shared" si="25"/>
        <v>0.30000263761770368</v>
      </c>
    </row>
    <row r="1667" spans="1:16" x14ac:dyDescent="0.25">
      <c r="A1667" t="s">
        <v>3804</v>
      </c>
      <c r="B1667" s="1">
        <v>45738</v>
      </c>
      <c r="C1667" t="s">
        <v>3805</v>
      </c>
      <c r="D1667" t="s">
        <v>91</v>
      </c>
      <c r="E1667">
        <v>1998.07</v>
      </c>
      <c r="F1667">
        <v>4</v>
      </c>
      <c r="G1667">
        <v>599.41999999999996</v>
      </c>
      <c r="H1667">
        <v>0.1</v>
      </c>
      <c r="I1667" t="s">
        <v>3805</v>
      </c>
      <c r="J1667" t="s">
        <v>1140</v>
      </c>
      <c r="K1667" t="s">
        <v>31</v>
      </c>
      <c r="L1667" t="s">
        <v>143</v>
      </c>
      <c r="M1667" t="s">
        <v>144</v>
      </c>
      <c r="N1667" t="s">
        <v>3966</v>
      </c>
      <c r="P1667">
        <f t="shared" ref="P1667:P1730" si="26">G1667/E1667</f>
        <v>0.29999949951703392</v>
      </c>
    </row>
    <row r="1668" spans="1:16" x14ac:dyDescent="0.25">
      <c r="A1668" t="s">
        <v>2620</v>
      </c>
      <c r="B1668" s="1">
        <v>45467</v>
      </c>
      <c r="C1668" t="s">
        <v>2621</v>
      </c>
      <c r="D1668" t="s">
        <v>15</v>
      </c>
      <c r="E1668">
        <v>4826.57</v>
      </c>
      <c r="F1668">
        <v>19</v>
      </c>
      <c r="G1668">
        <v>1447.97</v>
      </c>
      <c r="H1668">
        <v>0</v>
      </c>
      <c r="I1668" t="s">
        <v>2621</v>
      </c>
      <c r="J1668" t="s">
        <v>630</v>
      </c>
      <c r="K1668" t="s">
        <v>24</v>
      </c>
      <c r="L1668" t="s">
        <v>488</v>
      </c>
      <c r="M1668" t="s">
        <v>26</v>
      </c>
      <c r="N1668" t="s">
        <v>3966</v>
      </c>
      <c r="P1668">
        <f t="shared" si="26"/>
        <v>0.29999979281353012</v>
      </c>
    </row>
    <row r="1669" spans="1:16" x14ac:dyDescent="0.25">
      <c r="A1669" t="s">
        <v>2624</v>
      </c>
      <c r="B1669" s="1">
        <v>45008</v>
      </c>
      <c r="C1669" t="s">
        <v>2621</v>
      </c>
      <c r="D1669" t="s">
        <v>41</v>
      </c>
      <c r="E1669">
        <v>203.74</v>
      </c>
      <c r="F1669">
        <v>2</v>
      </c>
      <c r="G1669">
        <v>61.12</v>
      </c>
      <c r="H1669">
        <v>0</v>
      </c>
      <c r="I1669" t="s">
        <v>2621</v>
      </c>
      <c r="J1669" t="s">
        <v>630</v>
      </c>
      <c r="K1669" t="s">
        <v>24</v>
      </c>
      <c r="L1669" t="s">
        <v>488</v>
      </c>
      <c r="M1669" t="s">
        <v>26</v>
      </c>
      <c r="N1669" t="s">
        <v>3966</v>
      </c>
      <c r="P1669">
        <f t="shared" si="26"/>
        <v>0.29999018356729162</v>
      </c>
    </row>
    <row r="1670" spans="1:16" x14ac:dyDescent="0.25">
      <c r="A1670" t="s">
        <v>3806</v>
      </c>
      <c r="B1670" s="1">
        <v>45837</v>
      </c>
      <c r="C1670" t="s">
        <v>3807</v>
      </c>
      <c r="D1670" t="s">
        <v>91</v>
      </c>
      <c r="E1670">
        <v>4084.56</v>
      </c>
      <c r="F1670">
        <v>9</v>
      </c>
      <c r="G1670">
        <v>1225.3699999999999</v>
      </c>
      <c r="H1670">
        <v>0.15</v>
      </c>
      <c r="I1670" t="s">
        <v>3807</v>
      </c>
      <c r="J1670" t="s">
        <v>3682</v>
      </c>
      <c r="K1670" t="s">
        <v>71</v>
      </c>
      <c r="L1670" t="s">
        <v>411</v>
      </c>
      <c r="M1670" t="s">
        <v>412</v>
      </c>
      <c r="N1670" t="s">
        <v>3966</v>
      </c>
      <c r="P1670">
        <f t="shared" si="26"/>
        <v>0.30000048964882386</v>
      </c>
    </row>
    <row r="1671" spans="1:16" x14ac:dyDescent="0.25">
      <c r="A1671" t="s">
        <v>3808</v>
      </c>
      <c r="B1671" s="1">
        <v>45383</v>
      </c>
      <c r="C1671" t="s">
        <v>3809</v>
      </c>
      <c r="D1671" t="s">
        <v>29</v>
      </c>
      <c r="E1671">
        <v>1520.51</v>
      </c>
      <c r="F1671">
        <v>7</v>
      </c>
      <c r="G1671">
        <v>456.15</v>
      </c>
      <c r="H1671">
        <v>0.1</v>
      </c>
      <c r="I1671" t="s">
        <v>3809</v>
      </c>
      <c r="J1671" t="s">
        <v>760</v>
      </c>
      <c r="K1671" t="s">
        <v>71</v>
      </c>
      <c r="L1671" t="s">
        <v>3810</v>
      </c>
      <c r="M1671" t="s">
        <v>412</v>
      </c>
      <c r="N1671" t="s">
        <v>3966</v>
      </c>
      <c r="P1671">
        <f t="shared" si="26"/>
        <v>0.29999802697779032</v>
      </c>
    </row>
    <row r="1672" spans="1:16" x14ac:dyDescent="0.25">
      <c r="A1672" t="s">
        <v>3811</v>
      </c>
      <c r="B1672" s="1">
        <v>45447</v>
      </c>
      <c r="C1672" t="s">
        <v>3812</v>
      </c>
      <c r="D1672" t="s">
        <v>91</v>
      </c>
      <c r="E1672">
        <v>1675.87</v>
      </c>
      <c r="F1672">
        <v>11</v>
      </c>
      <c r="G1672">
        <v>502.76</v>
      </c>
      <c r="H1672">
        <v>0.05</v>
      </c>
      <c r="I1672" t="s">
        <v>3812</v>
      </c>
      <c r="J1672" t="s">
        <v>3290</v>
      </c>
      <c r="K1672" t="s">
        <v>31</v>
      </c>
      <c r="L1672" t="s">
        <v>3482</v>
      </c>
      <c r="M1672" t="s">
        <v>111</v>
      </c>
      <c r="N1672" t="s">
        <v>3966</v>
      </c>
      <c r="P1672">
        <f t="shared" si="26"/>
        <v>0.29999940329500502</v>
      </c>
    </row>
    <row r="1673" spans="1:16" x14ac:dyDescent="0.25">
      <c r="A1673" t="s">
        <v>3813</v>
      </c>
      <c r="B1673" s="1">
        <v>45015</v>
      </c>
      <c r="C1673" t="s">
        <v>3814</v>
      </c>
      <c r="D1673" t="s">
        <v>91</v>
      </c>
      <c r="E1673">
        <v>377.19</v>
      </c>
      <c r="F1673">
        <v>1</v>
      </c>
      <c r="G1673">
        <v>113.16</v>
      </c>
      <c r="H1673">
        <v>0.1</v>
      </c>
      <c r="I1673" t="s">
        <v>3814</v>
      </c>
      <c r="J1673" t="s">
        <v>1383</v>
      </c>
      <c r="K1673" t="s">
        <v>17</v>
      </c>
      <c r="L1673" t="s">
        <v>72</v>
      </c>
      <c r="M1673" t="s">
        <v>26</v>
      </c>
      <c r="N1673" t="s">
        <v>3967</v>
      </c>
      <c r="P1673">
        <f t="shared" si="26"/>
        <v>0.30000795355126064</v>
      </c>
    </row>
    <row r="1674" spans="1:16" x14ac:dyDescent="0.25">
      <c r="A1674" t="s">
        <v>3815</v>
      </c>
      <c r="B1674" s="1">
        <v>45742</v>
      </c>
      <c r="C1674" t="s">
        <v>3816</v>
      </c>
      <c r="D1674" t="s">
        <v>15</v>
      </c>
      <c r="E1674">
        <v>1532.86</v>
      </c>
      <c r="F1674">
        <v>13</v>
      </c>
      <c r="G1674">
        <v>459.86</v>
      </c>
      <c r="H1674">
        <v>0.15</v>
      </c>
      <c r="I1674" t="s">
        <v>3816</v>
      </c>
      <c r="J1674" t="s">
        <v>970</v>
      </c>
      <c r="K1674" t="s">
        <v>17</v>
      </c>
      <c r="L1674" t="s">
        <v>72</v>
      </c>
      <c r="M1674" t="s">
        <v>26</v>
      </c>
      <c r="N1674" t="s">
        <v>3966</v>
      </c>
      <c r="P1674">
        <f t="shared" si="26"/>
        <v>0.30000130475059694</v>
      </c>
    </row>
    <row r="1675" spans="1:16" x14ac:dyDescent="0.25">
      <c r="A1675" t="s">
        <v>3817</v>
      </c>
      <c r="B1675" s="1">
        <v>45160</v>
      </c>
      <c r="C1675" t="s">
        <v>3818</v>
      </c>
      <c r="D1675" t="s">
        <v>48</v>
      </c>
      <c r="E1675">
        <v>3688.32</v>
      </c>
      <c r="F1675">
        <v>8</v>
      </c>
      <c r="G1675">
        <v>1106.5</v>
      </c>
      <c r="H1675">
        <v>0</v>
      </c>
      <c r="I1675" t="s">
        <v>3818</v>
      </c>
      <c r="J1675" t="s">
        <v>924</v>
      </c>
      <c r="K1675" t="s">
        <v>71</v>
      </c>
      <c r="L1675" t="s">
        <v>2291</v>
      </c>
      <c r="M1675" t="s">
        <v>160</v>
      </c>
      <c r="N1675" t="s">
        <v>3966</v>
      </c>
      <c r="P1675">
        <f t="shared" si="26"/>
        <v>0.30000108450459828</v>
      </c>
    </row>
    <row r="1676" spans="1:16" x14ac:dyDescent="0.25">
      <c r="A1676" t="s">
        <v>1924</v>
      </c>
      <c r="B1676" s="1">
        <v>45398</v>
      </c>
      <c r="C1676" t="s">
        <v>1925</v>
      </c>
      <c r="D1676" t="s">
        <v>22</v>
      </c>
      <c r="E1676">
        <v>2673.37</v>
      </c>
      <c r="F1676">
        <v>6</v>
      </c>
      <c r="G1676">
        <v>802.01</v>
      </c>
      <c r="H1676">
        <v>0.15</v>
      </c>
      <c r="I1676" t="s">
        <v>1925</v>
      </c>
      <c r="J1676" t="s">
        <v>924</v>
      </c>
      <c r="K1676" t="s">
        <v>24</v>
      </c>
      <c r="L1676" t="s">
        <v>25</v>
      </c>
      <c r="M1676" t="s">
        <v>26</v>
      </c>
      <c r="N1676" t="s">
        <v>3967</v>
      </c>
      <c r="P1676">
        <f t="shared" si="26"/>
        <v>0.29999962594029261</v>
      </c>
    </row>
    <row r="1677" spans="1:16" x14ac:dyDescent="0.25">
      <c r="A1677" t="s">
        <v>1926</v>
      </c>
      <c r="B1677" s="1">
        <v>45639</v>
      </c>
      <c r="C1677" t="s">
        <v>1925</v>
      </c>
      <c r="D1677" t="s">
        <v>48</v>
      </c>
      <c r="E1677">
        <v>3172.46</v>
      </c>
      <c r="F1677">
        <v>18</v>
      </c>
      <c r="G1677">
        <v>951.74</v>
      </c>
      <c r="H1677">
        <v>0.15</v>
      </c>
      <c r="I1677" t="s">
        <v>1925</v>
      </c>
      <c r="J1677" t="s">
        <v>924</v>
      </c>
      <c r="K1677" t="s">
        <v>24</v>
      </c>
      <c r="L1677" t="s">
        <v>25</v>
      </c>
      <c r="M1677" t="s">
        <v>26</v>
      </c>
      <c r="N1677" t="s">
        <v>3967</v>
      </c>
      <c r="P1677">
        <f t="shared" si="26"/>
        <v>0.30000063042560032</v>
      </c>
    </row>
    <row r="1678" spans="1:16" x14ac:dyDescent="0.25">
      <c r="A1678" t="s">
        <v>1286</v>
      </c>
      <c r="B1678" s="1">
        <v>45788</v>
      </c>
      <c r="C1678" t="s">
        <v>1287</v>
      </c>
      <c r="D1678" t="s">
        <v>36</v>
      </c>
      <c r="E1678">
        <v>4395.0200000000004</v>
      </c>
      <c r="F1678">
        <v>16</v>
      </c>
      <c r="G1678">
        <v>1318.51</v>
      </c>
      <c r="H1678">
        <v>0.1</v>
      </c>
      <c r="I1678" t="s">
        <v>1287</v>
      </c>
      <c r="J1678" t="s">
        <v>764</v>
      </c>
      <c r="K1678" t="s">
        <v>38</v>
      </c>
      <c r="L1678" t="s">
        <v>50</v>
      </c>
      <c r="M1678" t="s">
        <v>51</v>
      </c>
      <c r="N1678" t="s">
        <v>3966</v>
      </c>
      <c r="P1678">
        <f t="shared" si="26"/>
        <v>0.30000091012100055</v>
      </c>
    </row>
    <row r="1679" spans="1:16" x14ac:dyDescent="0.25">
      <c r="A1679" t="s">
        <v>1290</v>
      </c>
      <c r="B1679" s="1">
        <v>45144</v>
      </c>
      <c r="C1679" t="s">
        <v>1287</v>
      </c>
      <c r="D1679" t="s">
        <v>91</v>
      </c>
      <c r="E1679">
        <v>2112.27</v>
      </c>
      <c r="F1679">
        <v>4</v>
      </c>
      <c r="G1679">
        <v>633.67999999999995</v>
      </c>
      <c r="H1679">
        <v>0.05</v>
      </c>
      <c r="I1679" t="s">
        <v>1287</v>
      </c>
      <c r="J1679" t="s">
        <v>764</v>
      </c>
      <c r="K1679" t="s">
        <v>38</v>
      </c>
      <c r="L1679" t="s">
        <v>50</v>
      </c>
      <c r="M1679" t="s">
        <v>51</v>
      </c>
      <c r="N1679" t="s">
        <v>3966</v>
      </c>
      <c r="P1679">
        <f t="shared" si="26"/>
        <v>0.29999952657567447</v>
      </c>
    </row>
    <row r="1680" spans="1:16" x14ac:dyDescent="0.25">
      <c r="A1680" t="s">
        <v>3819</v>
      </c>
      <c r="B1680" s="1">
        <v>45271</v>
      </c>
      <c r="C1680" t="s">
        <v>3820</v>
      </c>
      <c r="D1680" t="s">
        <v>41</v>
      </c>
      <c r="E1680">
        <v>7019.36</v>
      </c>
      <c r="F1680">
        <v>16</v>
      </c>
      <c r="G1680">
        <v>2105.81</v>
      </c>
      <c r="H1680">
        <v>0</v>
      </c>
      <c r="I1680" t="s">
        <v>3820</v>
      </c>
      <c r="J1680" t="s">
        <v>3821</v>
      </c>
      <c r="K1680" t="s">
        <v>31</v>
      </c>
      <c r="L1680" t="s">
        <v>3822</v>
      </c>
      <c r="M1680" t="s">
        <v>384</v>
      </c>
      <c r="N1680" t="s">
        <v>3967</v>
      </c>
      <c r="P1680">
        <f t="shared" si="26"/>
        <v>0.30000028492626107</v>
      </c>
    </row>
    <row r="1681" spans="1:16" x14ac:dyDescent="0.25">
      <c r="A1681" t="s">
        <v>3823</v>
      </c>
      <c r="B1681" s="1">
        <v>44942</v>
      </c>
      <c r="C1681" t="s">
        <v>3824</v>
      </c>
      <c r="D1681" t="s">
        <v>41</v>
      </c>
      <c r="E1681">
        <v>1745.64</v>
      </c>
      <c r="F1681">
        <v>10</v>
      </c>
      <c r="G1681">
        <v>523.69000000000005</v>
      </c>
      <c r="H1681">
        <v>0.1</v>
      </c>
      <c r="I1681" t="s">
        <v>3824</v>
      </c>
      <c r="J1681" t="s">
        <v>192</v>
      </c>
      <c r="K1681" t="s">
        <v>31</v>
      </c>
      <c r="L1681" t="s">
        <v>206</v>
      </c>
      <c r="M1681" t="s">
        <v>144</v>
      </c>
      <c r="N1681" t="s">
        <v>3967</v>
      </c>
      <c r="P1681">
        <f t="shared" si="26"/>
        <v>0.29999885428839856</v>
      </c>
    </row>
    <row r="1682" spans="1:16" x14ac:dyDescent="0.25">
      <c r="A1682" t="s">
        <v>3825</v>
      </c>
      <c r="B1682" s="1">
        <v>45056</v>
      </c>
      <c r="C1682" t="s">
        <v>3826</v>
      </c>
      <c r="D1682" t="s">
        <v>22</v>
      </c>
      <c r="E1682">
        <v>9925.18</v>
      </c>
      <c r="F1682">
        <v>18</v>
      </c>
      <c r="G1682">
        <v>2977.55</v>
      </c>
      <c r="H1682">
        <v>0.05</v>
      </c>
      <c r="I1682" t="s">
        <v>3826</v>
      </c>
      <c r="J1682" t="s">
        <v>151</v>
      </c>
      <c r="K1682" t="s">
        <v>17</v>
      </c>
      <c r="L1682" t="s">
        <v>597</v>
      </c>
      <c r="M1682" t="s">
        <v>144</v>
      </c>
      <c r="N1682" t="s">
        <v>3967</v>
      </c>
      <c r="P1682">
        <f t="shared" si="26"/>
        <v>0.29999959698463907</v>
      </c>
    </row>
    <row r="1683" spans="1:16" x14ac:dyDescent="0.25">
      <c r="A1683" t="s">
        <v>3827</v>
      </c>
      <c r="B1683" s="1">
        <v>45465</v>
      </c>
      <c r="C1683" t="s">
        <v>3828</v>
      </c>
      <c r="D1683" t="s">
        <v>48</v>
      </c>
      <c r="E1683">
        <v>1483.11</v>
      </c>
      <c r="F1683">
        <v>18</v>
      </c>
      <c r="G1683">
        <v>444.93</v>
      </c>
      <c r="H1683">
        <v>0.1</v>
      </c>
      <c r="I1683" t="s">
        <v>3828</v>
      </c>
      <c r="J1683" t="s">
        <v>1951</v>
      </c>
      <c r="K1683" t="s">
        <v>38</v>
      </c>
      <c r="L1683" t="s">
        <v>248</v>
      </c>
      <c r="M1683" t="s">
        <v>44</v>
      </c>
      <c r="N1683" t="s">
        <v>3967</v>
      </c>
      <c r="P1683">
        <f t="shared" si="26"/>
        <v>0.29999797722353705</v>
      </c>
    </row>
    <row r="1684" spans="1:16" x14ac:dyDescent="0.25">
      <c r="A1684" t="s">
        <v>3829</v>
      </c>
      <c r="B1684" s="1">
        <v>45745</v>
      </c>
      <c r="C1684" t="s">
        <v>3830</v>
      </c>
      <c r="D1684" t="s">
        <v>91</v>
      </c>
      <c r="E1684">
        <v>1331.23</v>
      </c>
      <c r="F1684">
        <v>13</v>
      </c>
      <c r="G1684">
        <v>399.37</v>
      </c>
      <c r="H1684">
        <v>0.1</v>
      </c>
      <c r="I1684" t="s">
        <v>3830</v>
      </c>
      <c r="J1684" t="s">
        <v>3336</v>
      </c>
      <c r="K1684" t="s">
        <v>71</v>
      </c>
      <c r="L1684" t="s">
        <v>99</v>
      </c>
      <c r="M1684" t="s">
        <v>56</v>
      </c>
      <c r="N1684" t="s">
        <v>3966</v>
      </c>
      <c r="P1684">
        <f t="shared" si="26"/>
        <v>0.30000075118499431</v>
      </c>
    </row>
    <row r="1685" spans="1:16" x14ac:dyDescent="0.25">
      <c r="A1685" t="s">
        <v>3831</v>
      </c>
      <c r="B1685" s="1">
        <v>45034</v>
      </c>
      <c r="C1685" t="s">
        <v>3832</v>
      </c>
      <c r="D1685" t="s">
        <v>91</v>
      </c>
      <c r="E1685">
        <v>7646.56</v>
      </c>
      <c r="F1685">
        <v>16</v>
      </c>
      <c r="G1685">
        <v>2293.9699999999998</v>
      </c>
      <c r="H1685">
        <v>0</v>
      </c>
      <c r="I1685" t="s">
        <v>3832</v>
      </c>
      <c r="J1685" t="s">
        <v>205</v>
      </c>
      <c r="K1685" t="s">
        <v>31</v>
      </c>
      <c r="L1685" t="s">
        <v>143</v>
      </c>
      <c r="M1685" t="s">
        <v>144</v>
      </c>
      <c r="N1685" t="s">
        <v>3967</v>
      </c>
      <c r="P1685">
        <f t="shared" si="26"/>
        <v>0.30000026155552295</v>
      </c>
    </row>
    <row r="1686" spans="1:16" x14ac:dyDescent="0.25">
      <c r="A1686" t="s">
        <v>3833</v>
      </c>
      <c r="B1686" s="1">
        <v>44964</v>
      </c>
      <c r="C1686" t="s">
        <v>3834</v>
      </c>
      <c r="D1686" t="s">
        <v>15</v>
      </c>
      <c r="E1686">
        <v>3860.51</v>
      </c>
      <c r="F1686">
        <v>14</v>
      </c>
      <c r="G1686">
        <v>1158.1500000000001</v>
      </c>
      <c r="H1686">
        <v>0.1</v>
      </c>
      <c r="I1686" t="s">
        <v>3834</v>
      </c>
      <c r="J1686" t="s">
        <v>3416</v>
      </c>
      <c r="K1686" t="s">
        <v>38</v>
      </c>
      <c r="L1686" t="s">
        <v>265</v>
      </c>
      <c r="M1686" t="s">
        <v>645</v>
      </c>
      <c r="N1686" t="s">
        <v>3967</v>
      </c>
      <c r="P1686">
        <f t="shared" si="26"/>
        <v>0.29999922290060121</v>
      </c>
    </row>
    <row r="1687" spans="1:16" x14ac:dyDescent="0.25">
      <c r="A1687" t="s">
        <v>3835</v>
      </c>
      <c r="B1687" s="1">
        <v>45679</v>
      </c>
      <c r="C1687" t="s">
        <v>3836</v>
      </c>
      <c r="D1687" t="s">
        <v>91</v>
      </c>
      <c r="E1687">
        <v>134.53</v>
      </c>
      <c r="F1687">
        <v>17</v>
      </c>
      <c r="G1687">
        <v>40.36</v>
      </c>
      <c r="H1687">
        <v>0.05</v>
      </c>
      <c r="I1687" t="s">
        <v>3836</v>
      </c>
      <c r="J1687" t="s">
        <v>1100</v>
      </c>
      <c r="K1687" t="s">
        <v>17</v>
      </c>
      <c r="L1687" t="s">
        <v>155</v>
      </c>
      <c r="M1687" t="s">
        <v>111</v>
      </c>
      <c r="N1687" t="s">
        <v>3967</v>
      </c>
      <c r="P1687">
        <f t="shared" si="26"/>
        <v>0.30000743328625584</v>
      </c>
    </row>
    <row r="1688" spans="1:16" x14ac:dyDescent="0.25">
      <c r="A1688" t="s">
        <v>3837</v>
      </c>
      <c r="B1688" s="1">
        <v>45111</v>
      </c>
      <c r="C1688" t="s">
        <v>3838</v>
      </c>
      <c r="D1688" t="s">
        <v>22</v>
      </c>
      <c r="E1688">
        <v>1977.1</v>
      </c>
      <c r="F1688">
        <v>6</v>
      </c>
      <c r="G1688">
        <v>593.13</v>
      </c>
      <c r="H1688">
        <v>0.05</v>
      </c>
      <c r="I1688" t="s">
        <v>3838</v>
      </c>
      <c r="J1688" t="s">
        <v>2671</v>
      </c>
      <c r="K1688" t="s">
        <v>17</v>
      </c>
      <c r="L1688" t="s">
        <v>3839</v>
      </c>
      <c r="M1688" t="s">
        <v>111</v>
      </c>
      <c r="N1688" t="s">
        <v>3967</v>
      </c>
      <c r="P1688">
        <f t="shared" si="26"/>
        <v>0.3</v>
      </c>
    </row>
    <row r="1689" spans="1:16" x14ac:dyDescent="0.25">
      <c r="A1689" t="s">
        <v>3840</v>
      </c>
      <c r="B1689" s="1">
        <v>45138</v>
      </c>
      <c r="C1689" t="s">
        <v>3841</v>
      </c>
      <c r="D1689" t="s">
        <v>29</v>
      </c>
      <c r="E1689">
        <v>2813.08</v>
      </c>
      <c r="F1689">
        <v>14</v>
      </c>
      <c r="G1689">
        <v>843.92</v>
      </c>
      <c r="H1689">
        <v>0.1</v>
      </c>
      <c r="I1689" t="s">
        <v>3841</v>
      </c>
      <c r="J1689" t="s">
        <v>1539</v>
      </c>
      <c r="K1689" t="s">
        <v>38</v>
      </c>
      <c r="L1689" t="s">
        <v>122</v>
      </c>
      <c r="M1689" t="s">
        <v>123</v>
      </c>
      <c r="N1689" t="s">
        <v>3966</v>
      </c>
      <c r="P1689">
        <f t="shared" si="26"/>
        <v>0.2999985780710111</v>
      </c>
    </row>
    <row r="1690" spans="1:16" x14ac:dyDescent="0.25">
      <c r="A1690" t="s">
        <v>3842</v>
      </c>
      <c r="B1690" s="1">
        <v>45036</v>
      </c>
      <c r="C1690" t="s">
        <v>3843</v>
      </c>
      <c r="D1690" t="s">
        <v>29</v>
      </c>
      <c r="E1690">
        <v>3174.6</v>
      </c>
      <c r="F1690">
        <v>6</v>
      </c>
      <c r="G1690">
        <v>952.38</v>
      </c>
      <c r="H1690">
        <v>0</v>
      </c>
      <c r="I1690" t="s">
        <v>3843</v>
      </c>
      <c r="J1690" t="s">
        <v>1064</v>
      </c>
      <c r="K1690" t="s">
        <v>31</v>
      </c>
      <c r="L1690" t="s">
        <v>50</v>
      </c>
      <c r="M1690" t="s">
        <v>51</v>
      </c>
      <c r="N1690" t="s">
        <v>3966</v>
      </c>
      <c r="P1690">
        <f t="shared" si="26"/>
        <v>0.3</v>
      </c>
    </row>
    <row r="1691" spans="1:16" x14ac:dyDescent="0.25">
      <c r="A1691" t="s">
        <v>3844</v>
      </c>
      <c r="B1691" s="1">
        <v>45573</v>
      </c>
      <c r="C1691" t="s">
        <v>3845</v>
      </c>
      <c r="D1691" t="s">
        <v>91</v>
      </c>
      <c r="E1691">
        <v>963.67</v>
      </c>
      <c r="F1691">
        <v>11</v>
      </c>
      <c r="G1691">
        <v>289.10000000000002</v>
      </c>
      <c r="H1691">
        <v>0.1</v>
      </c>
      <c r="I1691" t="s">
        <v>3845</v>
      </c>
      <c r="J1691" t="s">
        <v>463</v>
      </c>
      <c r="K1691" t="s">
        <v>38</v>
      </c>
      <c r="L1691" t="s">
        <v>1833</v>
      </c>
      <c r="M1691" t="s">
        <v>33</v>
      </c>
      <c r="N1691" t="s">
        <v>3966</v>
      </c>
      <c r="P1691">
        <f t="shared" si="26"/>
        <v>0.2999989623003726</v>
      </c>
    </row>
    <row r="1692" spans="1:16" x14ac:dyDescent="0.25">
      <c r="A1692" t="s">
        <v>3846</v>
      </c>
      <c r="B1692" s="1">
        <v>45316</v>
      </c>
      <c r="C1692" t="s">
        <v>3847</v>
      </c>
      <c r="D1692" t="s">
        <v>36</v>
      </c>
      <c r="E1692">
        <v>4186.6099999999997</v>
      </c>
      <c r="F1692">
        <v>11</v>
      </c>
      <c r="G1692">
        <v>1255.98</v>
      </c>
      <c r="H1692">
        <v>0.1</v>
      </c>
      <c r="I1692" t="s">
        <v>3847</v>
      </c>
      <c r="J1692" t="s">
        <v>1016</v>
      </c>
      <c r="K1692" t="s">
        <v>17</v>
      </c>
      <c r="L1692" t="s">
        <v>3848</v>
      </c>
      <c r="M1692" t="s">
        <v>144</v>
      </c>
      <c r="N1692" t="s">
        <v>3966</v>
      </c>
      <c r="P1692">
        <f t="shared" si="26"/>
        <v>0.29999928342979165</v>
      </c>
    </row>
    <row r="1693" spans="1:16" x14ac:dyDescent="0.25">
      <c r="A1693" t="s">
        <v>3849</v>
      </c>
      <c r="B1693" s="1">
        <v>45642</v>
      </c>
      <c r="C1693" t="s">
        <v>3850</v>
      </c>
      <c r="D1693" t="s">
        <v>48</v>
      </c>
      <c r="E1693">
        <v>2117.25</v>
      </c>
      <c r="F1693">
        <v>4</v>
      </c>
      <c r="G1693">
        <v>635.16999999999996</v>
      </c>
      <c r="H1693">
        <v>0.05</v>
      </c>
      <c r="I1693" t="s">
        <v>3850</v>
      </c>
      <c r="J1693" t="s">
        <v>1539</v>
      </c>
      <c r="K1693" t="s">
        <v>24</v>
      </c>
      <c r="L1693" t="s">
        <v>3851</v>
      </c>
      <c r="M1693" t="s">
        <v>139</v>
      </c>
      <c r="N1693" t="s">
        <v>3966</v>
      </c>
      <c r="P1693">
        <f t="shared" si="26"/>
        <v>0.2999976384460975</v>
      </c>
    </row>
    <row r="1694" spans="1:16" x14ac:dyDescent="0.25">
      <c r="A1694" t="s">
        <v>73</v>
      </c>
      <c r="B1694" s="1">
        <v>45589</v>
      </c>
      <c r="C1694" t="s">
        <v>74</v>
      </c>
      <c r="D1694" t="s">
        <v>41</v>
      </c>
      <c r="E1694">
        <v>3723.17</v>
      </c>
      <c r="F1694">
        <v>9</v>
      </c>
      <c r="G1694">
        <v>1116.95</v>
      </c>
      <c r="H1694">
        <v>0.1</v>
      </c>
      <c r="I1694" t="s">
        <v>74</v>
      </c>
      <c r="J1694" t="s">
        <v>1488</v>
      </c>
      <c r="K1694" t="s">
        <v>38</v>
      </c>
      <c r="L1694" t="s">
        <v>427</v>
      </c>
      <c r="M1694" t="s">
        <v>56</v>
      </c>
      <c r="N1694" t="s">
        <v>3966</v>
      </c>
      <c r="P1694">
        <f t="shared" si="26"/>
        <v>0.29999973141167341</v>
      </c>
    </row>
    <row r="1695" spans="1:16" x14ac:dyDescent="0.25">
      <c r="A1695" t="s">
        <v>78</v>
      </c>
      <c r="B1695" s="1">
        <v>45392</v>
      </c>
      <c r="C1695" t="s">
        <v>74</v>
      </c>
      <c r="D1695" t="s">
        <v>29</v>
      </c>
      <c r="E1695">
        <v>6671.95</v>
      </c>
      <c r="F1695">
        <v>15</v>
      </c>
      <c r="G1695">
        <v>2001.58</v>
      </c>
      <c r="H1695">
        <v>0.15</v>
      </c>
      <c r="I1695" t="s">
        <v>74</v>
      </c>
      <c r="J1695" t="s">
        <v>1488</v>
      </c>
      <c r="K1695" t="s">
        <v>38</v>
      </c>
      <c r="L1695" t="s">
        <v>427</v>
      </c>
      <c r="M1695" t="s">
        <v>56</v>
      </c>
      <c r="N1695" t="s">
        <v>3968</v>
      </c>
      <c r="P1695">
        <f t="shared" si="26"/>
        <v>0.29999925059390431</v>
      </c>
    </row>
    <row r="1696" spans="1:16" x14ac:dyDescent="0.25">
      <c r="A1696" t="s">
        <v>3852</v>
      </c>
      <c r="B1696" s="1">
        <v>45246</v>
      </c>
      <c r="C1696" t="s">
        <v>3853</v>
      </c>
      <c r="D1696" t="s">
        <v>48</v>
      </c>
      <c r="E1696">
        <v>3552.12</v>
      </c>
      <c r="F1696">
        <v>8</v>
      </c>
      <c r="G1696">
        <v>1065.6400000000001</v>
      </c>
      <c r="H1696">
        <v>0.1</v>
      </c>
      <c r="I1696" t="s">
        <v>3853</v>
      </c>
      <c r="J1696" t="s">
        <v>3400</v>
      </c>
      <c r="K1696" t="s">
        <v>71</v>
      </c>
      <c r="L1696" t="s">
        <v>82</v>
      </c>
      <c r="M1696" t="s">
        <v>83</v>
      </c>
      <c r="N1696" t="s">
        <v>3968</v>
      </c>
      <c r="P1696">
        <f t="shared" si="26"/>
        <v>0.30000112608808266</v>
      </c>
    </row>
    <row r="1697" spans="1:16" x14ac:dyDescent="0.25">
      <c r="A1697" t="s">
        <v>3854</v>
      </c>
      <c r="B1697" s="1">
        <v>45382</v>
      </c>
      <c r="C1697" t="s">
        <v>3855</v>
      </c>
      <c r="D1697" t="s">
        <v>15</v>
      </c>
      <c r="E1697">
        <v>5571.67</v>
      </c>
      <c r="F1697">
        <v>13</v>
      </c>
      <c r="G1697">
        <v>1671.5</v>
      </c>
      <c r="H1697">
        <v>0</v>
      </c>
      <c r="I1697" t="s">
        <v>3855</v>
      </c>
      <c r="J1697" t="s">
        <v>2135</v>
      </c>
      <c r="K1697" t="s">
        <v>24</v>
      </c>
      <c r="L1697" t="s">
        <v>72</v>
      </c>
      <c r="M1697" t="s">
        <v>26</v>
      </c>
      <c r="N1697" t="s">
        <v>3968</v>
      </c>
      <c r="P1697">
        <f t="shared" si="26"/>
        <v>0.29999982052059793</v>
      </c>
    </row>
    <row r="1698" spans="1:16" x14ac:dyDescent="0.25">
      <c r="A1698" t="s">
        <v>2600</v>
      </c>
      <c r="B1698" s="1">
        <v>44970</v>
      </c>
      <c r="C1698" t="s">
        <v>2601</v>
      </c>
      <c r="D1698" t="s">
        <v>15</v>
      </c>
      <c r="E1698">
        <v>1610.03</v>
      </c>
      <c r="F1698">
        <v>7</v>
      </c>
      <c r="G1698">
        <v>483.01</v>
      </c>
      <c r="H1698">
        <v>0.05</v>
      </c>
      <c r="I1698" t="s">
        <v>2601</v>
      </c>
      <c r="J1698" t="s">
        <v>2308</v>
      </c>
      <c r="K1698" t="s">
        <v>17</v>
      </c>
      <c r="L1698" t="s">
        <v>624</v>
      </c>
      <c r="M1698" t="s">
        <v>56</v>
      </c>
      <c r="N1698" t="s">
        <v>3968</v>
      </c>
      <c r="P1698">
        <f t="shared" si="26"/>
        <v>0.30000062110643899</v>
      </c>
    </row>
    <row r="1699" spans="1:16" x14ac:dyDescent="0.25">
      <c r="A1699" t="s">
        <v>2603</v>
      </c>
      <c r="B1699" s="1">
        <v>45038</v>
      </c>
      <c r="C1699" t="s">
        <v>2601</v>
      </c>
      <c r="D1699" t="s">
        <v>91</v>
      </c>
      <c r="E1699">
        <v>10216.299999999999</v>
      </c>
      <c r="F1699">
        <v>19</v>
      </c>
      <c r="G1699">
        <v>3064.89</v>
      </c>
      <c r="H1699">
        <v>0</v>
      </c>
      <c r="I1699" t="s">
        <v>2601</v>
      </c>
      <c r="J1699" t="s">
        <v>2308</v>
      </c>
      <c r="K1699" t="s">
        <v>17</v>
      </c>
      <c r="L1699" t="s">
        <v>624</v>
      </c>
      <c r="M1699" t="s">
        <v>56</v>
      </c>
      <c r="N1699" t="s">
        <v>3966</v>
      </c>
      <c r="P1699">
        <f t="shared" si="26"/>
        <v>0.3</v>
      </c>
    </row>
    <row r="1700" spans="1:16" x14ac:dyDescent="0.25">
      <c r="A1700" t="s">
        <v>3856</v>
      </c>
      <c r="B1700" s="1">
        <v>45189</v>
      </c>
      <c r="C1700" t="s">
        <v>3857</v>
      </c>
      <c r="D1700" t="s">
        <v>91</v>
      </c>
      <c r="E1700">
        <v>7709.69</v>
      </c>
      <c r="F1700">
        <v>17</v>
      </c>
      <c r="G1700">
        <v>2312.91</v>
      </c>
      <c r="H1700">
        <v>0.05</v>
      </c>
      <c r="I1700" t="s">
        <v>3857</v>
      </c>
      <c r="J1700" t="s">
        <v>1482</v>
      </c>
      <c r="K1700" t="s">
        <v>24</v>
      </c>
      <c r="L1700" t="s">
        <v>459</v>
      </c>
      <c r="M1700" t="s">
        <v>129</v>
      </c>
      <c r="N1700" t="s">
        <v>3966</v>
      </c>
      <c r="P1700">
        <f t="shared" si="26"/>
        <v>0.30000038912070393</v>
      </c>
    </row>
    <row r="1701" spans="1:16" x14ac:dyDescent="0.25">
      <c r="A1701" t="s">
        <v>3858</v>
      </c>
      <c r="B1701" s="1">
        <v>45104</v>
      </c>
      <c r="C1701" t="s">
        <v>3859</v>
      </c>
      <c r="D1701" t="s">
        <v>36</v>
      </c>
      <c r="E1701">
        <v>745.56</v>
      </c>
      <c r="F1701">
        <v>3</v>
      </c>
      <c r="G1701">
        <v>223.67</v>
      </c>
      <c r="H1701">
        <v>0.05</v>
      </c>
      <c r="I1701" t="s">
        <v>3859</v>
      </c>
      <c r="J1701" t="s">
        <v>3120</v>
      </c>
      <c r="K1701" t="s">
        <v>24</v>
      </c>
      <c r="L1701" t="s">
        <v>2311</v>
      </c>
      <c r="M1701" t="s">
        <v>144</v>
      </c>
      <c r="N1701" t="s">
        <v>3966</v>
      </c>
      <c r="P1701">
        <f t="shared" si="26"/>
        <v>0.30000268254734697</v>
      </c>
    </row>
    <row r="1702" spans="1:16" x14ac:dyDescent="0.25">
      <c r="A1702" t="s">
        <v>3860</v>
      </c>
      <c r="B1702" s="1">
        <v>45749</v>
      </c>
      <c r="C1702" t="s">
        <v>3861</v>
      </c>
      <c r="D1702" t="s">
        <v>15</v>
      </c>
      <c r="E1702">
        <v>2372.34</v>
      </c>
      <c r="F1702">
        <v>6</v>
      </c>
      <c r="G1702">
        <v>711.7</v>
      </c>
      <c r="H1702">
        <v>0.05</v>
      </c>
      <c r="I1702" t="s">
        <v>3861</v>
      </c>
      <c r="J1702" t="s">
        <v>3862</v>
      </c>
      <c r="K1702" t="s">
        <v>38</v>
      </c>
      <c r="L1702" t="s">
        <v>265</v>
      </c>
      <c r="M1702" t="s">
        <v>645</v>
      </c>
      <c r="N1702" t="s">
        <v>3966</v>
      </c>
      <c r="P1702">
        <f t="shared" si="26"/>
        <v>0.29999915695052143</v>
      </c>
    </row>
    <row r="1703" spans="1:16" x14ac:dyDescent="0.25">
      <c r="A1703" t="s">
        <v>3863</v>
      </c>
      <c r="B1703" s="1">
        <v>45763</v>
      </c>
      <c r="C1703" t="s">
        <v>3864</v>
      </c>
      <c r="D1703" t="s">
        <v>41</v>
      </c>
      <c r="E1703">
        <v>1494.9</v>
      </c>
      <c r="F1703">
        <v>15</v>
      </c>
      <c r="G1703">
        <v>448.47</v>
      </c>
      <c r="H1703">
        <v>0</v>
      </c>
      <c r="I1703" t="s">
        <v>3864</v>
      </c>
      <c r="J1703" t="s">
        <v>2882</v>
      </c>
      <c r="K1703" t="s">
        <v>31</v>
      </c>
      <c r="L1703" t="s">
        <v>3865</v>
      </c>
      <c r="M1703" t="s">
        <v>123</v>
      </c>
      <c r="N1703" t="s">
        <v>3966</v>
      </c>
      <c r="P1703">
        <f t="shared" si="26"/>
        <v>0.3</v>
      </c>
    </row>
    <row r="1704" spans="1:16" x14ac:dyDescent="0.25">
      <c r="A1704" t="s">
        <v>3866</v>
      </c>
      <c r="B1704" s="1">
        <v>45482</v>
      </c>
      <c r="C1704" t="s">
        <v>3867</v>
      </c>
      <c r="D1704" t="s">
        <v>15</v>
      </c>
      <c r="E1704">
        <v>755.62</v>
      </c>
      <c r="F1704">
        <v>16</v>
      </c>
      <c r="G1704">
        <v>226.68</v>
      </c>
      <c r="H1704">
        <v>0.15</v>
      </c>
      <c r="I1704" t="s">
        <v>3867</v>
      </c>
      <c r="J1704" t="s">
        <v>1172</v>
      </c>
      <c r="K1704" t="s">
        <v>38</v>
      </c>
      <c r="L1704" t="s">
        <v>1137</v>
      </c>
      <c r="M1704" t="s">
        <v>44</v>
      </c>
      <c r="N1704" t="s">
        <v>3966</v>
      </c>
      <c r="P1704">
        <f t="shared" si="26"/>
        <v>0.29999205950080732</v>
      </c>
    </row>
    <row r="1705" spans="1:16" x14ac:dyDescent="0.25">
      <c r="A1705" t="s">
        <v>3548</v>
      </c>
      <c r="B1705" s="1">
        <v>45831</v>
      </c>
      <c r="C1705" t="s">
        <v>3549</v>
      </c>
      <c r="D1705" t="s">
        <v>22</v>
      </c>
      <c r="E1705">
        <v>4625.93</v>
      </c>
      <c r="F1705">
        <v>20</v>
      </c>
      <c r="G1705">
        <v>1387.78</v>
      </c>
      <c r="H1705">
        <v>0.05</v>
      </c>
      <c r="I1705" t="s">
        <v>3549</v>
      </c>
      <c r="J1705" t="s">
        <v>2158</v>
      </c>
      <c r="K1705" t="s">
        <v>17</v>
      </c>
      <c r="L1705" t="s">
        <v>440</v>
      </c>
      <c r="M1705" t="s">
        <v>129</v>
      </c>
      <c r="N1705" t="s">
        <v>3968</v>
      </c>
      <c r="P1705">
        <f t="shared" si="26"/>
        <v>0.30000021617274797</v>
      </c>
    </row>
    <row r="1706" spans="1:16" x14ac:dyDescent="0.25">
      <c r="A1706" t="s">
        <v>3551</v>
      </c>
      <c r="B1706" s="1">
        <v>45765</v>
      </c>
      <c r="C1706" t="s">
        <v>3549</v>
      </c>
      <c r="D1706" t="s">
        <v>22</v>
      </c>
      <c r="E1706">
        <v>2398.56</v>
      </c>
      <c r="F1706">
        <v>5</v>
      </c>
      <c r="G1706">
        <v>719.57</v>
      </c>
      <c r="H1706">
        <v>0.05</v>
      </c>
      <c r="I1706" t="s">
        <v>3549</v>
      </c>
      <c r="J1706" t="s">
        <v>2158</v>
      </c>
      <c r="K1706" t="s">
        <v>17</v>
      </c>
      <c r="L1706" t="s">
        <v>440</v>
      </c>
      <c r="M1706" t="s">
        <v>129</v>
      </c>
      <c r="N1706" t="s">
        <v>3966</v>
      </c>
      <c r="P1706">
        <f t="shared" si="26"/>
        <v>0.30000083383363352</v>
      </c>
    </row>
    <row r="1707" spans="1:16" x14ac:dyDescent="0.25">
      <c r="A1707" t="s">
        <v>2484</v>
      </c>
      <c r="B1707" s="1">
        <v>45452</v>
      </c>
      <c r="C1707" t="s">
        <v>2485</v>
      </c>
      <c r="D1707" t="s">
        <v>91</v>
      </c>
      <c r="E1707">
        <v>1837.34</v>
      </c>
      <c r="F1707">
        <v>11</v>
      </c>
      <c r="G1707">
        <v>551.20000000000005</v>
      </c>
      <c r="H1707">
        <v>0.1</v>
      </c>
      <c r="I1707" t="s">
        <v>2485</v>
      </c>
      <c r="J1707" t="s">
        <v>3429</v>
      </c>
      <c r="K1707" t="s">
        <v>17</v>
      </c>
      <c r="L1707" t="s">
        <v>72</v>
      </c>
      <c r="M1707" t="s">
        <v>26</v>
      </c>
      <c r="N1707" t="s">
        <v>3966</v>
      </c>
      <c r="P1707">
        <f t="shared" si="26"/>
        <v>0.29999891146984231</v>
      </c>
    </row>
    <row r="1708" spans="1:16" x14ac:dyDescent="0.25">
      <c r="A1708" t="s">
        <v>2486</v>
      </c>
      <c r="B1708" s="1">
        <v>45519</v>
      </c>
      <c r="C1708" t="s">
        <v>2485</v>
      </c>
      <c r="D1708" t="s">
        <v>91</v>
      </c>
      <c r="E1708">
        <v>1248.21</v>
      </c>
      <c r="F1708">
        <v>3</v>
      </c>
      <c r="G1708">
        <v>374.46</v>
      </c>
      <c r="H1708">
        <v>0.05</v>
      </c>
      <c r="I1708" t="s">
        <v>2485</v>
      </c>
      <c r="J1708" t="s">
        <v>3429</v>
      </c>
      <c r="K1708" t="s">
        <v>17</v>
      </c>
      <c r="L1708" t="s">
        <v>72</v>
      </c>
      <c r="M1708" t="s">
        <v>26</v>
      </c>
      <c r="N1708" t="s">
        <v>3966</v>
      </c>
      <c r="P1708">
        <f t="shared" si="26"/>
        <v>0.29999759655827141</v>
      </c>
    </row>
    <row r="1709" spans="1:16" x14ac:dyDescent="0.25">
      <c r="A1709" t="s">
        <v>3868</v>
      </c>
      <c r="B1709" s="1">
        <v>45261</v>
      </c>
      <c r="C1709" t="s">
        <v>3869</v>
      </c>
      <c r="D1709" t="s">
        <v>29</v>
      </c>
      <c r="E1709">
        <v>3630.12</v>
      </c>
      <c r="F1709">
        <v>11</v>
      </c>
      <c r="G1709">
        <v>1089.04</v>
      </c>
      <c r="H1709">
        <v>0.05</v>
      </c>
      <c r="I1709" t="s">
        <v>3869</v>
      </c>
      <c r="J1709" t="s">
        <v>952</v>
      </c>
      <c r="K1709" t="s">
        <v>38</v>
      </c>
      <c r="L1709" t="s">
        <v>50</v>
      </c>
      <c r="M1709" t="s">
        <v>51</v>
      </c>
      <c r="N1709" t="s">
        <v>3966</v>
      </c>
      <c r="P1709">
        <f t="shared" si="26"/>
        <v>0.30000110189194845</v>
      </c>
    </row>
    <row r="1710" spans="1:16" x14ac:dyDescent="0.25">
      <c r="A1710" t="s">
        <v>3870</v>
      </c>
      <c r="B1710" s="1">
        <v>45497</v>
      </c>
      <c r="C1710" t="s">
        <v>3871</v>
      </c>
      <c r="D1710" t="s">
        <v>91</v>
      </c>
      <c r="E1710">
        <v>4531.93</v>
      </c>
      <c r="F1710">
        <v>15</v>
      </c>
      <c r="G1710">
        <v>1359.58</v>
      </c>
      <c r="H1710">
        <v>0.05</v>
      </c>
      <c r="I1710" t="s">
        <v>3871</v>
      </c>
      <c r="J1710" t="s">
        <v>1070</v>
      </c>
      <c r="K1710" t="s">
        <v>71</v>
      </c>
      <c r="L1710" t="s">
        <v>1329</v>
      </c>
      <c r="M1710" t="s">
        <v>61</v>
      </c>
      <c r="N1710" t="s">
        <v>3966</v>
      </c>
      <c r="P1710">
        <f t="shared" si="26"/>
        <v>0.30000022065654142</v>
      </c>
    </row>
    <row r="1711" spans="1:16" x14ac:dyDescent="0.25">
      <c r="A1711" t="s">
        <v>2942</v>
      </c>
      <c r="B1711" s="1">
        <v>45028</v>
      </c>
      <c r="C1711" t="s">
        <v>2943</v>
      </c>
      <c r="D1711" t="s">
        <v>36</v>
      </c>
      <c r="E1711">
        <v>3089.96</v>
      </c>
      <c r="F1711">
        <v>15</v>
      </c>
      <c r="G1711">
        <v>926.99</v>
      </c>
      <c r="H1711">
        <v>0.15</v>
      </c>
      <c r="I1711" t="s">
        <v>2943</v>
      </c>
      <c r="J1711" t="s">
        <v>2364</v>
      </c>
      <c r="K1711" t="s">
        <v>71</v>
      </c>
      <c r="L1711" t="s">
        <v>25</v>
      </c>
      <c r="M1711" t="s">
        <v>26</v>
      </c>
      <c r="N1711" t="s">
        <v>3966</v>
      </c>
      <c r="P1711">
        <f t="shared" si="26"/>
        <v>0.3000006472575697</v>
      </c>
    </row>
    <row r="1712" spans="1:16" x14ac:dyDescent="0.25">
      <c r="A1712" t="s">
        <v>2944</v>
      </c>
      <c r="B1712" s="1">
        <v>45325</v>
      </c>
      <c r="C1712" t="s">
        <v>2943</v>
      </c>
      <c r="D1712" t="s">
        <v>15</v>
      </c>
      <c r="E1712">
        <v>1036.44</v>
      </c>
      <c r="F1712">
        <v>8</v>
      </c>
      <c r="G1712">
        <v>310.93</v>
      </c>
      <c r="H1712">
        <v>0.1</v>
      </c>
      <c r="I1712" t="s">
        <v>2943</v>
      </c>
      <c r="J1712" t="s">
        <v>2364</v>
      </c>
      <c r="K1712" t="s">
        <v>71</v>
      </c>
      <c r="L1712" t="s">
        <v>25</v>
      </c>
      <c r="M1712" t="s">
        <v>26</v>
      </c>
      <c r="N1712" t="s">
        <v>3966</v>
      </c>
      <c r="P1712">
        <f t="shared" si="26"/>
        <v>0.29999807031762571</v>
      </c>
    </row>
    <row r="1713" spans="1:16" x14ac:dyDescent="0.25">
      <c r="A1713" t="s">
        <v>3872</v>
      </c>
      <c r="B1713" s="1">
        <v>45643</v>
      </c>
      <c r="C1713" t="s">
        <v>3873</v>
      </c>
      <c r="D1713" t="s">
        <v>29</v>
      </c>
      <c r="E1713">
        <v>209.33</v>
      </c>
      <c r="F1713">
        <v>3</v>
      </c>
      <c r="G1713">
        <v>62.8</v>
      </c>
      <c r="H1713">
        <v>0.15</v>
      </c>
      <c r="I1713" t="s">
        <v>3873</v>
      </c>
      <c r="J1713" t="s">
        <v>1254</v>
      </c>
      <c r="K1713" t="s">
        <v>31</v>
      </c>
      <c r="L1713" t="s">
        <v>72</v>
      </c>
      <c r="M1713" t="s">
        <v>26</v>
      </c>
      <c r="N1713" t="s">
        <v>3966</v>
      </c>
      <c r="P1713">
        <f t="shared" si="26"/>
        <v>0.30000477714613288</v>
      </c>
    </row>
    <row r="1714" spans="1:16" x14ac:dyDescent="0.25">
      <c r="A1714" t="s">
        <v>3874</v>
      </c>
      <c r="B1714" s="1">
        <v>45512</v>
      </c>
      <c r="C1714" t="s">
        <v>3875</v>
      </c>
      <c r="D1714" t="s">
        <v>48</v>
      </c>
      <c r="E1714">
        <v>2428.71</v>
      </c>
      <c r="F1714">
        <v>10</v>
      </c>
      <c r="G1714">
        <v>728.61</v>
      </c>
      <c r="H1714">
        <v>0.15</v>
      </c>
      <c r="I1714" t="s">
        <v>3875</v>
      </c>
      <c r="J1714" t="s">
        <v>2296</v>
      </c>
      <c r="K1714" t="s">
        <v>24</v>
      </c>
      <c r="L1714" t="s">
        <v>488</v>
      </c>
      <c r="M1714" t="s">
        <v>26</v>
      </c>
      <c r="N1714" t="s">
        <v>3966</v>
      </c>
      <c r="P1714">
        <f t="shared" si="26"/>
        <v>0.29999876477636278</v>
      </c>
    </row>
    <row r="1715" spans="1:16" x14ac:dyDescent="0.25">
      <c r="A1715" t="s">
        <v>3473</v>
      </c>
      <c r="B1715" s="1">
        <v>45550</v>
      </c>
      <c r="C1715" t="s">
        <v>3474</v>
      </c>
      <c r="D1715" t="s">
        <v>15</v>
      </c>
      <c r="E1715">
        <v>5225.26</v>
      </c>
      <c r="F1715">
        <v>17</v>
      </c>
      <c r="G1715">
        <v>1567.58</v>
      </c>
      <c r="H1715">
        <v>0.1</v>
      </c>
      <c r="I1715" t="s">
        <v>3474</v>
      </c>
      <c r="J1715" t="s">
        <v>3876</v>
      </c>
      <c r="K1715" t="s">
        <v>17</v>
      </c>
      <c r="L1715" t="s">
        <v>2182</v>
      </c>
      <c r="M1715" t="s">
        <v>160</v>
      </c>
      <c r="N1715" t="s">
        <v>3966</v>
      </c>
      <c r="P1715">
        <f t="shared" si="26"/>
        <v>0.30000038275607338</v>
      </c>
    </row>
    <row r="1716" spans="1:16" x14ac:dyDescent="0.25">
      <c r="A1716" t="s">
        <v>3476</v>
      </c>
      <c r="B1716" s="1">
        <v>45780</v>
      </c>
      <c r="C1716" t="s">
        <v>3474</v>
      </c>
      <c r="D1716" t="s">
        <v>29</v>
      </c>
      <c r="E1716">
        <v>5195.3999999999996</v>
      </c>
      <c r="F1716">
        <v>13</v>
      </c>
      <c r="G1716">
        <v>1558.62</v>
      </c>
      <c r="H1716">
        <v>0.05</v>
      </c>
      <c r="I1716" t="s">
        <v>3474</v>
      </c>
      <c r="J1716" t="s">
        <v>3876</v>
      </c>
      <c r="K1716" t="s">
        <v>17</v>
      </c>
      <c r="L1716" t="s">
        <v>2182</v>
      </c>
      <c r="M1716" t="s">
        <v>160</v>
      </c>
      <c r="N1716" t="s">
        <v>3966</v>
      </c>
      <c r="P1716">
        <f t="shared" si="26"/>
        <v>0.3</v>
      </c>
    </row>
    <row r="1717" spans="1:16" x14ac:dyDescent="0.25">
      <c r="A1717" t="s">
        <v>3718</v>
      </c>
      <c r="B1717" s="1">
        <v>45207</v>
      </c>
      <c r="C1717" t="s">
        <v>3719</v>
      </c>
      <c r="D1717" t="s">
        <v>91</v>
      </c>
      <c r="E1717">
        <v>2726.64</v>
      </c>
      <c r="F1717">
        <v>14</v>
      </c>
      <c r="G1717">
        <v>817.99</v>
      </c>
      <c r="H1717">
        <v>0.1</v>
      </c>
      <c r="I1717" t="s">
        <v>3719</v>
      </c>
      <c r="J1717" t="s">
        <v>273</v>
      </c>
      <c r="K1717" t="s">
        <v>24</v>
      </c>
      <c r="L1717" t="s">
        <v>143</v>
      </c>
      <c r="M1717" t="s">
        <v>144</v>
      </c>
      <c r="N1717" t="s">
        <v>3966</v>
      </c>
      <c r="P1717">
        <f t="shared" si="26"/>
        <v>0.29999926649649389</v>
      </c>
    </row>
    <row r="1718" spans="1:16" x14ac:dyDescent="0.25">
      <c r="A1718" t="s">
        <v>3721</v>
      </c>
      <c r="B1718" s="1">
        <v>45079</v>
      </c>
      <c r="C1718" t="s">
        <v>3719</v>
      </c>
      <c r="D1718" t="s">
        <v>41</v>
      </c>
      <c r="E1718">
        <v>893.38</v>
      </c>
      <c r="F1718">
        <v>4</v>
      </c>
      <c r="G1718">
        <v>268.01</v>
      </c>
      <c r="H1718">
        <v>0.1</v>
      </c>
      <c r="I1718" t="s">
        <v>3719</v>
      </c>
      <c r="J1718" t="s">
        <v>273</v>
      </c>
      <c r="K1718" t="s">
        <v>24</v>
      </c>
      <c r="L1718" t="s">
        <v>143</v>
      </c>
      <c r="M1718" t="s">
        <v>144</v>
      </c>
      <c r="N1718" t="s">
        <v>3966</v>
      </c>
      <c r="P1718">
        <f t="shared" si="26"/>
        <v>0.29999552262195256</v>
      </c>
    </row>
    <row r="1719" spans="1:16" x14ac:dyDescent="0.25">
      <c r="A1719" t="s">
        <v>3877</v>
      </c>
      <c r="B1719" s="1">
        <v>45800</v>
      </c>
      <c r="C1719" t="s">
        <v>3878</v>
      </c>
      <c r="D1719" t="s">
        <v>22</v>
      </c>
      <c r="E1719">
        <v>3151.94</v>
      </c>
      <c r="F1719">
        <v>16</v>
      </c>
      <c r="G1719">
        <v>945.58</v>
      </c>
      <c r="H1719">
        <v>0.15</v>
      </c>
      <c r="I1719" t="s">
        <v>3878</v>
      </c>
      <c r="J1719" t="s">
        <v>3879</v>
      </c>
      <c r="K1719" t="s">
        <v>24</v>
      </c>
      <c r="L1719" t="s">
        <v>2311</v>
      </c>
      <c r="M1719" t="s">
        <v>144</v>
      </c>
      <c r="N1719" t="s">
        <v>3966</v>
      </c>
      <c r="P1719">
        <f t="shared" si="26"/>
        <v>0.29999936547015488</v>
      </c>
    </row>
    <row r="1720" spans="1:16" x14ac:dyDescent="0.25">
      <c r="A1720" t="s">
        <v>3880</v>
      </c>
      <c r="B1720" s="1">
        <v>44928</v>
      </c>
      <c r="C1720" t="s">
        <v>3881</v>
      </c>
      <c r="D1720" t="s">
        <v>15</v>
      </c>
      <c r="E1720">
        <v>365.75</v>
      </c>
      <c r="F1720">
        <v>7</v>
      </c>
      <c r="G1720">
        <v>109.72</v>
      </c>
      <c r="H1720">
        <v>0.15</v>
      </c>
      <c r="I1720" t="s">
        <v>3881</v>
      </c>
      <c r="J1720" t="s">
        <v>573</v>
      </c>
      <c r="K1720" t="s">
        <v>24</v>
      </c>
      <c r="L1720" t="s">
        <v>164</v>
      </c>
      <c r="M1720" t="s">
        <v>266</v>
      </c>
      <c r="N1720" t="s">
        <v>3966</v>
      </c>
      <c r="P1720">
        <f t="shared" si="26"/>
        <v>0.29998632946001369</v>
      </c>
    </row>
    <row r="1721" spans="1:16" x14ac:dyDescent="0.25">
      <c r="A1721" t="s">
        <v>3882</v>
      </c>
      <c r="B1721" s="1">
        <v>45218</v>
      </c>
      <c r="C1721" t="s">
        <v>3883</v>
      </c>
      <c r="D1721" t="s">
        <v>29</v>
      </c>
      <c r="E1721">
        <v>6516.6</v>
      </c>
      <c r="F1721">
        <v>15</v>
      </c>
      <c r="G1721">
        <v>1954.98</v>
      </c>
      <c r="H1721">
        <v>0</v>
      </c>
      <c r="I1721" t="s">
        <v>3883</v>
      </c>
      <c r="J1721" t="s">
        <v>2051</v>
      </c>
      <c r="K1721" t="s">
        <v>31</v>
      </c>
      <c r="L1721" t="s">
        <v>25</v>
      </c>
      <c r="M1721" t="s">
        <v>26</v>
      </c>
      <c r="N1721" t="s">
        <v>3966</v>
      </c>
      <c r="P1721">
        <f t="shared" si="26"/>
        <v>0.3</v>
      </c>
    </row>
    <row r="1722" spans="1:16" x14ac:dyDescent="0.25">
      <c r="A1722" t="s">
        <v>3884</v>
      </c>
      <c r="B1722" s="1">
        <v>45772</v>
      </c>
      <c r="C1722" t="s">
        <v>3885</v>
      </c>
      <c r="D1722" t="s">
        <v>36</v>
      </c>
      <c r="E1722">
        <v>7744.16</v>
      </c>
      <c r="F1722">
        <v>16</v>
      </c>
      <c r="G1722">
        <v>2323.25</v>
      </c>
      <c r="H1722">
        <v>0</v>
      </c>
      <c r="I1722" t="s">
        <v>3885</v>
      </c>
      <c r="J1722" t="s">
        <v>777</v>
      </c>
      <c r="K1722" t="s">
        <v>71</v>
      </c>
      <c r="L1722" t="s">
        <v>50</v>
      </c>
      <c r="M1722" t="s">
        <v>51</v>
      </c>
      <c r="N1722" t="s">
        <v>3966</v>
      </c>
      <c r="P1722">
        <f t="shared" si="26"/>
        <v>0.30000025825912691</v>
      </c>
    </row>
    <row r="1723" spans="1:16" x14ac:dyDescent="0.25">
      <c r="A1723" t="s">
        <v>3886</v>
      </c>
      <c r="B1723" s="1">
        <v>45382</v>
      </c>
      <c r="C1723" t="s">
        <v>3887</v>
      </c>
      <c r="D1723" t="s">
        <v>29</v>
      </c>
      <c r="E1723">
        <v>110.16</v>
      </c>
      <c r="F1723">
        <v>2</v>
      </c>
      <c r="G1723">
        <v>33.049999999999997</v>
      </c>
      <c r="H1723">
        <v>0</v>
      </c>
      <c r="I1723" t="s">
        <v>3887</v>
      </c>
      <c r="J1723" t="s">
        <v>3888</v>
      </c>
      <c r="K1723" t="s">
        <v>38</v>
      </c>
      <c r="L1723" t="s">
        <v>1210</v>
      </c>
      <c r="M1723" t="s">
        <v>26</v>
      </c>
      <c r="N1723" t="s">
        <v>3966</v>
      </c>
      <c r="P1723">
        <f t="shared" si="26"/>
        <v>0.30001815541031224</v>
      </c>
    </row>
    <row r="1724" spans="1:16" x14ac:dyDescent="0.25">
      <c r="A1724" t="s">
        <v>3889</v>
      </c>
      <c r="B1724" s="1">
        <v>45688</v>
      </c>
      <c r="C1724" t="s">
        <v>3890</v>
      </c>
      <c r="D1724" t="s">
        <v>41</v>
      </c>
      <c r="E1724">
        <v>2469.0100000000002</v>
      </c>
      <c r="F1724">
        <v>13</v>
      </c>
      <c r="G1724">
        <v>740.7</v>
      </c>
      <c r="H1724">
        <v>0.15</v>
      </c>
      <c r="I1724" t="s">
        <v>3890</v>
      </c>
      <c r="J1724" t="s">
        <v>2222</v>
      </c>
      <c r="K1724" t="s">
        <v>31</v>
      </c>
      <c r="L1724" t="s">
        <v>2442</v>
      </c>
      <c r="M1724" t="s">
        <v>111</v>
      </c>
      <c r="N1724" t="s">
        <v>3966</v>
      </c>
      <c r="P1724">
        <f t="shared" si="26"/>
        <v>0.29999878493809257</v>
      </c>
    </row>
    <row r="1725" spans="1:16" x14ac:dyDescent="0.25">
      <c r="A1725" t="s">
        <v>3891</v>
      </c>
      <c r="B1725" s="1">
        <v>45743</v>
      </c>
      <c r="C1725" t="s">
        <v>3892</v>
      </c>
      <c r="D1725" t="s">
        <v>22</v>
      </c>
      <c r="E1725">
        <v>5727.44</v>
      </c>
      <c r="F1725">
        <v>11</v>
      </c>
      <c r="G1725">
        <v>1718.23</v>
      </c>
      <c r="H1725">
        <v>0.05</v>
      </c>
      <c r="I1725" t="s">
        <v>3892</v>
      </c>
      <c r="J1725" t="s">
        <v>2613</v>
      </c>
      <c r="K1725" t="s">
        <v>17</v>
      </c>
      <c r="L1725" t="s">
        <v>864</v>
      </c>
      <c r="M1725" t="s">
        <v>44</v>
      </c>
      <c r="N1725" t="s">
        <v>3966</v>
      </c>
      <c r="P1725">
        <f t="shared" si="26"/>
        <v>0.29999965080384955</v>
      </c>
    </row>
    <row r="1726" spans="1:16" x14ac:dyDescent="0.25">
      <c r="A1726" t="s">
        <v>3093</v>
      </c>
      <c r="B1726" s="1">
        <v>45676</v>
      </c>
      <c r="C1726" t="s">
        <v>3094</v>
      </c>
      <c r="D1726" t="s">
        <v>29</v>
      </c>
      <c r="E1726">
        <v>1470.04</v>
      </c>
      <c r="F1726">
        <v>11</v>
      </c>
      <c r="G1726">
        <v>441.01</v>
      </c>
      <c r="H1726">
        <v>0</v>
      </c>
      <c r="I1726" t="s">
        <v>3094</v>
      </c>
      <c r="J1726" t="s">
        <v>1023</v>
      </c>
      <c r="K1726" t="s">
        <v>38</v>
      </c>
      <c r="L1726" t="s">
        <v>2623</v>
      </c>
      <c r="M1726" t="s">
        <v>342</v>
      </c>
      <c r="N1726" t="s">
        <v>3966</v>
      </c>
      <c r="P1726">
        <f t="shared" si="26"/>
        <v>0.29999863949280292</v>
      </c>
    </row>
    <row r="1727" spans="1:16" x14ac:dyDescent="0.25">
      <c r="A1727" t="s">
        <v>3095</v>
      </c>
      <c r="B1727" s="1">
        <v>44936</v>
      </c>
      <c r="C1727" t="s">
        <v>3094</v>
      </c>
      <c r="D1727" t="s">
        <v>36</v>
      </c>
      <c r="E1727">
        <v>900.25</v>
      </c>
      <c r="F1727">
        <v>6</v>
      </c>
      <c r="G1727">
        <v>270.08</v>
      </c>
      <c r="H1727">
        <v>0.15</v>
      </c>
      <c r="I1727" t="s">
        <v>3094</v>
      </c>
      <c r="J1727" t="s">
        <v>1023</v>
      </c>
      <c r="K1727" t="s">
        <v>38</v>
      </c>
      <c r="L1727" t="s">
        <v>2623</v>
      </c>
      <c r="M1727" t="s">
        <v>342</v>
      </c>
      <c r="N1727" t="s">
        <v>3966</v>
      </c>
      <c r="P1727">
        <f t="shared" si="26"/>
        <v>0.30000555401277423</v>
      </c>
    </row>
    <row r="1728" spans="1:16" x14ac:dyDescent="0.25">
      <c r="A1728" t="s">
        <v>3893</v>
      </c>
      <c r="B1728" s="1">
        <v>45428</v>
      </c>
      <c r="C1728" t="s">
        <v>3894</v>
      </c>
      <c r="D1728" t="s">
        <v>36</v>
      </c>
      <c r="E1728">
        <v>6307.34</v>
      </c>
      <c r="F1728">
        <v>19</v>
      </c>
      <c r="G1728">
        <v>1892.2</v>
      </c>
      <c r="H1728">
        <v>0.1</v>
      </c>
      <c r="I1728" t="s">
        <v>3894</v>
      </c>
      <c r="J1728" t="s">
        <v>715</v>
      </c>
      <c r="K1728" t="s">
        <v>31</v>
      </c>
      <c r="L1728" t="s">
        <v>2357</v>
      </c>
      <c r="M1728" t="s">
        <v>56</v>
      </c>
      <c r="N1728" t="s">
        <v>3966</v>
      </c>
      <c r="P1728">
        <f t="shared" si="26"/>
        <v>0.2999996829091186</v>
      </c>
    </row>
    <row r="1729" spans="1:16" x14ac:dyDescent="0.25">
      <c r="A1729" t="s">
        <v>3895</v>
      </c>
      <c r="B1729" s="1">
        <v>45173</v>
      </c>
      <c r="C1729" t="s">
        <v>3896</v>
      </c>
      <c r="D1729" t="s">
        <v>36</v>
      </c>
      <c r="E1729">
        <v>1623.72</v>
      </c>
      <c r="F1729">
        <v>14</v>
      </c>
      <c r="G1729">
        <v>487.12</v>
      </c>
      <c r="H1729">
        <v>0</v>
      </c>
      <c r="I1729" t="s">
        <v>3896</v>
      </c>
      <c r="J1729" t="s">
        <v>23</v>
      </c>
      <c r="K1729" t="s">
        <v>38</v>
      </c>
      <c r="L1729" t="s">
        <v>82</v>
      </c>
      <c r="M1729" t="s">
        <v>83</v>
      </c>
      <c r="N1729" t="s">
        <v>3967</v>
      </c>
      <c r="P1729">
        <f t="shared" si="26"/>
        <v>0.30000246347892495</v>
      </c>
    </row>
    <row r="1730" spans="1:16" x14ac:dyDescent="0.25">
      <c r="A1730" t="s">
        <v>3897</v>
      </c>
      <c r="B1730" s="1">
        <v>45277</v>
      </c>
      <c r="C1730" t="s">
        <v>3898</v>
      </c>
      <c r="D1730" t="s">
        <v>48</v>
      </c>
      <c r="E1730">
        <v>421.06</v>
      </c>
      <c r="F1730">
        <v>9</v>
      </c>
      <c r="G1730">
        <v>126.32</v>
      </c>
      <c r="H1730">
        <v>0.15</v>
      </c>
      <c r="I1730" t="s">
        <v>3898</v>
      </c>
      <c r="J1730" t="s">
        <v>1449</v>
      </c>
      <c r="K1730" t="s">
        <v>24</v>
      </c>
      <c r="L1730" t="s">
        <v>206</v>
      </c>
      <c r="M1730" t="s">
        <v>144</v>
      </c>
      <c r="N1730" t="s">
        <v>3966</v>
      </c>
      <c r="P1730">
        <f t="shared" si="26"/>
        <v>0.30000474991687642</v>
      </c>
    </row>
    <row r="1731" spans="1:16" x14ac:dyDescent="0.25">
      <c r="A1731" t="s">
        <v>3899</v>
      </c>
      <c r="B1731" s="1">
        <v>45306</v>
      </c>
      <c r="C1731" t="s">
        <v>3900</v>
      </c>
      <c r="D1731" t="s">
        <v>48</v>
      </c>
      <c r="E1731">
        <v>606.25</v>
      </c>
      <c r="F1731">
        <v>4</v>
      </c>
      <c r="G1731">
        <v>181.88</v>
      </c>
      <c r="H1731">
        <v>0.05</v>
      </c>
      <c r="I1731" t="s">
        <v>3900</v>
      </c>
      <c r="J1731" t="s">
        <v>2044</v>
      </c>
      <c r="K1731" t="s">
        <v>38</v>
      </c>
      <c r="L1731" t="s">
        <v>3901</v>
      </c>
      <c r="M1731" t="s">
        <v>201</v>
      </c>
      <c r="N1731" t="s">
        <v>3966</v>
      </c>
      <c r="P1731">
        <f t="shared" ref="P1731:P1771" si="27">G1731/E1731</f>
        <v>0.3000082474226804</v>
      </c>
    </row>
    <row r="1732" spans="1:16" x14ac:dyDescent="0.25">
      <c r="A1732" t="s">
        <v>3902</v>
      </c>
      <c r="B1732" s="1">
        <v>45645</v>
      </c>
      <c r="C1732" t="s">
        <v>3903</v>
      </c>
      <c r="D1732" t="s">
        <v>15</v>
      </c>
      <c r="E1732">
        <v>2252.25</v>
      </c>
      <c r="F1732">
        <v>15</v>
      </c>
      <c r="G1732">
        <v>675.68</v>
      </c>
      <c r="H1732">
        <v>0</v>
      </c>
      <c r="I1732" t="s">
        <v>3903</v>
      </c>
      <c r="J1732" t="s">
        <v>3904</v>
      </c>
      <c r="K1732" t="s">
        <v>38</v>
      </c>
      <c r="L1732" t="s">
        <v>82</v>
      </c>
      <c r="M1732" t="s">
        <v>83</v>
      </c>
      <c r="N1732" t="s">
        <v>3967</v>
      </c>
      <c r="P1732">
        <f t="shared" si="27"/>
        <v>0.30000222000221999</v>
      </c>
    </row>
    <row r="1733" spans="1:16" x14ac:dyDescent="0.25">
      <c r="A1733" t="s">
        <v>1263</v>
      </c>
      <c r="B1733" s="1">
        <v>45276</v>
      </c>
      <c r="C1733" t="s">
        <v>1264</v>
      </c>
      <c r="D1733" t="s">
        <v>36</v>
      </c>
      <c r="E1733">
        <v>521.37</v>
      </c>
      <c r="F1733">
        <v>9</v>
      </c>
      <c r="G1733">
        <v>156.41</v>
      </c>
      <c r="H1733">
        <v>0</v>
      </c>
      <c r="I1733" t="s">
        <v>1264</v>
      </c>
      <c r="J1733" t="s">
        <v>259</v>
      </c>
      <c r="K1733" t="s">
        <v>31</v>
      </c>
      <c r="L1733" t="s">
        <v>50</v>
      </c>
      <c r="M1733" t="s">
        <v>51</v>
      </c>
      <c r="N1733" t="s">
        <v>3967</v>
      </c>
      <c r="P1733">
        <f t="shared" si="27"/>
        <v>0.2999980819763316</v>
      </c>
    </row>
    <row r="1734" spans="1:16" x14ac:dyDescent="0.25">
      <c r="A1734" t="s">
        <v>1266</v>
      </c>
      <c r="B1734" s="1">
        <v>45713</v>
      </c>
      <c r="C1734" t="s">
        <v>1264</v>
      </c>
      <c r="D1734" t="s">
        <v>91</v>
      </c>
      <c r="E1734">
        <v>2788.58</v>
      </c>
      <c r="F1734">
        <v>13</v>
      </c>
      <c r="G1734">
        <v>836.57</v>
      </c>
      <c r="H1734">
        <v>0.1</v>
      </c>
      <c r="I1734" t="s">
        <v>1264</v>
      </c>
      <c r="J1734" t="s">
        <v>259</v>
      </c>
      <c r="K1734" t="s">
        <v>31</v>
      </c>
      <c r="L1734" t="s">
        <v>50</v>
      </c>
      <c r="M1734" t="s">
        <v>51</v>
      </c>
      <c r="N1734" t="s">
        <v>3966</v>
      </c>
      <c r="P1734">
        <f t="shared" si="27"/>
        <v>0.29999856557817961</v>
      </c>
    </row>
    <row r="1735" spans="1:16" x14ac:dyDescent="0.25">
      <c r="A1735" t="s">
        <v>3905</v>
      </c>
      <c r="B1735" s="1">
        <v>45791</v>
      </c>
      <c r="C1735" t="s">
        <v>3906</v>
      </c>
      <c r="D1735" t="s">
        <v>15</v>
      </c>
      <c r="E1735">
        <v>1666.6</v>
      </c>
      <c r="F1735">
        <v>4</v>
      </c>
      <c r="G1735">
        <v>499.98</v>
      </c>
      <c r="H1735">
        <v>0.05</v>
      </c>
      <c r="I1735" t="s">
        <v>3906</v>
      </c>
      <c r="J1735" t="s">
        <v>264</v>
      </c>
      <c r="K1735" t="s">
        <v>38</v>
      </c>
      <c r="L1735" t="s">
        <v>164</v>
      </c>
      <c r="M1735" t="s">
        <v>221</v>
      </c>
      <c r="N1735" t="s">
        <v>3966</v>
      </c>
      <c r="P1735">
        <f t="shared" si="27"/>
        <v>0.30000000000000004</v>
      </c>
    </row>
    <row r="1736" spans="1:16" x14ac:dyDescent="0.25">
      <c r="A1736" t="s">
        <v>2276</v>
      </c>
      <c r="B1736" s="1">
        <v>45107</v>
      </c>
      <c r="C1736" t="s">
        <v>2277</v>
      </c>
      <c r="D1736" t="s">
        <v>48</v>
      </c>
      <c r="E1736">
        <v>3217.44</v>
      </c>
      <c r="F1736">
        <v>6</v>
      </c>
      <c r="G1736">
        <v>965.23</v>
      </c>
      <c r="H1736">
        <v>0</v>
      </c>
      <c r="I1736" t="s">
        <v>2277</v>
      </c>
      <c r="J1736" t="s">
        <v>3907</v>
      </c>
      <c r="K1736" t="s">
        <v>24</v>
      </c>
      <c r="L1736" t="s">
        <v>265</v>
      </c>
      <c r="M1736" t="s">
        <v>645</v>
      </c>
      <c r="N1736" t="s">
        <v>3966</v>
      </c>
      <c r="P1736">
        <f t="shared" si="27"/>
        <v>0.29999937838778656</v>
      </c>
    </row>
    <row r="1737" spans="1:16" x14ac:dyDescent="0.25">
      <c r="A1737" t="s">
        <v>2279</v>
      </c>
      <c r="B1737" s="1">
        <v>44955</v>
      </c>
      <c r="C1737" t="s">
        <v>2277</v>
      </c>
      <c r="D1737" t="s">
        <v>41</v>
      </c>
      <c r="E1737">
        <v>1194.25</v>
      </c>
      <c r="F1737">
        <v>10</v>
      </c>
      <c r="G1737">
        <v>358.28</v>
      </c>
      <c r="H1737">
        <v>0.15</v>
      </c>
      <c r="I1737" t="s">
        <v>2277</v>
      </c>
      <c r="J1737" t="s">
        <v>3907</v>
      </c>
      <c r="K1737" t="s">
        <v>24</v>
      </c>
      <c r="L1737" t="s">
        <v>265</v>
      </c>
      <c r="M1737" t="s">
        <v>645</v>
      </c>
      <c r="N1737" t="s">
        <v>3966</v>
      </c>
      <c r="P1737">
        <f t="shared" si="27"/>
        <v>0.300004186728072</v>
      </c>
    </row>
    <row r="1738" spans="1:16" x14ac:dyDescent="0.25">
      <c r="A1738" t="s">
        <v>2280</v>
      </c>
      <c r="B1738" s="1">
        <v>45139</v>
      </c>
      <c r="C1738" t="s">
        <v>2277</v>
      </c>
      <c r="D1738" t="s">
        <v>41</v>
      </c>
      <c r="E1738">
        <v>1073.73</v>
      </c>
      <c r="F1738">
        <v>8</v>
      </c>
      <c r="G1738">
        <v>322.12</v>
      </c>
      <c r="H1738">
        <v>0.05</v>
      </c>
      <c r="I1738" t="s">
        <v>2277</v>
      </c>
      <c r="J1738" t="s">
        <v>3907</v>
      </c>
      <c r="K1738" t="s">
        <v>24</v>
      </c>
      <c r="L1738" t="s">
        <v>265</v>
      </c>
      <c r="M1738" t="s">
        <v>645</v>
      </c>
      <c r="N1738" t="s">
        <v>3966</v>
      </c>
      <c r="P1738">
        <f t="shared" si="27"/>
        <v>0.3000009313328304</v>
      </c>
    </row>
    <row r="1739" spans="1:16" x14ac:dyDescent="0.25">
      <c r="A1739" t="s">
        <v>2281</v>
      </c>
      <c r="B1739" s="1">
        <v>45752</v>
      </c>
      <c r="C1739" t="s">
        <v>2277</v>
      </c>
      <c r="D1739" t="s">
        <v>48</v>
      </c>
      <c r="E1739">
        <v>417.53</v>
      </c>
      <c r="F1739">
        <v>2</v>
      </c>
      <c r="G1739">
        <v>125.26</v>
      </c>
      <c r="H1739">
        <v>0.1</v>
      </c>
      <c r="I1739" t="s">
        <v>2277</v>
      </c>
      <c r="J1739" t="s">
        <v>3907</v>
      </c>
      <c r="K1739" t="s">
        <v>24</v>
      </c>
      <c r="L1739" t="s">
        <v>265</v>
      </c>
      <c r="M1739" t="s">
        <v>645</v>
      </c>
      <c r="N1739" t="s">
        <v>3967</v>
      </c>
      <c r="P1739">
        <f t="shared" si="27"/>
        <v>0.30000239503748238</v>
      </c>
    </row>
    <row r="1740" spans="1:16" x14ac:dyDescent="0.25">
      <c r="A1740" t="s">
        <v>3908</v>
      </c>
      <c r="B1740" s="1">
        <v>45838</v>
      </c>
      <c r="C1740" t="s">
        <v>3909</v>
      </c>
      <c r="D1740" t="s">
        <v>22</v>
      </c>
      <c r="E1740">
        <v>8005.86</v>
      </c>
      <c r="F1740">
        <v>20</v>
      </c>
      <c r="G1740">
        <v>2401.7600000000002</v>
      </c>
      <c r="H1740">
        <v>0.1</v>
      </c>
      <c r="I1740" t="s">
        <v>3909</v>
      </c>
      <c r="J1740" t="s">
        <v>3531</v>
      </c>
      <c r="K1740" t="s">
        <v>24</v>
      </c>
      <c r="L1740" t="s">
        <v>25</v>
      </c>
      <c r="M1740" t="s">
        <v>26</v>
      </c>
      <c r="N1740" t="s">
        <v>3967</v>
      </c>
      <c r="P1740">
        <f t="shared" si="27"/>
        <v>0.30000024981700907</v>
      </c>
    </row>
    <row r="1741" spans="1:16" x14ac:dyDescent="0.25">
      <c r="A1741" t="s">
        <v>3910</v>
      </c>
      <c r="B1741" s="1">
        <v>45730</v>
      </c>
      <c r="C1741" t="s">
        <v>3911</v>
      </c>
      <c r="D1741" t="s">
        <v>41</v>
      </c>
      <c r="E1741">
        <v>1802.85</v>
      </c>
      <c r="F1741">
        <v>10</v>
      </c>
      <c r="G1741">
        <v>540.86</v>
      </c>
      <c r="H1741">
        <v>0.15</v>
      </c>
      <c r="I1741" t="s">
        <v>3911</v>
      </c>
      <c r="J1741" t="s">
        <v>3546</v>
      </c>
      <c r="K1741" t="s">
        <v>38</v>
      </c>
      <c r="L1741" t="s">
        <v>143</v>
      </c>
      <c r="M1741" t="s">
        <v>144</v>
      </c>
      <c r="N1741" t="s">
        <v>3967</v>
      </c>
      <c r="P1741">
        <f t="shared" si="27"/>
        <v>0.30000277338658238</v>
      </c>
    </row>
    <row r="1742" spans="1:16" x14ac:dyDescent="0.25">
      <c r="A1742" t="s">
        <v>3912</v>
      </c>
      <c r="B1742" s="1">
        <v>45034</v>
      </c>
      <c r="C1742" t="s">
        <v>3913</v>
      </c>
      <c r="D1742" t="s">
        <v>22</v>
      </c>
      <c r="E1742">
        <v>3897.22</v>
      </c>
      <c r="F1742">
        <v>9</v>
      </c>
      <c r="G1742">
        <v>1169.1600000000001</v>
      </c>
      <c r="H1742">
        <v>0.15</v>
      </c>
      <c r="I1742" t="s">
        <v>3913</v>
      </c>
      <c r="J1742" t="s">
        <v>357</v>
      </c>
      <c r="K1742" t="s">
        <v>24</v>
      </c>
      <c r="L1742" t="s">
        <v>459</v>
      </c>
      <c r="M1742" t="s">
        <v>129</v>
      </c>
      <c r="N1742" t="s">
        <v>3968</v>
      </c>
      <c r="P1742">
        <f t="shared" si="27"/>
        <v>0.29999846044103234</v>
      </c>
    </row>
    <row r="1743" spans="1:16" x14ac:dyDescent="0.25">
      <c r="A1743" t="s">
        <v>3914</v>
      </c>
      <c r="B1743" s="1">
        <v>45546</v>
      </c>
      <c r="C1743" t="s">
        <v>3915</v>
      </c>
      <c r="D1743" t="s">
        <v>48</v>
      </c>
      <c r="E1743">
        <v>1605.96</v>
      </c>
      <c r="F1743">
        <v>8</v>
      </c>
      <c r="G1743">
        <v>481.79</v>
      </c>
      <c r="H1743">
        <v>0.15</v>
      </c>
      <c r="I1743" t="s">
        <v>3915</v>
      </c>
      <c r="J1743" t="s">
        <v>1049</v>
      </c>
      <c r="K1743" t="s">
        <v>71</v>
      </c>
      <c r="L1743" t="s">
        <v>2959</v>
      </c>
      <c r="M1743" t="s">
        <v>26</v>
      </c>
      <c r="N1743" t="s">
        <v>3966</v>
      </c>
      <c r="P1743">
        <f t="shared" si="27"/>
        <v>0.30000124536103018</v>
      </c>
    </row>
    <row r="1744" spans="1:16" x14ac:dyDescent="0.25">
      <c r="A1744" t="s">
        <v>2193</v>
      </c>
      <c r="B1744" s="1">
        <v>45251</v>
      </c>
      <c r="C1744" t="s">
        <v>2194</v>
      </c>
      <c r="D1744" t="s">
        <v>41</v>
      </c>
      <c r="E1744">
        <v>147.4</v>
      </c>
      <c r="F1744">
        <v>1</v>
      </c>
      <c r="G1744">
        <v>44.22</v>
      </c>
      <c r="H1744">
        <v>0</v>
      </c>
      <c r="I1744" t="s">
        <v>2194</v>
      </c>
      <c r="J1744" t="s">
        <v>738</v>
      </c>
      <c r="K1744" t="s">
        <v>38</v>
      </c>
      <c r="L1744" t="s">
        <v>289</v>
      </c>
      <c r="M1744" t="s">
        <v>160</v>
      </c>
      <c r="N1744" t="s">
        <v>3966</v>
      </c>
      <c r="P1744">
        <f t="shared" si="27"/>
        <v>0.3</v>
      </c>
    </row>
    <row r="1745" spans="1:16" x14ac:dyDescent="0.25">
      <c r="A1745" t="s">
        <v>2195</v>
      </c>
      <c r="B1745" s="1">
        <v>45695</v>
      </c>
      <c r="C1745" t="s">
        <v>2194</v>
      </c>
      <c r="D1745" t="s">
        <v>91</v>
      </c>
      <c r="E1745">
        <v>1893.17</v>
      </c>
      <c r="F1745">
        <v>14</v>
      </c>
      <c r="G1745">
        <v>567.95000000000005</v>
      </c>
      <c r="H1745">
        <v>0.15</v>
      </c>
      <c r="I1745" t="s">
        <v>2194</v>
      </c>
      <c r="J1745" t="s">
        <v>738</v>
      </c>
      <c r="K1745" t="s">
        <v>38</v>
      </c>
      <c r="L1745" t="s">
        <v>289</v>
      </c>
      <c r="M1745" t="s">
        <v>160</v>
      </c>
      <c r="N1745" t="s">
        <v>3966</v>
      </c>
      <c r="P1745">
        <f t="shared" si="27"/>
        <v>0.29999947178541814</v>
      </c>
    </row>
    <row r="1746" spans="1:16" x14ac:dyDescent="0.25">
      <c r="A1746" t="s">
        <v>1942</v>
      </c>
      <c r="B1746" s="1">
        <v>45351</v>
      </c>
      <c r="C1746" t="s">
        <v>1943</v>
      </c>
      <c r="D1746" t="s">
        <v>91</v>
      </c>
      <c r="E1746">
        <v>2126.02</v>
      </c>
      <c r="F1746">
        <v>8</v>
      </c>
      <c r="G1746">
        <v>637.80999999999995</v>
      </c>
      <c r="H1746">
        <v>0.05</v>
      </c>
      <c r="I1746" t="s">
        <v>1943</v>
      </c>
      <c r="J1746" t="s">
        <v>2436</v>
      </c>
      <c r="K1746" t="s">
        <v>71</v>
      </c>
      <c r="L1746" t="s">
        <v>82</v>
      </c>
      <c r="M1746" t="s">
        <v>83</v>
      </c>
      <c r="N1746" t="s">
        <v>3966</v>
      </c>
      <c r="P1746">
        <f t="shared" si="27"/>
        <v>0.30000188144984524</v>
      </c>
    </row>
    <row r="1747" spans="1:16" x14ac:dyDescent="0.25">
      <c r="A1747" t="s">
        <v>1944</v>
      </c>
      <c r="B1747" s="1">
        <v>45094</v>
      </c>
      <c r="C1747" t="s">
        <v>1943</v>
      </c>
      <c r="D1747" t="s">
        <v>22</v>
      </c>
      <c r="E1747">
        <v>355.68</v>
      </c>
      <c r="F1747">
        <v>1</v>
      </c>
      <c r="G1747">
        <v>106.7</v>
      </c>
      <c r="H1747">
        <v>0.15</v>
      </c>
      <c r="I1747" t="s">
        <v>1943</v>
      </c>
      <c r="J1747" t="s">
        <v>2436</v>
      </c>
      <c r="K1747" t="s">
        <v>71</v>
      </c>
      <c r="L1747" t="s">
        <v>82</v>
      </c>
      <c r="M1747" t="s">
        <v>83</v>
      </c>
      <c r="N1747" t="s">
        <v>3966</v>
      </c>
      <c r="P1747">
        <f t="shared" si="27"/>
        <v>0.29998875393612234</v>
      </c>
    </row>
    <row r="1748" spans="1:16" x14ac:dyDescent="0.25">
      <c r="A1748" t="s">
        <v>3916</v>
      </c>
      <c r="B1748" s="1">
        <v>45057</v>
      </c>
      <c r="C1748" t="s">
        <v>3917</v>
      </c>
      <c r="D1748" t="s">
        <v>15</v>
      </c>
      <c r="E1748">
        <v>868.14</v>
      </c>
      <c r="F1748">
        <v>3</v>
      </c>
      <c r="G1748">
        <v>260.44</v>
      </c>
      <c r="H1748">
        <v>0.05</v>
      </c>
      <c r="I1748" t="s">
        <v>3917</v>
      </c>
      <c r="J1748" t="s">
        <v>703</v>
      </c>
      <c r="K1748" t="s">
        <v>71</v>
      </c>
      <c r="L1748" t="s">
        <v>3918</v>
      </c>
      <c r="M1748" t="s">
        <v>129</v>
      </c>
      <c r="N1748" t="s">
        <v>3966</v>
      </c>
      <c r="P1748">
        <f t="shared" si="27"/>
        <v>0.29999769622411132</v>
      </c>
    </row>
    <row r="1749" spans="1:16" x14ac:dyDescent="0.25">
      <c r="A1749" t="s">
        <v>3777</v>
      </c>
      <c r="B1749" s="1">
        <v>45546</v>
      </c>
      <c r="C1749" t="s">
        <v>3778</v>
      </c>
      <c r="D1749" t="s">
        <v>91</v>
      </c>
      <c r="E1749">
        <v>2144.88</v>
      </c>
      <c r="F1749">
        <v>9</v>
      </c>
      <c r="G1749">
        <v>643.46</v>
      </c>
      <c r="H1749">
        <v>0</v>
      </c>
      <c r="I1749" t="s">
        <v>3778</v>
      </c>
      <c r="J1749" t="s">
        <v>1193</v>
      </c>
      <c r="K1749" t="s">
        <v>24</v>
      </c>
      <c r="L1749" t="s">
        <v>206</v>
      </c>
      <c r="M1749" t="s">
        <v>144</v>
      </c>
      <c r="N1749" t="s">
        <v>3966</v>
      </c>
      <c r="P1749">
        <f t="shared" si="27"/>
        <v>0.2999981350938048</v>
      </c>
    </row>
    <row r="1750" spans="1:16" x14ac:dyDescent="0.25">
      <c r="A1750" t="s">
        <v>3779</v>
      </c>
      <c r="B1750" s="1">
        <v>45116</v>
      </c>
      <c r="C1750" t="s">
        <v>3778</v>
      </c>
      <c r="D1750" t="s">
        <v>22</v>
      </c>
      <c r="E1750">
        <v>302.66000000000003</v>
      </c>
      <c r="F1750">
        <v>13</v>
      </c>
      <c r="G1750">
        <v>90.8</v>
      </c>
      <c r="H1750">
        <v>0.15</v>
      </c>
      <c r="I1750" t="s">
        <v>3778</v>
      </c>
      <c r="J1750" t="s">
        <v>1193</v>
      </c>
      <c r="K1750" t="s">
        <v>24</v>
      </c>
      <c r="L1750" t="s">
        <v>206</v>
      </c>
      <c r="M1750" t="s">
        <v>144</v>
      </c>
      <c r="N1750" t="s">
        <v>3968</v>
      </c>
      <c r="P1750">
        <f t="shared" si="27"/>
        <v>0.30000660807506768</v>
      </c>
    </row>
    <row r="1751" spans="1:16" x14ac:dyDescent="0.25">
      <c r="A1751" t="s">
        <v>3919</v>
      </c>
      <c r="B1751" s="1">
        <v>45520</v>
      </c>
      <c r="C1751" t="s">
        <v>3920</v>
      </c>
      <c r="D1751" t="s">
        <v>41</v>
      </c>
      <c r="E1751">
        <v>6960.53</v>
      </c>
      <c r="F1751">
        <v>16</v>
      </c>
      <c r="G1751">
        <v>2088.16</v>
      </c>
      <c r="H1751">
        <v>0.1</v>
      </c>
      <c r="I1751" t="s">
        <v>3920</v>
      </c>
      <c r="J1751" t="s">
        <v>3921</v>
      </c>
      <c r="K1751" t="s">
        <v>71</v>
      </c>
      <c r="L1751" t="s">
        <v>143</v>
      </c>
      <c r="M1751" t="s">
        <v>144</v>
      </c>
      <c r="N1751" t="s">
        <v>3968</v>
      </c>
      <c r="P1751">
        <f t="shared" si="27"/>
        <v>0.30000014366722072</v>
      </c>
    </row>
    <row r="1752" spans="1:16" x14ac:dyDescent="0.25">
      <c r="A1752" t="s">
        <v>3922</v>
      </c>
      <c r="B1752" s="1">
        <v>45807</v>
      </c>
      <c r="C1752" t="s">
        <v>3923</v>
      </c>
      <c r="D1752" t="s">
        <v>48</v>
      </c>
      <c r="E1752">
        <v>909.32</v>
      </c>
      <c r="F1752">
        <v>6</v>
      </c>
      <c r="G1752">
        <v>272.8</v>
      </c>
      <c r="H1752">
        <v>0.05</v>
      </c>
      <c r="I1752" t="s">
        <v>3923</v>
      </c>
      <c r="J1752" t="s">
        <v>251</v>
      </c>
      <c r="K1752" t="s">
        <v>31</v>
      </c>
      <c r="L1752" t="s">
        <v>3924</v>
      </c>
      <c r="M1752" t="s">
        <v>61</v>
      </c>
      <c r="N1752" t="s">
        <v>3968</v>
      </c>
      <c r="P1752">
        <f t="shared" si="27"/>
        <v>0.30000439889147934</v>
      </c>
    </row>
    <row r="1753" spans="1:16" x14ac:dyDescent="0.25">
      <c r="A1753" t="s">
        <v>3925</v>
      </c>
      <c r="B1753" s="1">
        <v>45160</v>
      </c>
      <c r="C1753" t="s">
        <v>3926</v>
      </c>
      <c r="D1753" t="s">
        <v>29</v>
      </c>
      <c r="E1753">
        <v>4798.26</v>
      </c>
      <c r="F1753">
        <v>19</v>
      </c>
      <c r="G1753">
        <v>1439.48</v>
      </c>
      <c r="H1753">
        <v>0.1</v>
      </c>
      <c r="I1753" t="s">
        <v>3926</v>
      </c>
      <c r="J1753" t="s">
        <v>1100</v>
      </c>
      <c r="K1753" t="s">
        <v>17</v>
      </c>
      <c r="L1753" t="s">
        <v>143</v>
      </c>
      <c r="M1753" t="s">
        <v>144</v>
      </c>
      <c r="N1753" t="s">
        <v>3966</v>
      </c>
      <c r="P1753">
        <f t="shared" si="27"/>
        <v>0.30000041681776307</v>
      </c>
    </row>
    <row r="1754" spans="1:16" x14ac:dyDescent="0.25">
      <c r="A1754" t="s">
        <v>3927</v>
      </c>
      <c r="B1754" s="1">
        <v>45314</v>
      </c>
      <c r="C1754" t="s">
        <v>3928</v>
      </c>
      <c r="D1754" t="s">
        <v>91</v>
      </c>
      <c r="E1754">
        <v>740.96</v>
      </c>
      <c r="F1754">
        <v>2</v>
      </c>
      <c r="G1754">
        <v>222.29</v>
      </c>
      <c r="H1754">
        <v>0.05</v>
      </c>
      <c r="I1754" t="s">
        <v>3928</v>
      </c>
      <c r="J1754" t="s">
        <v>922</v>
      </c>
      <c r="K1754" t="s">
        <v>17</v>
      </c>
      <c r="L1754" t="s">
        <v>2929</v>
      </c>
      <c r="M1754" t="s">
        <v>26</v>
      </c>
      <c r="N1754" t="s">
        <v>3967</v>
      </c>
      <c r="P1754">
        <f t="shared" si="27"/>
        <v>0.30000269920103645</v>
      </c>
    </row>
    <row r="1755" spans="1:16" x14ac:dyDescent="0.25">
      <c r="A1755" t="s">
        <v>3929</v>
      </c>
      <c r="B1755" s="1">
        <v>45001</v>
      </c>
      <c r="C1755" t="s">
        <v>3930</v>
      </c>
      <c r="D1755" t="s">
        <v>48</v>
      </c>
      <c r="E1755">
        <v>7012.59</v>
      </c>
      <c r="F1755">
        <v>17</v>
      </c>
      <c r="G1755">
        <v>2103.7800000000002</v>
      </c>
      <c r="H1755">
        <v>0.15</v>
      </c>
      <c r="I1755" t="s">
        <v>3930</v>
      </c>
      <c r="J1755" t="s">
        <v>2422</v>
      </c>
      <c r="K1755" t="s">
        <v>31</v>
      </c>
      <c r="L1755" t="s">
        <v>1987</v>
      </c>
      <c r="M1755" t="s">
        <v>19</v>
      </c>
      <c r="N1755" t="s">
        <v>3967</v>
      </c>
      <c r="P1755">
        <f t="shared" si="27"/>
        <v>0.30000042780199615</v>
      </c>
    </row>
    <row r="1756" spans="1:16" x14ac:dyDescent="0.25">
      <c r="A1756" t="s">
        <v>3931</v>
      </c>
      <c r="B1756" s="1">
        <v>45793</v>
      </c>
      <c r="C1756" t="s">
        <v>3932</v>
      </c>
      <c r="D1756" t="s">
        <v>15</v>
      </c>
      <c r="E1756">
        <v>1888.96</v>
      </c>
      <c r="F1756">
        <v>4</v>
      </c>
      <c r="G1756">
        <v>566.69000000000005</v>
      </c>
      <c r="H1756">
        <v>0</v>
      </c>
      <c r="I1756" t="s">
        <v>3932</v>
      </c>
      <c r="J1756" t="s">
        <v>3579</v>
      </c>
      <c r="K1756" t="s">
        <v>24</v>
      </c>
      <c r="L1756" t="s">
        <v>1500</v>
      </c>
      <c r="M1756" t="s">
        <v>266</v>
      </c>
      <c r="N1756" t="s">
        <v>3967</v>
      </c>
      <c r="P1756">
        <f t="shared" si="27"/>
        <v>0.30000105878366934</v>
      </c>
    </row>
    <row r="1757" spans="1:16" x14ac:dyDescent="0.25">
      <c r="A1757" t="s">
        <v>3933</v>
      </c>
      <c r="B1757" s="1">
        <v>45069</v>
      </c>
      <c r="C1757" t="s">
        <v>3934</v>
      </c>
      <c r="D1757" t="s">
        <v>48</v>
      </c>
      <c r="E1757">
        <v>1148.24</v>
      </c>
      <c r="F1757">
        <v>8</v>
      </c>
      <c r="G1757">
        <v>344.47</v>
      </c>
      <c r="H1757">
        <v>0</v>
      </c>
      <c r="I1757" t="s">
        <v>3934</v>
      </c>
      <c r="J1757" t="s">
        <v>3935</v>
      </c>
      <c r="K1757" t="s">
        <v>17</v>
      </c>
      <c r="L1757" t="s">
        <v>746</v>
      </c>
      <c r="M1757" t="s">
        <v>244</v>
      </c>
      <c r="N1757" t="s">
        <v>3968</v>
      </c>
      <c r="P1757">
        <f t="shared" si="27"/>
        <v>0.29999825820385984</v>
      </c>
    </row>
    <row r="1758" spans="1:16" x14ac:dyDescent="0.25">
      <c r="A1758" t="s">
        <v>3936</v>
      </c>
      <c r="B1758" s="1">
        <v>45459</v>
      </c>
      <c r="C1758" t="s">
        <v>3937</v>
      </c>
      <c r="D1758" t="s">
        <v>36</v>
      </c>
      <c r="E1758">
        <v>799.6</v>
      </c>
      <c r="F1758">
        <v>5</v>
      </c>
      <c r="G1758">
        <v>239.88</v>
      </c>
      <c r="H1758">
        <v>0</v>
      </c>
      <c r="I1758" t="s">
        <v>3937</v>
      </c>
      <c r="J1758" t="s">
        <v>292</v>
      </c>
      <c r="K1758" t="s">
        <v>31</v>
      </c>
      <c r="L1758" t="s">
        <v>143</v>
      </c>
      <c r="M1758" t="s">
        <v>144</v>
      </c>
      <c r="N1758" t="s">
        <v>3968</v>
      </c>
      <c r="P1758">
        <f t="shared" si="27"/>
        <v>0.3</v>
      </c>
    </row>
    <row r="1759" spans="1:16" x14ac:dyDescent="0.25">
      <c r="A1759" t="s">
        <v>3938</v>
      </c>
      <c r="B1759" s="1">
        <v>45685</v>
      </c>
      <c r="C1759" t="s">
        <v>3939</v>
      </c>
      <c r="D1759" t="s">
        <v>48</v>
      </c>
      <c r="E1759">
        <v>5524.65</v>
      </c>
      <c r="F1759">
        <v>13</v>
      </c>
      <c r="G1759">
        <v>1657.39</v>
      </c>
      <c r="H1759">
        <v>0.05</v>
      </c>
      <c r="I1759" t="s">
        <v>3939</v>
      </c>
      <c r="J1759" t="s">
        <v>1887</v>
      </c>
      <c r="K1759" t="s">
        <v>38</v>
      </c>
      <c r="L1759" t="s">
        <v>3940</v>
      </c>
      <c r="M1759" t="s">
        <v>56</v>
      </c>
      <c r="N1759" t="s">
        <v>3968</v>
      </c>
      <c r="P1759">
        <f t="shared" si="27"/>
        <v>0.29999909496529198</v>
      </c>
    </row>
    <row r="1760" spans="1:16" x14ac:dyDescent="0.25">
      <c r="A1760" t="s">
        <v>3941</v>
      </c>
      <c r="B1760" s="1">
        <v>45623</v>
      </c>
      <c r="C1760" t="s">
        <v>3942</v>
      </c>
      <c r="D1760" t="s">
        <v>22</v>
      </c>
      <c r="E1760">
        <v>2302.56</v>
      </c>
      <c r="F1760">
        <v>13</v>
      </c>
      <c r="G1760">
        <v>690.77</v>
      </c>
      <c r="H1760">
        <v>0.1</v>
      </c>
      <c r="I1760" t="s">
        <v>3942</v>
      </c>
      <c r="J1760" t="s">
        <v>799</v>
      </c>
      <c r="K1760" t="s">
        <v>24</v>
      </c>
      <c r="L1760" t="s">
        <v>66</v>
      </c>
      <c r="M1760" t="s">
        <v>67</v>
      </c>
      <c r="N1760" t="s">
        <v>3966</v>
      </c>
      <c r="P1760">
        <f t="shared" si="27"/>
        <v>0.30000086859842956</v>
      </c>
    </row>
    <row r="1761" spans="1:16" x14ac:dyDescent="0.25">
      <c r="A1761" t="s">
        <v>3943</v>
      </c>
      <c r="B1761" s="1">
        <v>45208</v>
      </c>
      <c r="C1761" t="s">
        <v>3944</v>
      </c>
      <c r="D1761" t="s">
        <v>36</v>
      </c>
      <c r="E1761">
        <v>1311.69</v>
      </c>
      <c r="F1761">
        <v>3</v>
      </c>
      <c r="G1761">
        <v>393.51</v>
      </c>
      <c r="H1761">
        <v>0.1</v>
      </c>
      <c r="I1761" t="s">
        <v>3944</v>
      </c>
      <c r="J1761" t="s">
        <v>3945</v>
      </c>
      <c r="K1761" t="s">
        <v>38</v>
      </c>
      <c r="L1761" t="s">
        <v>1685</v>
      </c>
      <c r="M1761" t="s">
        <v>56</v>
      </c>
      <c r="N1761" t="s">
        <v>3966</v>
      </c>
      <c r="P1761">
        <f t="shared" si="27"/>
        <v>0.30000228712576904</v>
      </c>
    </row>
    <row r="1762" spans="1:16" x14ac:dyDescent="0.25">
      <c r="A1762" t="s">
        <v>3946</v>
      </c>
      <c r="B1762" s="1">
        <v>45494</v>
      </c>
      <c r="C1762" t="s">
        <v>3947</v>
      </c>
      <c r="D1762" t="s">
        <v>22</v>
      </c>
      <c r="E1762">
        <v>2791.02</v>
      </c>
      <c r="F1762">
        <v>16</v>
      </c>
      <c r="G1762">
        <v>837.31</v>
      </c>
      <c r="H1762">
        <v>0.05</v>
      </c>
      <c r="I1762" t="s">
        <v>3947</v>
      </c>
      <c r="J1762" t="s">
        <v>2747</v>
      </c>
      <c r="K1762" t="s">
        <v>71</v>
      </c>
      <c r="L1762" t="s">
        <v>143</v>
      </c>
      <c r="M1762" t="s">
        <v>144</v>
      </c>
      <c r="N1762" t="s">
        <v>3966</v>
      </c>
      <c r="P1762">
        <f t="shared" si="27"/>
        <v>0.30000143316780242</v>
      </c>
    </row>
    <row r="1763" spans="1:16" x14ac:dyDescent="0.25">
      <c r="A1763" t="s">
        <v>3948</v>
      </c>
      <c r="B1763" s="1">
        <v>45476</v>
      </c>
      <c r="C1763" t="s">
        <v>3949</v>
      </c>
      <c r="D1763" t="s">
        <v>48</v>
      </c>
      <c r="E1763">
        <v>708.83</v>
      </c>
      <c r="F1763">
        <v>2</v>
      </c>
      <c r="G1763">
        <v>212.65</v>
      </c>
      <c r="H1763">
        <v>0.05</v>
      </c>
      <c r="I1763" t="s">
        <v>3949</v>
      </c>
      <c r="J1763" t="s">
        <v>1045</v>
      </c>
      <c r="K1763" t="s">
        <v>17</v>
      </c>
      <c r="L1763" t="s">
        <v>82</v>
      </c>
      <c r="M1763" t="s">
        <v>83</v>
      </c>
      <c r="N1763" t="s">
        <v>3966</v>
      </c>
      <c r="P1763">
        <f t="shared" si="27"/>
        <v>0.3000014107755033</v>
      </c>
    </row>
    <row r="1764" spans="1:16" x14ac:dyDescent="0.25">
      <c r="A1764" t="s">
        <v>3950</v>
      </c>
      <c r="B1764" s="1">
        <v>45559</v>
      </c>
      <c r="C1764" t="s">
        <v>3951</v>
      </c>
      <c r="D1764" t="s">
        <v>48</v>
      </c>
      <c r="E1764">
        <v>8970.56</v>
      </c>
      <c r="F1764">
        <v>17</v>
      </c>
      <c r="G1764">
        <v>2691.17</v>
      </c>
      <c r="H1764">
        <v>0</v>
      </c>
      <c r="I1764" t="s">
        <v>3951</v>
      </c>
      <c r="J1764" t="s">
        <v>2466</v>
      </c>
      <c r="K1764" t="s">
        <v>71</v>
      </c>
      <c r="L1764" t="s">
        <v>3952</v>
      </c>
      <c r="M1764" t="s">
        <v>891</v>
      </c>
      <c r="N1764" t="s">
        <v>3966</v>
      </c>
      <c r="P1764">
        <f t="shared" si="27"/>
        <v>0.30000022295152146</v>
      </c>
    </row>
    <row r="1765" spans="1:16" x14ac:dyDescent="0.25">
      <c r="A1765" t="s">
        <v>3953</v>
      </c>
      <c r="B1765" s="1">
        <v>45671</v>
      </c>
      <c r="C1765" t="s">
        <v>3954</v>
      </c>
      <c r="D1765" t="s">
        <v>91</v>
      </c>
      <c r="E1765">
        <v>1006.45</v>
      </c>
      <c r="F1765">
        <v>5</v>
      </c>
      <c r="G1765">
        <v>301.94</v>
      </c>
      <c r="H1765">
        <v>0</v>
      </c>
      <c r="I1765" t="s">
        <v>3954</v>
      </c>
      <c r="J1765" t="s">
        <v>2264</v>
      </c>
      <c r="K1765" t="s">
        <v>17</v>
      </c>
      <c r="L1765" t="s">
        <v>2845</v>
      </c>
      <c r="M1765" t="s">
        <v>165</v>
      </c>
      <c r="N1765" t="s">
        <v>3968</v>
      </c>
      <c r="P1765">
        <f t="shared" si="27"/>
        <v>0.30000496795667941</v>
      </c>
    </row>
    <row r="1766" spans="1:16" x14ac:dyDescent="0.25">
      <c r="A1766" t="s">
        <v>3955</v>
      </c>
      <c r="B1766" s="1">
        <v>45705</v>
      </c>
      <c r="C1766" t="s">
        <v>3956</v>
      </c>
      <c r="D1766" t="s">
        <v>29</v>
      </c>
      <c r="E1766">
        <v>1661.82</v>
      </c>
      <c r="F1766">
        <v>13</v>
      </c>
      <c r="G1766">
        <v>498.54</v>
      </c>
      <c r="H1766">
        <v>0.05</v>
      </c>
      <c r="I1766" t="s">
        <v>3956</v>
      </c>
      <c r="J1766" t="s">
        <v>494</v>
      </c>
      <c r="K1766" t="s">
        <v>71</v>
      </c>
      <c r="L1766" t="s">
        <v>3957</v>
      </c>
      <c r="M1766" t="s">
        <v>221</v>
      </c>
      <c r="N1766" t="s">
        <v>3968</v>
      </c>
      <c r="P1766">
        <f t="shared" si="27"/>
        <v>0.29999638950066798</v>
      </c>
    </row>
    <row r="1767" spans="1:16" x14ac:dyDescent="0.25">
      <c r="A1767" t="s">
        <v>3958</v>
      </c>
      <c r="B1767" s="1">
        <v>45302</v>
      </c>
      <c r="C1767" t="s">
        <v>3959</v>
      </c>
      <c r="D1767" t="s">
        <v>36</v>
      </c>
      <c r="E1767">
        <v>3209.18</v>
      </c>
      <c r="F1767">
        <v>18</v>
      </c>
      <c r="G1767">
        <v>962.75</v>
      </c>
      <c r="H1767">
        <v>0.15</v>
      </c>
      <c r="I1767" t="s">
        <v>3959</v>
      </c>
      <c r="J1767" t="s">
        <v>3960</v>
      </c>
      <c r="K1767" t="s">
        <v>24</v>
      </c>
      <c r="L1767" t="s">
        <v>3070</v>
      </c>
      <c r="M1767" t="s">
        <v>129</v>
      </c>
      <c r="N1767" t="s">
        <v>3968</v>
      </c>
      <c r="P1767">
        <f t="shared" si="27"/>
        <v>0.29999875357567979</v>
      </c>
    </row>
    <row r="1768" spans="1:16" x14ac:dyDescent="0.25">
      <c r="A1768" t="s">
        <v>3961</v>
      </c>
      <c r="B1768" s="1">
        <v>45500</v>
      </c>
      <c r="C1768" t="s">
        <v>3962</v>
      </c>
      <c r="D1768" t="s">
        <v>29</v>
      </c>
      <c r="E1768">
        <v>272.5</v>
      </c>
      <c r="F1768">
        <v>1</v>
      </c>
      <c r="G1768">
        <v>81.75</v>
      </c>
      <c r="H1768">
        <v>0</v>
      </c>
      <c r="I1768" t="s">
        <v>3962</v>
      </c>
      <c r="J1768" t="s">
        <v>1947</v>
      </c>
      <c r="K1768" t="s">
        <v>17</v>
      </c>
      <c r="L1768" t="s">
        <v>3957</v>
      </c>
      <c r="M1768" t="s">
        <v>221</v>
      </c>
      <c r="N1768" t="s">
        <v>3968</v>
      </c>
      <c r="P1768">
        <f t="shared" si="27"/>
        <v>0.3</v>
      </c>
    </row>
    <row r="1769" spans="1:16" x14ac:dyDescent="0.25">
      <c r="A1769" t="s">
        <v>3963</v>
      </c>
      <c r="B1769" s="1">
        <v>45629</v>
      </c>
      <c r="C1769" t="s">
        <v>3964</v>
      </c>
      <c r="D1769" t="s">
        <v>48</v>
      </c>
      <c r="E1769">
        <v>3493.51</v>
      </c>
      <c r="F1769">
        <v>14</v>
      </c>
      <c r="G1769">
        <v>1048.05</v>
      </c>
      <c r="H1769">
        <v>0.05</v>
      </c>
      <c r="I1769" t="s">
        <v>3964</v>
      </c>
      <c r="J1769" t="s">
        <v>635</v>
      </c>
      <c r="K1769" t="s">
        <v>38</v>
      </c>
      <c r="L1769" t="s">
        <v>82</v>
      </c>
      <c r="M1769" t="s">
        <v>83</v>
      </c>
      <c r="N1769" t="s">
        <v>3966</v>
      </c>
      <c r="P1769">
        <f t="shared" si="27"/>
        <v>0.29999914126480243</v>
      </c>
    </row>
    <row r="1770" spans="1:16" x14ac:dyDescent="0.25">
      <c r="A1770" t="s">
        <v>2146</v>
      </c>
      <c r="B1770" s="1">
        <v>45786</v>
      </c>
      <c r="C1770" t="s">
        <v>2147</v>
      </c>
      <c r="D1770" t="s">
        <v>36</v>
      </c>
      <c r="E1770">
        <v>2878.07</v>
      </c>
      <c r="F1770">
        <v>13</v>
      </c>
      <c r="G1770">
        <v>863.42</v>
      </c>
      <c r="H1770">
        <v>0</v>
      </c>
      <c r="I1770" t="s">
        <v>2147</v>
      </c>
      <c r="J1770" t="s">
        <v>902</v>
      </c>
      <c r="K1770" t="s">
        <v>71</v>
      </c>
      <c r="L1770" t="s">
        <v>383</v>
      </c>
      <c r="M1770" t="s">
        <v>384</v>
      </c>
      <c r="N1770" t="s">
        <v>3966</v>
      </c>
      <c r="P1770">
        <f t="shared" si="27"/>
        <v>0.2999996525449346</v>
      </c>
    </row>
    <row r="1771" spans="1:16" x14ac:dyDescent="0.25">
      <c r="A1771" t="s">
        <v>2148</v>
      </c>
      <c r="B1771" s="1">
        <v>45395</v>
      </c>
      <c r="C1771" t="s">
        <v>2147</v>
      </c>
      <c r="D1771" t="s">
        <v>36</v>
      </c>
      <c r="E1771">
        <v>7465.64</v>
      </c>
      <c r="F1771">
        <v>15</v>
      </c>
      <c r="G1771">
        <v>2239.69</v>
      </c>
      <c r="H1771">
        <v>0.1</v>
      </c>
      <c r="I1771" t="s">
        <v>2147</v>
      </c>
      <c r="J1771" t="s">
        <v>902</v>
      </c>
      <c r="K1771" t="s">
        <v>71</v>
      </c>
      <c r="L1771" t="s">
        <v>383</v>
      </c>
      <c r="M1771" t="s">
        <v>384</v>
      </c>
      <c r="N1771" t="s">
        <v>3967</v>
      </c>
      <c r="P1771">
        <f t="shared" si="27"/>
        <v>0.29999973210602171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9F9D-8955-41DB-983E-CE94C69DD33E}">
  <dimension ref="A2:F36"/>
  <sheetViews>
    <sheetView tabSelected="1" workbookViewId="0">
      <selection activeCell="J18" sqref="J18"/>
    </sheetView>
  </sheetViews>
  <sheetFormatPr defaultRowHeight="15" x14ac:dyDescent="0.25"/>
  <cols>
    <col min="1" max="1" width="13" style="2" customWidth="1"/>
    <col min="2" max="3" width="14.28515625" customWidth="1"/>
    <col min="4" max="4" width="22.28515625" customWidth="1"/>
    <col min="5" max="5" width="16.140625" customWidth="1"/>
    <col min="6" max="6" width="16.85546875" customWidth="1"/>
  </cols>
  <sheetData>
    <row r="2" spans="1:6" x14ac:dyDescent="0.25">
      <c r="A2" s="2" t="s">
        <v>3970</v>
      </c>
      <c r="B2" t="s">
        <v>3969</v>
      </c>
      <c r="C2" t="s">
        <v>3973</v>
      </c>
      <c r="D2" t="s">
        <v>3993</v>
      </c>
      <c r="E2" t="s">
        <v>3994</v>
      </c>
      <c r="F2" t="s">
        <v>3995</v>
      </c>
    </row>
    <row r="3" spans="1:6" x14ac:dyDescent="0.25">
      <c r="A3" s="6" t="s">
        <v>3990</v>
      </c>
    </row>
    <row r="4" spans="1:6" x14ac:dyDescent="0.25">
      <c r="A4" s="2" t="s">
        <v>3974</v>
      </c>
      <c r="B4">
        <v>175375.68</v>
      </c>
      <c r="C4">
        <v>52612.74</v>
      </c>
    </row>
    <row r="5" spans="1:6" x14ac:dyDescent="0.25">
      <c r="A5" s="2" t="s">
        <v>3975</v>
      </c>
      <c r="B5">
        <v>165907.70000000001</v>
      </c>
      <c r="C5">
        <v>49772.310000000019</v>
      </c>
      <c r="D5">
        <f>B4</f>
        <v>175375.68</v>
      </c>
      <c r="E5">
        <f>B5-D5</f>
        <v>-9467.9799999999814</v>
      </c>
      <c r="F5">
        <f>(E5/D5)*100</f>
        <v>-5.3986846979010901</v>
      </c>
    </row>
    <row r="6" spans="1:6" x14ac:dyDescent="0.25">
      <c r="A6" s="2" t="s">
        <v>3976</v>
      </c>
      <c r="B6">
        <v>232637.11000000002</v>
      </c>
      <c r="C6">
        <v>69791.11</v>
      </c>
      <c r="D6">
        <f>B5</f>
        <v>165907.70000000001</v>
      </c>
      <c r="E6">
        <f>B6-D6</f>
        <v>66729.41</v>
      </c>
      <c r="F6">
        <f>(E6/D6)*100</f>
        <v>40.220803494955327</v>
      </c>
    </row>
    <row r="7" spans="1:6" x14ac:dyDescent="0.25">
      <c r="A7" s="2" t="s">
        <v>3977</v>
      </c>
      <c r="B7">
        <v>179571.98</v>
      </c>
      <c r="C7">
        <v>53871.57999999998</v>
      </c>
      <c r="D7">
        <f>B6</f>
        <v>232637.11000000002</v>
      </c>
      <c r="E7">
        <f>B7-D7</f>
        <v>-53065.130000000005</v>
      </c>
      <c r="F7">
        <f>(E7/D7)*100</f>
        <v>-22.810260151529565</v>
      </c>
    </row>
    <row r="8" spans="1:6" x14ac:dyDescent="0.25">
      <c r="A8" s="2" t="s">
        <v>3978</v>
      </c>
      <c r="B8">
        <v>136896.02000000002</v>
      </c>
      <c r="C8">
        <v>41068.800000000003</v>
      </c>
      <c r="D8">
        <f>B7</f>
        <v>179571.98</v>
      </c>
      <c r="E8">
        <f>B8-D8</f>
        <v>-42675.959999999992</v>
      </c>
      <c r="F8">
        <f>(E8/D8)*100</f>
        <v>-23.765378095179432</v>
      </c>
    </row>
    <row r="9" spans="1:6" x14ac:dyDescent="0.25">
      <c r="A9" s="2" t="s">
        <v>3979</v>
      </c>
      <c r="B9">
        <v>175948.5</v>
      </c>
      <c r="C9">
        <v>52784.500000000015</v>
      </c>
      <c r="D9">
        <f>B8</f>
        <v>136896.02000000002</v>
      </c>
      <c r="E9">
        <f>B9-D9</f>
        <v>39052.479999999981</v>
      </c>
      <c r="F9">
        <f>(E9/D9)*100</f>
        <v>28.527111306815183</v>
      </c>
    </row>
    <row r="10" spans="1:6" x14ac:dyDescent="0.25">
      <c r="A10" s="2" t="s">
        <v>3980</v>
      </c>
      <c r="B10">
        <v>179445.56</v>
      </c>
      <c r="C10">
        <v>53833.659999999996</v>
      </c>
      <c r="D10">
        <f>B9</f>
        <v>175948.5</v>
      </c>
      <c r="E10">
        <f>B10-D10</f>
        <v>3497.0599999999977</v>
      </c>
      <c r="F10">
        <f>(E10/D10)*100</f>
        <v>1.9875474925901599</v>
      </c>
    </row>
    <row r="11" spans="1:6" x14ac:dyDescent="0.25">
      <c r="A11" s="2" t="s">
        <v>3981</v>
      </c>
      <c r="B11">
        <v>182445.32999999996</v>
      </c>
      <c r="C11">
        <v>54733.630000000012</v>
      </c>
      <c r="D11">
        <f>B10</f>
        <v>179445.56</v>
      </c>
      <c r="E11">
        <f>B11-D11</f>
        <v>2999.7699999999604</v>
      </c>
      <c r="F11">
        <f>(E11/D11)*100</f>
        <v>1.6716880595986663</v>
      </c>
    </row>
    <row r="12" spans="1:6" x14ac:dyDescent="0.25">
      <c r="A12" s="2" t="s">
        <v>3982</v>
      </c>
      <c r="B12">
        <v>172533.93000000002</v>
      </c>
      <c r="C12">
        <v>51760.200000000004</v>
      </c>
      <c r="D12">
        <f>B11</f>
        <v>182445.32999999996</v>
      </c>
      <c r="E12">
        <f>B12-D12</f>
        <v>-9911.399999999936</v>
      </c>
      <c r="F12">
        <f>(E12/D12)*100</f>
        <v>-5.4325314876516364</v>
      </c>
    </row>
    <row r="13" spans="1:6" x14ac:dyDescent="0.25">
      <c r="A13" s="2" t="s">
        <v>3983</v>
      </c>
      <c r="B13">
        <v>93176.089999999982</v>
      </c>
      <c r="C13">
        <v>27952.86</v>
      </c>
      <c r="D13">
        <f>B12</f>
        <v>172533.93000000002</v>
      </c>
      <c r="E13">
        <f>B13-D13</f>
        <v>-79357.84000000004</v>
      </c>
      <c r="F13">
        <f>(E13/D13)*100</f>
        <v>-45.995497813096833</v>
      </c>
    </row>
    <row r="14" spans="1:6" x14ac:dyDescent="0.25">
      <c r="A14" s="2" t="s">
        <v>3984</v>
      </c>
      <c r="B14">
        <v>155791.09999999995</v>
      </c>
      <c r="C14">
        <v>46737.31</v>
      </c>
      <c r="D14">
        <f>B13</f>
        <v>93176.089999999982</v>
      </c>
      <c r="E14">
        <f>B14-D14</f>
        <v>62615.009999999966</v>
      </c>
      <c r="F14">
        <f>(E14/D14)*100</f>
        <v>67.200727139333679</v>
      </c>
    </row>
    <row r="15" spans="1:6" x14ac:dyDescent="0.25">
      <c r="A15" s="2" t="s">
        <v>3985</v>
      </c>
      <c r="B15">
        <v>129297.53999999998</v>
      </c>
      <c r="C15">
        <v>38789.279999999999</v>
      </c>
      <c r="D15">
        <f>B14</f>
        <v>155791.09999999995</v>
      </c>
      <c r="E15">
        <f>B15-D15</f>
        <v>-26493.559999999969</v>
      </c>
      <c r="F15">
        <f>(E15/D15)*100</f>
        <v>-17.005823824339117</v>
      </c>
    </row>
    <row r="16" spans="1:6" x14ac:dyDescent="0.25">
      <c r="A16" s="6" t="s">
        <v>3991</v>
      </c>
    </row>
    <row r="17" spans="1:6" x14ac:dyDescent="0.25">
      <c r="A17" s="2" t="s">
        <v>3974</v>
      </c>
      <c r="B17">
        <v>194576.60000000003</v>
      </c>
      <c r="C17">
        <v>58372.98000000001</v>
      </c>
      <c r="D17">
        <f>B15</f>
        <v>129297.53999999998</v>
      </c>
      <c r="E17">
        <f>B17-D17</f>
        <v>65279.060000000056</v>
      </c>
      <c r="F17">
        <f>(E17/D17)*100</f>
        <v>50.487472538147337</v>
      </c>
    </row>
    <row r="18" spans="1:6" x14ac:dyDescent="0.25">
      <c r="A18" s="2" t="s">
        <v>3975</v>
      </c>
      <c r="B18">
        <v>147236.31999999995</v>
      </c>
      <c r="C18">
        <v>44170.890000000007</v>
      </c>
      <c r="D18">
        <f>B17</f>
        <v>194576.60000000003</v>
      </c>
      <c r="E18">
        <f>B18-D18</f>
        <v>-47340.280000000086</v>
      </c>
      <c r="F18">
        <f>(E18/D18)*100</f>
        <v>-24.329893728228409</v>
      </c>
    </row>
    <row r="19" spans="1:6" x14ac:dyDescent="0.25">
      <c r="A19" s="2" t="s">
        <v>3976</v>
      </c>
      <c r="B19">
        <v>151578.35000000006</v>
      </c>
      <c r="C19">
        <v>45473.51999999999</v>
      </c>
      <c r="D19">
        <f>B18</f>
        <v>147236.31999999995</v>
      </c>
      <c r="E19">
        <f>B19-D19</f>
        <v>4342.0300000001153</v>
      </c>
      <c r="F19">
        <f>(E19/D19)*100</f>
        <v>2.9490210024266545</v>
      </c>
    </row>
    <row r="20" spans="1:6" x14ac:dyDescent="0.25">
      <c r="A20" s="2" t="s">
        <v>3977</v>
      </c>
      <c r="B20">
        <v>224692.14000000007</v>
      </c>
      <c r="C20">
        <v>67407.579999999987</v>
      </c>
      <c r="D20">
        <f>B19</f>
        <v>151578.35000000006</v>
      </c>
      <c r="E20">
        <f>B20-D20</f>
        <v>73113.790000000008</v>
      </c>
      <c r="F20">
        <f>(E20/D20)*100</f>
        <v>48.234982106613494</v>
      </c>
    </row>
    <row r="21" spans="1:6" x14ac:dyDescent="0.25">
      <c r="A21" s="2" t="s">
        <v>3978</v>
      </c>
      <c r="B21">
        <v>134685.80000000002</v>
      </c>
      <c r="C21">
        <v>40405.739999999983</v>
      </c>
      <c r="D21">
        <f>B20</f>
        <v>224692.14000000007</v>
      </c>
      <c r="E21">
        <f>B21-D21</f>
        <v>-90006.340000000055</v>
      </c>
      <c r="F21">
        <f>(E21/D21)*100</f>
        <v>-40.057627293949864</v>
      </c>
    </row>
    <row r="22" spans="1:6" x14ac:dyDescent="0.25">
      <c r="A22" s="2" t="s">
        <v>3979</v>
      </c>
      <c r="B22">
        <v>195010.93999999994</v>
      </c>
      <c r="C22">
        <v>58503.289999999986</v>
      </c>
      <c r="D22">
        <f>B21</f>
        <v>134685.80000000002</v>
      </c>
      <c r="E22">
        <f>B22-D22</f>
        <v>60325.139999999927</v>
      </c>
      <c r="F22">
        <f>(E22/D22)*100</f>
        <v>44.789532378320445</v>
      </c>
    </row>
    <row r="23" spans="1:6" x14ac:dyDescent="0.25">
      <c r="A23" s="2" t="s">
        <v>3980</v>
      </c>
      <c r="B23">
        <v>149913.3299999999</v>
      </c>
      <c r="C23">
        <v>44974.03</v>
      </c>
      <c r="D23">
        <f>B22</f>
        <v>195010.93999999994</v>
      </c>
      <c r="E23">
        <f>B23-D23</f>
        <v>-45097.610000000044</v>
      </c>
      <c r="F23">
        <f>(E23/D23)*100</f>
        <v>-23.12568207711837</v>
      </c>
    </row>
    <row r="24" spans="1:6" x14ac:dyDescent="0.25">
      <c r="A24" s="2" t="s">
        <v>3981</v>
      </c>
      <c r="B24">
        <v>149568.98000000001</v>
      </c>
      <c r="C24">
        <v>44870.69</v>
      </c>
      <c r="D24">
        <f>B23</f>
        <v>149913.3299999999</v>
      </c>
      <c r="E24">
        <f>B24-D24</f>
        <v>-344.34999999988941</v>
      </c>
      <c r="F24">
        <f>(E24/D24)*100</f>
        <v>-0.22969938697238573</v>
      </c>
    </row>
    <row r="25" spans="1:6" x14ac:dyDescent="0.25">
      <c r="A25" s="2" t="s">
        <v>3982</v>
      </c>
      <c r="B25">
        <v>152592.54999999999</v>
      </c>
      <c r="C25">
        <v>45777.760000000002</v>
      </c>
      <c r="D25">
        <f>B24</f>
        <v>149568.98000000001</v>
      </c>
      <c r="E25">
        <f>B25-D25</f>
        <v>3023.5699999999779</v>
      </c>
      <c r="F25">
        <f>(E25/D25)*100</f>
        <v>2.0215221097315621</v>
      </c>
    </row>
    <row r="26" spans="1:6" x14ac:dyDescent="0.25">
      <c r="A26" s="2" t="s">
        <v>3983</v>
      </c>
      <c r="B26">
        <v>217085.03999999995</v>
      </c>
      <c r="C26">
        <v>65125.49000000002</v>
      </c>
      <c r="D26">
        <f>B25</f>
        <v>152592.54999999999</v>
      </c>
      <c r="E26">
        <f>B26-D26</f>
        <v>64492.489999999962</v>
      </c>
      <c r="F26">
        <f>(E26/D26)*100</f>
        <v>42.264507670918384</v>
      </c>
    </row>
    <row r="27" spans="1:6" x14ac:dyDescent="0.25">
      <c r="A27" s="2" t="s">
        <v>3984</v>
      </c>
      <c r="B27">
        <v>176017.66000000003</v>
      </c>
      <c r="C27">
        <v>52805.310000000005</v>
      </c>
      <c r="D27">
        <f>B26</f>
        <v>217085.03999999995</v>
      </c>
      <c r="E27">
        <f>B27-D27</f>
        <v>-41067.379999999917</v>
      </c>
      <c r="F27">
        <f>(E27/D27)*100</f>
        <v>-18.917646282765467</v>
      </c>
    </row>
    <row r="28" spans="1:6" x14ac:dyDescent="0.25">
      <c r="A28" s="2" t="s">
        <v>3985</v>
      </c>
      <c r="B28">
        <v>164150.95999999996</v>
      </c>
      <c r="C28">
        <v>49245.30000000001</v>
      </c>
      <c r="D28">
        <f>B27</f>
        <v>176017.66000000003</v>
      </c>
      <c r="E28">
        <f>B28-D28</f>
        <v>-11866.70000000007</v>
      </c>
      <c r="F28">
        <f>(E28/D28)*100</f>
        <v>-6.7417667068179794</v>
      </c>
    </row>
    <row r="29" spans="1:6" x14ac:dyDescent="0.25">
      <c r="A29" s="6" t="s">
        <v>3992</v>
      </c>
    </row>
    <row r="30" spans="1:6" x14ac:dyDescent="0.25">
      <c r="A30" s="2" t="s">
        <v>3974</v>
      </c>
      <c r="B30">
        <v>185403.86000000002</v>
      </c>
      <c r="C30">
        <v>55621.130000000005</v>
      </c>
      <c r="D30">
        <f>B28</f>
        <v>164150.95999999996</v>
      </c>
      <c r="E30">
        <f>B30-D30</f>
        <v>21252.900000000052</v>
      </c>
      <c r="F30">
        <f>(E30/D30)*100</f>
        <v>12.94716765591871</v>
      </c>
    </row>
    <row r="31" spans="1:6" x14ac:dyDescent="0.25">
      <c r="A31" s="2" t="s">
        <v>3975</v>
      </c>
      <c r="B31">
        <v>166805.19000000003</v>
      </c>
      <c r="C31">
        <v>50041.53</v>
      </c>
      <c r="D31">
        <f>B30</f>
        <v>185403.86000000002</v>
      </c>
      <c r="E31">
        <f>B31-D31</f>
        <v>-18598.669999999984</v>
      </c>
      <c r="F31">
        <f>(E31/D31)*100</f>
        <v>-10.031436238706132</v>
      </c>
    </row>
    <row r="32" spans="1:6" x14ac:dyDescent="0.25">
      <c r="A32" s="2" t="s">
        <v>3976</v>
      </c>
      <c r="B32">
        <v>225491.92000000007</v>
      </c>
      <c r="C32">
        <v>67647.59</v>
      </c>
      <c r="D32">
        <f>B31</f>
        <v>166805.19000000003</v>
      </c>
      <c r="E32">
        <f>B32-D32</f>
        <v>58686.73000000004</v>
      </c>
      <c r="F32">
        <f>(E32/D32)*100</f>
        <v>35.182796170790624</v>
      </c>
    </row>
    <row r="33" spans="1:6" x14ac:dyDescent="0.25">
      <c r="A33" s="2" t="s">
        <v>3977</v>
      </c>
      <c r="B33">
        <v>168884.50999999995</v>
      </c>
      <c r="C33">
        <v>50665.4</v>
      </c>
      <c r="D33">
        <f>B32</f>
        <v>225491.92000000007</v>
      </c>
      <c r="E33">
        <f>B33-D33</f>
        <v>-56607.41000000012</v>
      </c>
      <c r="F33">
        <f>(E33/D33)*100</f>
        <v>-25.10396381386974</v>
      </c>
    </row>
    <row r="34" spans="1:6" x14ac:dyDescent="0.25">
      <c r="A34" s="2" t="s">
        <v>3978</v>
      </c>
      <c r="B34">
        <v>183081.61000000002</v>
      </c>
      <c r="C34">
        <v>54924.54</v>
      </c>
      <c r="D34">
        <f>B33</f>
        <v>168884.50999999995</v>
      </c>
      <c r="E34">
        <f>B34-D34</f>
        <v>14197.100000000064</v>
      </c>
      <c r="F34">
        <f>(E34/D34)*100</f>
        <v>8.4063955895067384</v>
      </c>
    </row>
    <row r="35" spans="1:6" x14ac:dyDescent="0.25">
      <c r="A35" s="2" t="s">
        <v>3979</v>
      </c>
      <c r="B35">
        <v>172506.67999999996</v>
      </c>
      <c r="C35">
        <v>51752.03</v>
      </c>
      <c r="D35">
        <f>B34</f>
        <v>183081.61000000002</v>
      </c>
      <c r="E35">
        <f>B35-D35</f>
        <v>-10574.930000000051</v>
      </c>
      <c r="F35">
        <f>(E35/D35)*100</f>
        <v>-5.7760743965491947</v>
      </c>
    </row>
    <row r="36" spans="1:6" s="2" customFormat="1" x14ac:dyDescent="0.25">
      <c r="A36" s="2" t="s">
        <v>3971</v>
      </c>
      <c r="B36" s="2">
        <v>5138308.9799999995</v>
      </c>
      <c r="C36" s="2">
        <v>1541492.78</v>
      </c>
      <c r="D36" s="2">
        <f>B35</f>
        <v>172506.67999999996</v>
      </c>
      <c r="E36" s="2">
        <f>B36-D36</f>
        <v>4965802.3</v>
      </c>
      <c r="F36" s="2">
        <f>(E36/D36)*100</f>
        <v>2878.6144977110457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3F07-1CDF-4B7D-9149-0764FCFFFEB2}">
  <dimension ref="A1:P11"/>
  <sheetViews>
    <sheetView workbookViewId="0">
      <selection activeCell="N18" sqref="N18"/>
    </sheetView>
  </sheetViews>
  <sheetFormatPr defaultRowHeight="15" x14ac:dyDescent="0.25"/>
  <cols>
    <col min="1" max="1" width="13" customWidth="1"/>
    <col min="2" max="3" width="14.28515625" customWidth="1"/>
    <col min="4" max="4" width="14.42578125" customWidth="1"/>
    <col min="6" max="6" width="13" customWidth="1"/>
    <col min="7" max="7" width="14.28515625" customWidth="1"/>
    <col min="8" max="8" width="21.85546875" customWidth="1"/>
    <col min="10" max="10" width="13" customWidth="1"/>
    <col min="11" max="13" width="11" bestFit="1" customWidth="1"/>
    <col min="14" max="14" width="13.42578125" customWidth="1"/>
    <col min="15" max="15" width="20" customWidth="1"/>
    <col min="16" max="16" width="19.5703125" customWidth="1"/>
  </cols>
  <sheetData>
    <row r="1" spans="1:16" x14ac:dyDescent="0.25">
      <c r="A1" s="9" t="s">
        <v>4000</v>
      </c>
      <c r="B1" s="9"/>
      <c r="C1" s="9"/>
      <c r="D1" s="9"/>
      <c r="F1" s="9" t="s">
        <v>4001</v>
      </c>
      <c r="G1" s="9"/>
      <c r="H1" s="9"/>
      <c r="J1" s="9" t="s">
        <v>4002</v>
      </c>
      <c r="K1" s="9"/>
      <c r="L1" s="9"/>
      <c r="M1" s="9"/>
      <c r="N1" s="9"/>
      <c r="O1" s="9"/>
      <c r="P1" s="9"/>
    </row>
    <row r="2" spans="1:16" x14ac:dyDescent="0.25">
      <c r="A2" t="s">
        <v>3970</v>
      </c>
      <c r="B2" t="s">
        <v>3969</v>
      </c>
      <c r="C2" t="s">
        <v>3973</v>
      </c>
      <c r="D2" t="s">
        <v>3996</v>
      </c>
      <c r="F2" t="s">
        <v>3970</v>
      </c>
      <c r="G2" t="s">
        <v>3969</v>
      </c>
      <c r="H2" t="s">
        <v>3997</v>
      </c>
      <c r="J2" s="8" t="s">
        <v>4003</v>
      </c>
      <c r="K2" s="8"/>
      <c r="L2" s="8"/>
      <c r="M2" s="8"/>
      <c r="N2" s="8"/>
      <c r="O2" s="8"/>
      <c r="P2" s="8"/>
    </row>
    <row r="3" spans="1:16" x14ac:dyDescent="0.25">
      <c r="A3" t="s">
        <v>38</v>
      </c>
      <c r="B3">
        <v>996587.08000000007</v>
      </c>
      <c r="C3">
        <v>298976.19999999995</v>
      </c>
      <c r="D3">
        <f>(C3/B3)*100</f>
        <v>30.000007626027013</v>
      </c>
      <c r="F3" t="s">
        <v>3966</v>
      </c>
      <c r="G3">
        <v>2816020.2999999956</v>
      </c>
      <c r="H3">
        <f>(G3/G6)*100</f>
        <v>54.804417386359638</v>
      </c>
      <c r="J3" t="s">
        <v>3970</v>
      </c>
      <c r="K3" t="s">
        <v>3990</v>
      </c>
      <c r="L3" t="s">
        <v>3991</v>
      </c>
      <c r="M3" t="s">
        <v>3992</v>
      </c>
      <c r="N3" t="s">
        <v>3971</v>
      </c>
      <c r="O3" t="s">
        <v>3998</v>
      </c>
      <c r="P3" t="s">
        <v>3999</v>
      </c>
    </row>
    <row r="4" spans="1:16" x14ac:dyDescent="0.25">
      <c r="A4" t="s">
        <v>17</v>
      </c>
      <c r="B4">
        <v>1050771.6600000004</v>
      </c>
      <c r="C4">
        <v>315231.49999999988</v>
      </c>
      <c r="D4">
        <f t="shared" ref="D4:D8" si="0">(C4/B4)*100</f>
        <v>30.000000190336291</v>
      </c>
      <c r="F4" t="s">
        <v>3967</v>
      </c>
      <c r="G4">
        <v>1430529.5600000003</v>
      </c>
      <c r="H4">
        <f>(G4/G6)*100</f>
        <v>27.840473696075819</v>
      </c>
      <c r="J4" t="s">
        <v>36</v>
      </c>
      <c r="K4">
        <v>241745.59999999986</v>
      </c>
      <c r="L4">
        <v>287942.01000000013</v>
      </c>
      <c r="M4">
        <v>208447.14000000004</v>
      </c>
      <c r="N4">
        <v>738134.75</v>
      </c>
      <c r="O4">
        <f>((L4-K4)/K4)*100</f>
        <v>19.109514299329664</v>
      </c>
      <c r="P4">
        <f>((M4-L4)/L4)*100</f>
        <v>-27.607944391302976</v>
      </c>
    </row>
    <row r="5" spans="1:16" x14ac:dyDescent="0.25">
      <c r="A5" t="s">
        <v>31</v>
      </c>
      <c r="B5">
        <v>1150707.5900000015</v>
      </c>
      <c r="C5">
        <v>345212.2799999998</v>
      </c>
      <c r="D5">
        <f t="shared" si="0"/>
        <v>30.000000260709097</v>
      </c>
      <c r="F5" t="s">
        <v>3968</v>
      </c>
      <c r="G5">
        <v>891759.11999999965</v>
      </c>
      <c r="H5">
        <f>(G5/G6)*100</f>
        <v>17.355108917564561</v>
      </c>
      <c r="J5" t="s">
        <v>29</v>
      </c>
      <c r="K5">
        <v>282204.43000000005</v>
      </c>
      <c r="L5">
        <v>212569.21999999997</v>
      </c>
      <c r="M5">
        <v>119949.57999999996</v>
      </c>
      <c r="N5">
        <v>614723.23</v>
      </c>
      <c r="O5">
        <f t="shared" ref="O5:O11" si="1">((L5-K5)/K5)*100</f>
        <v>-24.675448928990967</v>
      </c>
      <c r="P5">
        <f t="shared" ref="P5:P11" si="2">((M5-L5)/L5)*100</f>
        <v>-43.571519903022661</v>
      </c>
    </row>
    <row r="6" spans="1:16" x14ac:dyDescent="0.25">
      <c r="A6" t="s">
        <v>24</v>
      </c>
      <c r="B6">
        <v>984164.13000000024</v>
      </c>
      <c r="C6">
        <v>295249.25</v>
      </c>
      <c r="D6">
        <f t="shared" si="0"/>
        <v>30.000001117699743</v>
      </c>
      <c r="F6" t="s">
        <v>3971</v>
      </c>
      <c r="G6">
        <v>5138308.9799999949</v>
      </c>
      <c r="J6" t="s">
        <v>15</v>
      </c>
      <c r="K6">
        <v>341203.36000000016</v>
      </c>
      <c r="L6">
        <v>289037.66000000003</v>
      </c>
      <c r="M6">
        <v>150926.37999999998</v>
      </c>
      <c r="N6">
        <v>781167.40000000026</v>
      </c>
      <c r="O6">
        <f t="shared" si="1"/>
        <v>-15.28874158800784</v>
      </c>
      <c r="P6">
        <f t="shared" si="2"/>
        <v>-47.783143552988925</v>
      </c>
    </row>
    <row r="7" spans="1:16" x14ac:dyDescent="0.25">
      <c r="A7" t="s">
        <v>71</v>
      </c>
      <c r="B7">
        <v>956078.51999999955</v>
      </c>
      <c r="C7">
        <v>286823.54999999993</v>
      </c>
      <c r="D7">
        <f t="shared" si="0"/>
        <v>29.999999372436488</v>
      </c>
      <c r="J7" t="s">
        <v>48</v>
      </c>
      <c r="K7">
        <v>312075.21999999991</v>
      </c>
      <c r="L7">
        <v>337387.41999999993</v>
      </c>
      <c r="M7">
        <v>131282.74999999997</v>
      </c>
      <c r="N7">
        <v>780745.3899999999</v>
      </c>
      <c r="O7">
        <f t="shared" si="1"/>
        <v>8.1109291535547161</v>
      </c>
      <c r="P7">
        <f t="shared" si="2"/>
        <v>-61.088427659810193</v>
      </c>
    </row>
    <row r="8" spans="1:16" x14ac:dyDescent="0.25">
      <c r="A8" t="s">
        <v>3971</v>
      </c>
      <c r="B8">
        <v>5138308.9800000023</v>
      </c>
      <c r="C8">
        <v>1541492.7799999993</v>
      </c>
      <c r="D8">
        <f t="shared" si="0"/>
        <v>30.000001673702357</v>
      </c>
      <c r="J8" t="s">
        <v>22</v>
      </c>
      <c r="K8">
        <v>224973.33999999997</v>
      </c>
      <c r="L8">
        <v>205539.98999999993</v>
      </c>
      <c r="M8">
        <v>153908.94</v>
      </c>
      <c r="N8">
        <v>584422.2699999999</v>
      </c>
      <c r="O8">
        <f t="shared" si="1"/>
        <v>-8.6380679595191321</v>
      </c>
      <c r="P8">
        <f t="shared" si="2"/>
        <v>-25.119710281196351</v>
      </c>
    </row>
    <row r="9" spans="1:16" x14ac:dyDescent="0.25">
      <c r="J9" t="s">
        <v>41</v>
      </c>
      <c r="K9">
        <v>259451.48000000007</v>
      </c>
      <c r="L9">
        <v>388790.22000000003</v>
      </c>
      <c r="M9">
        <v>183785.74999999997</v>
      </c>
      <c r="N9">
        <v>832027.45000000007</v>
      </c>
      <c r="O9">
        <f t="shared" si="1"/>
        <v>49.850839162682718</v>
      </c>
      <c r="P9">
        <f t="shared" si="2"/>
        <v>-52.728813497417718</v>
      </c>
    </row>
    <row r="10" spans="1:16" x14ac:dyDescent="0.25">
      <c r="J10" t="s">
        <v>91</v>
      </c>
      <c r="K10">
        <v>317373.11000000016</v>
      </c>
      <c r="L10">
        <v>335842.15000000008</v>
      </c>
      <c r="M10">
        <v>153873.23000000004</v>
      </c>
      <c r="N10">
        <v>807088.49000000022</v>
      </c>
      <c r="O10">
        <f t="shared" si="1"/>
        <v>5.8193461947673866</v>
      </c>
      <c r="P10">
        <f t="shared" si="2"/>
        <v>-54.182871328092673</v>
      </c>
    </row>
    <row r="11" spans="1:16" x14ac:dyDescent="0.25">
      <c r="J11" t="s">
        <v>3971</v>
      </c>
      <c r="K11">
        <v>1979026.5400000003</v>
      </c>
      <c r="L11">
        <v>2057108.6700000002</v>
      </c>
      <c r="M11">
        <v>1102173.77</v>
      </c>
      <c r="N11">
        <v>5138308.9800000004</v>
      </c>
    </row>
  </sheetData>
  <mergeCells count="4">
    <mergeCell ref="A1:D1"/>
    <mergeCell ref="F1:H1"/>
    <mergeCell ref="J1:P1"/>
    <mergeCell ref="J2:P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CF36-32E1-4103-AD0B-996396611D6F}">
  <dimension ref="A2:M753"/>
  <sheetViews>
    <sheetView workbookViewId="0">
      <selection activeCell="I2" sqref="I2:M11"/>
      <pivotSelection pane="bottomRight" activeRow="1" activeCol="8" previousRow="1" previousCol="8" click="1" r:id="rId1">
        <pivotArea type="all" dataOnly="0" outline="0" fieldPosition="0"/>
      </pivotSelection>
    </sheetView>
  </sheetViews>
  <sheetFormatPr defaultRowHeight="15" x14ac:dyDescent="0.25"/>
  <cols>
    <col min="1" max="1" width="14.140625" bestFit="1" customWidth="1"/>
    <col min="2" max="2" width="12.42578125" bestFit="1" customWidth="1"/>
    <col min="3" max="3" width="12.7109375" bestFit="1" customWidth="1"/>
    <col min="5" max="5" width="13.42578125" bestFit="1" customWidth="1"/>
    <col min="6" max="6" width="12.42578125" bestFit="1" customWidth="1"/>
    <col min="7" max="7" width="12.7109375" bestFit="1" customWidth="1"/>
    <col min="9" max="9" width="13.42578125" bestFit="1" customWidth="1"/>
    <col min="10" max="10" width="16.85546875" bestFit="1" customWidth="1"/>
    <col min="11" max="12" width="11" bestFit="1" customWidth="1"/>
    <col min="13" max="13" width="11.28515625" bestFit="1" customWidth="1"/>
    <col min="14" max="756" width="10.42578125" bestFit="1" customWidth="1"/>
    <col min="757" max="757" width="11.28515625" bestFit="1" customWidth="1"/>
  </cols>
  <sheetData>
    <row r="2" spans="1:13" x14ac:dyDescent="0.25">
      <c r="A2" s="3" t="s">
        <v>3970</v>
      </c>
      <c r="B2" t="s">
        <v>3969</v>
      </c>
      <c r="C2" t="s">
        <v>3973</v>
      </c>
      <c r="E2" s="3" t="s">
        <v>3970</v>
      </c>
      <c r="F2" t="s">
        <v>3969</v>
      </c>
      <c r="G2" t="s">
        <v>3973</v>
      </c>
      <c r="I2" s="3" t="s">
        <v>3969</v>
      </c>
      <c r="J2" s="3" t="s">
        <v>3972</v>
      </c>
    </row>
    <row r="3" spans="1:13" x14ac:dyDescent="0.25">
      <c r="A3" s="4" t="s">
        <v>3990</v>
      </c>
      <c r="B3" s="5">
        <v>1979026.54</v>
      </c>
      <c r="C3" s="5">
        <v>593707.98</v>
      </c>
      <c r="E3" s="4" t="s">
        <v>38</v>
      </c>
      <c r="F3" s="5">
        <v>996587.08000000007</v>
      </c>
      <c r="G3" s="5">
        <v>298976.19999999995</v>
      </c>
      <c r="I3" s="3" t="s">
        <v>3970</v>
      </c>
      <c r="J3" t="s">
        <v>3990</v>
      </c>
      <c r="K3" t="s">
        <v>3991</v>
      </c>
      <c r="L3" t="s">
        <v>3992</v>
      </c>
      <c r="M3" t="s">
        <v>3971</v>
      </c>
    </row>
    <row r="4" spans="1:13" x14ac:dyDescent="0.25">
      <c r="A4" s="7">
        <v>44927</v>
      </c>
      <c r="B4" s="5">
        <v>9631.07</v>
      </c>
      <c r="C4" s="5">
        <v>2889.33</v>
      </c>
      <c r="E4" s="4" t="s">
        <v>17</v>
      </c>
      <c r="F4" s="5">
        <v>1050771.6600000004</v>
      </c>
      <c r="G4" s="5">
        <v>315231.49999999988</v>
      </c>
      <c r="I4" s="4" t="s">
        <v>36</v>
      </c>
      <c r="J4" s="5">
        <v>241745.59999999986</v>
      </c>
      <c r="K4" s="5">
        <v>287942.01000000013</v>
      </c>
      <c r="L4" s="5">
        <v>208447.14000000004</v>
      </c>
      <c r="M4" s="5">
        <v>738134.75</v>
      </c>
    </row>
    <row r="5" spans="1:13" x14ac:dyDescent="0.25">
      <c r="A5" s="7">
        <v>44928</v>
      </c>
      <c r="B5" s="5">
        <v>365.75</v>
      </c>
      <c r="C5" s="5">
        <v>109.72</v>
      </c>
      <c r="E5" s="4" t="s">
        <v>31</v>
      </c>
      <c r="F5" s="5">
        <v>1150707.5900000015</v>
      </c>
      <c r="G5" s="5">
        <v>345212.2799999998</v>
      </c>
      <c r="I5" s="4" t="s">
        <v>29</v>
      </c>
      <c r="J5" s="5">
        <v>282204.43000000005</v>
      </c>
      <c r="K5" s="5">
        <v>212569.21999999997</v>
      </c>
      <c r="L5" s="5">
        <v>119949.57999999996</v>
      </c>
      <c r="M5" s="5">
        <v>614723.23</v>
      </c>
    </row>
    <row r="6" spans="1:13" x14ac:dyDescent="0.25">
      <c r="A6" s="7">
        <v>44930</v>
      </c>
      <c r="B6" s="5">
        <v>5608.6</v>
      </c>
      <c r="C6" s="5">
        <v>1682.58</v>
      </c>
      <c r="E6" s="4" t="s">
        <v>24</v>
      </c>
      <c r="F6" s="5">
        <v>984164.13000000024</v>
      </c>
      <c r="G6" s="5">
        <v>295249.25</v>
      </c>
      <c r="I6" s="4" t="s">
        <v>15</v>
      </c>
      <c r="J6" s="5">
        <v>341203.36000000016</v>
      </c>
      <c r="K6" s="5">
        <v>289037.66000000003</v>
      </c>
      <c r="L6" s="5">
        <v>150926.37999999998</v>
      </c>
      <c r="M6" s="5">
        <v>781167.40000000026</v>
      </c>
    </row>
    <row r="7" spans="1:13" x14ac:dyDescent="0.25">
      <c r="A7" s="7">
        <v>44931</v>
      </c>
      <c r="B7" s="5">
        <v>15796.93</v>
      </c>
      <c r="C7" s="5">
        <v>4739.08</v>
      </c>
      <c r="E7" s="4" t="s">
        <v>71</v>
      </c>
      <c r="F7" s="5">
        <v>956078.51999999955</v>
      </c>
      <c r="G7" s="5">
        <v>286823.54999999993</v>
      </c>
      <c r="I7" s="4" t="s">
        <v>48</v>
      </c>
      <c r="J7" s="5">
        <v>312075.21999999991</v>
      </c>
      <c r="K7" s="5">
        <v>337387.41999999993</v>
      </c>
      <c r="L7" s="5">
        <v>131282.74999999997</v>
      </c>
      <c r="M7" s="5">
        <v>780745.3899999999</v>
      </c>
    </row>
    <row r="8" spans="1:13" x14ac:dyDescent="0.25">
      <c r="A8" s="7">
        <v>44932</v>
      </c>
      <c r="B8" s="5">
        <v>1460.07</v>
      </c>
      <c r="C8" s="5">
        <v>438.02</v>
      </c>
      <c r="E8" s="4" t="s">
        <v>3971</v>
      </c>
      <c r="F8" s="5">
        <v>5138308.9800000023</v>
      </c>
      <c r="G8" s="5">
        <v>1541492.7799999993</v>
      </c>
      <c r="I8" s="4" t="s">
        <v>22</v>
      </c>
      <c r="J8" s="5">
        <v>224973.33999999997</v>
      </c>
      <c r="K8" s="5">
        <v>205539.98999999993</v>
      </c>
      <c r="L8" s="5">
        <v>153908.94</v>
      </c>
      <c r="M8" s="5">
        <v>584422.2699999999</v>
      </c>
    </row>
    <row r="9" spans="1:13" x14ac:dyDescent="0.25">
      <c r="A9" s="7">
        <v>44933</v>
      </c>
      <c r="B9" s="5">
        <v>7384.38</v>
      </c>
      <c r="C9" s="5">
        <v>2215.3100000000004</v>
      </c>
      <c r="I9" s="4" t="s">
        <v>41</v>
      </c>
      <c r="J9" s="5">
        <v>259451.48000000007</v>
      </c>
      <c r="K9" s="5">
        <v>388790.22000000003</v>
      </c>
      <c r="L9" s="5">
        <v>183785.74999999997</v>
      </c>
      <c r="M9" s="5">
        <v>832027.45000000007</v>
      </c>
    </row>
    <row r="10" spans="1:13" x14ac:dyDescent="0.25">
      <c r="A10" s="7">
        <v>44934</v>
      </c>
      <c r="B10" s="5">
        <v>3490.02</v>
      </c>
      <c r="C10" s="5">
        <v>1047.01</v>
      </c>
      <c r="E10" s="3" t="s">
        <v>3970</v>
      </c>
      <c r="F10" t="s">
        <v>3969</v>
      </c>
      <c r="I10" s="4" t="s">
        <v>91</v>
      </c>
      <c r="J10" s="5">
        <v>317373.11000000016</v>
      </c>
      <c r="K10" s="5">
        <v>335842.15000000008</v>
      </c>
      <c r="L10" s="5">
        <v>153873.23000000004</v>
      </c>
      <c r="M10" s="5">
        <v>807088.49000000022</v>
      </c>
    </row>
    <row r="11" spans="1:13" x14ac:dyDescent="0.25">
      <c r="A11" s="7">
        <v>44935</v>
      </c>
      <c r="B11" s="5">
        <v>7300.68</v>
      </c>
      <c r="C11" s="5">
        <v>2190.21</v>
      </c>
      <c r="E11" s="4" t="s">
        <v>3966</v>
      </c>
      <c r="F11" s="5">
        <v>2816020.2999999956</v>
      </c>
      <c r="I11" s="4" t="s">
        <v>3971</v>
      </c>
      <c r="J11" s="5">
        <v>1979026.5400000003</v>
      </c>
      <c r="K11" s="5">
        <v>2057108.6700000002</v>
      </c>
      <c r="L11" s="5">
        <v>1102173.77</v>
      </c>
      <c r="M11" s="5">
        <v>5138308.9800000004</v>
      </c>
    </row>
    <row r="12" spans="1:13" x14ac:dyDescent="0.25">
      <c r="A12" s="7">
        <v>44936</v>
      </c>
      <c r="B12" s="5">
        <v>19486.009999999998</v>
      </c>
      <c r="C12" s="5">
        <v>5845.82</v>
      </c>
      <c r="E12" s="4" t="s">
        <v>3967</v>
      </c>
      <c r="F12" s="5">
        <v>1430529.5600000003</v>
      </c>
    </row>
    <row r="13" spans="1:13" x14ac:dyDescent="0.25">
      <c r="A13" s="7">
        <v>44937</v>
      </c>
      <c r="B13" s="5">
        <v>14476.119999999999</v>
      </c>
      <c r="C13" s="5">
        <v>4342.84</v>
      </c>
      <c r="E13" s="4" t="s">
        <v>3968</v>
      </c>
      <c r="F13" s="5">
        <v>891759.11999999965</v>
      </c>
    </row>
    <row r="14" spans="1:13" x14ac:dyDescent="0.25">
      <c r="A14" s="7">
        <v>44939</v>
      </c>
      <c r="B14" s="5">
        <v>3483.68</v>
      </c>
      <c r="C14" s="5">
        <v>1045.1100000000001</v>
      </c>
      <c r="E14" s="4" t="s">
        <v>3971</v>
      </c>
      <c r="F14" s="5">
        <v>5138308.9799999949</v>
      </c>
    </row>
    <row r="15" spans="1:13" x14ac:dyDescent="0.25">
      <c r="A15" s="7">
        <v>44940</v>
      </c>
      <c r="B15" s="5">
        <v>3466.37</v>
      </c>
      <c r="C15" s="5">
        <v>1039.9100000000001</v>
      </c>
    </row>
    <row r="16" spans="1:13" x14ac:dyDescent="0.25">
      <c r="A16" s="7">
        <v>44941</v>
      </c>
      <c r="B16" s="5">
        <v>2775</v>
      </c>
      <c r="C16" s="5">
        <v>832.5</v>
      </c>
    </row>
    <row r="17" spans="1:3" x14ac:dyDescent="0.25">
      <c r="A17" s="7">
        <v>44942</v>
      </c>
      <c r="B17" s="5">
        <v>12822.64</v>
      </c>
      <c r="C17" s="5">
        <v>3846.79</v>
      </c>
    </row>
    <row r="18" spans="1:3" x14ac:dyDescent="0.25">
      <c r="A18" s="7">
        <v>44943</v>
      </c>
      <c r="B18" s="5">
        <v>3187.36</v>
      </c>
      <c r="C18" s="5">
        <v>956.21</v>
      </c>
    </row>
    <row r="19" spans="1:3" x14ac:dyDescent="0.25">
      <c r="A19" s="7">
        <v>44944</v>
      </c>
      <c r="B19" s="5">
        <v>228.38</v>
      </c>
      <c r="C19" s="5">
        <v>68.52</v>
      </c>
    </row>
    <row r="20" spans="1:3" x14ac:dyDescent="0.25">
      <c r="A20" s="7">
        <v>44945</v>
      </c>
      <c r="B20" s="5">
        <v>2219.44</v>
      </c>
      <c r="C20" s="5">
        <v>665.83</v>
      </c>
    </row>
    <row r="21" spans="1:3" x14ac:dyDescent="0.25">
      <c r="A21" s="7">
        <v>44946</v>
      </c>
      <c r="B21" s="5">
        <v>9856.24</v>
      </c>
      <c r="C21" s="5">
        <v>2956.87</v>
      </c>
    </row>
    <row r="22" spans="1:3" x14ac:dyDescent="0.25">
      <c r="A22" s="7">
        <v>44947</v>
      </c>
      <c r="B22" s="5">
        <v>3850.58</v>
      </c>
      <c r="C22" s="5">
        <v>1155.17</v>
      </c>
    </row>
    <row r="23" spans="1:3" x14ac:dyDescent="0.25">
      <c r="A23" s="7">
        <v>44948</v>
      </c>
      <c r="B23" s="5">
        <v>3877.1000000000004</v>
      </c>
      <c r="C23" s="5">
        <v>1163.1199999999999</v>
      </c>
    </row>
    <row r="24" spans="1:3" x14ac:dyDescent="0.25">
      <c r="A24" s="7">
        <v>44950</v>
      </c>
      <c r="B24" s="5">
        <v>8084.5800000000008</v>
      </c>
      <c r="C24" s="5">
        <v>2425.37</v>
      </c>
    </row>
    <row r="25" spans="1:3" x14ac:dyDescent="0.25">
      <c r="A25" s="7">
        <v>44951</v>
      </c>
      <c r="B25" s="5">
        <v>1079.5</v>
      </c>
      <c r="C25" s="5">
        <v>323.85000000000002</v>
      </c>
    </row>
    <row r="26" spans="1:3" x14ac:dyDescent="0.25">
      <c r="A26" s="7">
        <v>44952</v>
      </c>
      <c r="B26" s="5">
        <v>4295.9799999999996</v>
      </c>
      <c r="C26" s="5">
        <v>1288.79</v>
      </c>
    </row>
    <row r="27" spans="1:3" x14ac:dyDescent="0.25">
      <c r="A27" s="7">
        <v>44953</v>
      </c>
      <c r="B27" s="5">
        <v>3923.77</v>
      </c>
      <c r="C27" s="5">
        <v>1177.1300000000001</v>
      </c>
    </row>
    <row r="28" spans="1:3" x14ac:dyDescent="0.25">
      <c r="A28" s="7">
        <v>44955</v>
      </c>
      <c r="B28" s="5">
        <v>22085.919999999998</v>
      </c>
      <c r="C28" s="5">
        <v>6625.8</v>
      </c>
    </row>
    <row r="29" spans="1:3" x14ac:dyDescent="0.25">
      <c r="A29" s="7">
        <v>44956</v>
      </c>
      <c r="B29" s="5">
        <v>3497.33</v>
      </c>
      <c r="C29" s="5">
        <v>1049.2</v>
      </c>
    </row>
    <row r="30" spans="1:3" x14ac:dyDescent="0.25">
      <c r="A30" s="7">
        <v>44957</v>
      </c>
      <c r="B30" s="5">
        <v>1642.18</v>
      </c>
      <c r="C30" s="5">
        <v>492.65</v>
      </c>
    </row>
    <row r="31" spans="1:3" x14ac:dyDescent="0.25">
      <c r="A31" s="7">
        <v>44958</v>
      </c>
      <c r="B31" s="5">
        <v>4960.78</v>
      </c>
      <c r="C31" s="5">
        <v>1488.24</v>
      </c>
    </row>
    <row r="32" spans="1:3" x14ac:dyDescent="0.25">
      <c r="A32" s="7">
        <v>44959</v>
      </c>
      <c r="B32" s="5">
        <v>5008.1499999999996</v>
      </c>
      <c r="C32" s="5">
        <v>1502.4499999999998</v>
      </c>
    </row>
    <row r="33" spans="1:3" x14ac:dyDescent="0.25">
      <c r="A33" s="7">
        <v>44960</v>
      </c>
      <c r="B33" s="5">
        <v>17151.25</v>
      </c>
      <c r="C33" s="5">
        <v>5145.38</v>
      </c>
    </row>
    <row r="34" spans="1:3" x14ac:dyDescent="0.25">
      <c r="A34" s="7">
        <v>44961</v>
      </c>
      <c r="B34" s="5">
        <v>564.13</v>
      </c>
      <c r="C34" s="5">
        <v>169.24</v>
      </c>
    </row>
    <row r="35" spans="1:3" x14ac:dyDescent="0.25">
      <c r="A35" s="7">
        <v>44962</v>
      </c>
      <c r="B35" s="5">
        <v>6056.64</v>
      </c>
      <c r="C35" s="5">
        <v>1816.99</v>
      </c>
    </row>
    <row r="36" spans="1:3" x14ac:dyDescent="0.25">
      <c r="A36" s="7">
        <v>44963</v>
      </c>
      <c r="B36" s="5">
        <v>6543.9</v>
      </c>
      <c r="C36" s="5">
        <v>1963.17</v>
      </c>
    </row>
    <row r="37" spans="1:3" x14ac:dyDescent="0.25">
      <c r="A37" s="7">
        <v>44964</v>
      </c>
      <c r="B37" s="5">
        <v>7717.01</v>
      </c>
      <c r="C37" s="5">
        <v>2315.1000000000004</v>
      </c>
    </row>
    <row r="38" spans="1:3" x14ac:dyDescent="0.25">
      <c r="A38" s="7">
        <v>44965</v>
      </c>
      <c r="B38" s="5">
        <v>20936.18</v>
      </c>
      <c r="C38" s="5">
        <v>6280.86</v>
      </c>
    </row>
    <row r="39" spans="1:3" x14ac:dyDescent="0.25">
      <c r="A39" s="7">
        <v>44966</v>
      </c>
      <c r="B39" s="5">
        <v>1029.6199999999999</v>
      </c>
      <c r="C39" s="5">
        <v>308.88</v>
      </c>
    </row>
    <row r="40" spans="1:3" x14ac:dyDescent="0.25">
      <c r="A40" s="7">
        <v>44968</v>
      </c>
      <c r="B40" s="5">
        <v>13970.39</v>
      </c>
      <c r="C40" s="5">
        <v>4191.1099999999997</v>
      </c>
    </row>
    <row r="41" spans="1:3" x14ac:dyDescent="0.25">
      <c r="A41" s="7">
        <v>44970</v>
      </c>
      <c r="B41" s="5">
        <v>4427.7</v>
      </c>
      <c r="C41" s="5">
        <v>1328.31</v>
      </c>
    </row>
    <row r="42" spans="1:3" x14ac:dyDescent="0.25">
      <c r="A42" s="7">
        <v>44971</v>
      </c>
      <c r="B42" s="5">
        <v>10351.9</v>
      </c>
      <c r="C42" s="5">
        <v>3105.57</v>
      </c>
    </row>
    <row r="43" spans="1:3" x14ac:dyDescent="0.25">
      <c r="A43" s="7">
        <v>44972</v>
      </c>
      <c r="B43" s="5">
        <v>7084.7</v>
      </c>
      <c r="C43" s="5">
        <v>2125.41</v>
      </c>
    </row>
    <row r="44" spans="1:3" x14ac:dyDescent="0.25">
      <c r="A44" s="7">
        <v>44974</v>
      </c>
      <c r="B44" s="5">
        <v>1867.83</v>
      </c>
      <c r="C44" s="5">
        <v>560.35</v>
      </c>
    </row>
    <row r="45" spans="1:3" x14ac:dyDescent="0.25">
      <c r="A45" s="7">
        <v>44977</v>
      </c>
      <c r="B45" s="5">
        <v>1685.79</v>
      </c>
      <c r="C45" s="5">
        <v>505.74</v>
      </c>
    </row>
    <row r="46" spans="1:3" x14ac:dyDescent="0.25">
      <c r="A46" s="7">
        <v>44978</v>
      </c>
      <c r="B46" s="5">
        <v>4462.3100000000004</v>
      </c>
      <c r="C46" s="5">
        <v>1338.69</v>
      </c>
    </row>
    <row r="47" spans="1:3" x14ac:dyDescent="0.25">
      <c r="A47" s="7">
        <v>44979</v>
      </c>
      <c r="B47" s="5">
        <v>4676.24</v>
      </c>
      <c r="C47" s="5">
        <v>1402.87</v>
      </c>
    </row>
    <row r="48" spans="1:3" x14ac:dyDescent="0.25">
      <c r="A48" s="7">
        <v>44980</v>
      </c>
      <c r="B48" s="5">
        <v>26317.51</v>
      </c>
      <c r="C48" s="5">
        <v>7895.25</v>
      </c>
    </row>
    <row r="49" spans="1:3" x14ac:dyDescent="0.25">
      <c r="A49" s="7">
        <v>44981</v>
      </c>
      <c r="B49" s="5">
        <v>3107.04</v>
      </c>
      <c r="C49" s="5">
        <v>932.11</v>
      </c>
    </row>
    <row r="50" spans="1:3" x14ac:dyDescent="0.25">
      <c r="A50" s="7">
        <v>44983</v>
      </c>
      <c r="B50" s="5">
        <v>17154.940000000002</v>
      </c>
      <c r="C50" s="5">
        <v>5146.49</v>
      </c>
    </row>
    <row r="51" spans="1:3" x14ac:dyDescent="0.25">
      <c r="A51" s="7">
        <v>44984</v>
      </c>
      <c r="B51" s="5">
        <v>833.69</v>
      </c>
      <c r="C51" s="5">
        <v>250.10000000000002</v>
      </c>
    </row>
    <row r="52" spans="1:3" x14ac:dyDescent="0.25">
      <c r="A52" s="7">
        <v>44986</v>
      </c>
      <c r="B52" s="5">
        <v>351.03</v>
      </c>
      <c r="C52" s="5">
        <v>105.30000000000001</v>
      </c>
    </row>
    <row r="53" spans="1:3" x14ac:dyDescent="0.25">
      <c r="A53" s="7">
        <v>44987</v>
      </c>
      <c r="B53" s="5">
        <v>2244.2399999999998</v>
      </c>
      <c r="C53" s="5">
        <v>673.27</v>
      </c>
    </row>
    <row r="54" spans="1:3" x14ac:dyDescent="0.25">
      <c r="A54" s="7">
        <v>44988</v>
      </c>
      <c r="B54" s="5">
        <v>22986.14</v>
      </c>
      <c r="C54" s="5">
        <v>6895.84</v>
      </c>
    </row>
    <row r="55" spans="1:3" x14ac:dyDescent="0.25">
      <c r="A55" s="7">
        <v>44989</v>
      </c>
      <c r="B55" s="5">
        <v>19967.669999999998</v>
      </c>
      <c r="C55" s="5">
        <v>5990.3</v>
      </c>
    </row>
    <row r="56" spans="1:3" x14ac:dyDescent="0.25">
      <c r="A56" s="7">
        <v>44990</v>
      </c>
      <c r="B56" s="5">
        <v>12225.060000000001</v>
      </c>
      <c r="C56" s="5">
        <v>3667.51</v>
      </c>
    </row>
    <row r="57" spans="1:3" x14ac:dyDescent="0.25">
      <c r="A57" s="7">
        <v>44992</v>
      </c>
      <c r="B57" s="5">
        <v>8830.82</v>
      </c>
      <c r="C57" s="5">
        <v>2649.24</v>
      </c>
    </row>
    <row r="58" spans="1:3" x14ac:dyDescent="0.25">
      <c r="A58" s="7">
        <v>44993</v>
      </c>
      <c r="B58" s="5">
        <v>6183.52</v>
      </c>
      <c r="C58" s="5">
        <v>1855.06</v>
      </c>
    </row>
    <row r="59" spans="1:3" x14ac:dyDescent="0.25">
      <c r="A59" s="7">
        <v>44996</v>
      </c>
      <c r="B59" s="5">
        <v>478.99</v>
      </c>
      <c r="C59" s="5">
        <v>143.69999999999999</v>
      </c>
    </row>
    <row r="60" spans="1:3" x14ac:dyDescent="0.25">
      <c r="A60" s="7">
        <v>44997</v>
      </c>
      <c r="B60" s="5">
        <v>16488.839999999997</v>
      </c>
      <c r="C60" s="5">
        <v>4946.66</v>
      </c>
    </row>
    <row r="61" spans="1:3" x14ac:dyDescent="0.25">
      <c r="A61" s="7">
        <v>44998</v>
      </c>
      <c r="B61" s="5">
        <v>5968.3899999999994</v>
      </c>
      <c r="C61" s="5">
        <v>1790.52</v>
      </c>
    </row>
    <row r="62" spans="1:3" x14ac:dyDescent="0.25">
      <c r="A62" s="7">
        <v>44999</v>
      </c>
      <c r="B62" s="5">
        <v>2580.77</v>
      </c>
      <c r="C62" s="5">
        <v>774.23</v>
      </c>
    </row>
    <row r="63" spans="1:3" x14ac:dyDescent="0.25">
      <c r="A63" s="7">
        <v>45000</v>
      </c>
      <c r="B63" s="5">
        <v>3092.12</v>
      </c>
      <c r="C63" s="5">
        <v>927.64</v>
      </c>
    </row>
    <row r="64" spans="1:3" x14ac:dyDescent="0.25">
      <c r="A64" s="7">
        <v>45001</v>
      </c>
      <c r="B64" s="5">
        <v>23679.920000000002</v>
      </c>
      <c r="C64" s="5">
        <v>7103.9800000000014</v>
      </c>
    </row>
    <row r="65" spans="1:3" x14ac:dyDescent="0.25">
      <c r="A65" s="7">
        <v>45002</v>
      </c>
      <c r="B65" s="5">
        <v>772.08</v>
      </c>
      <c r="C65" s="5">
        <v>231.62</v>
      </c>
    </row>
    <row r="66" spans="1:3" x14ac:dyDescent="0.25">
      <c r="A66" s="7">
        <v>45003</v>
      </c>
      <c r="B66" s="5">
        <v>14149.75</v>
      </c>
      <c r="C66" s="5">
        <v>4244.92</v>
      </c>
    </row>
    <row r="67" spans="1:3" x14ac:dyDescent="0.25">
      <c r="A67" s="7">
        <v>45004</v>
      </c>
      <c r="B67" s="5">
        <v>6524.4400000000005</v>
      </c>
      <c r="C67" s="5">
        <v>1957.33</v>
      </c>
    </row>
    <row r="68" spans="1:3" x14ac:dyDescent="0.25">
      <c r="A68" s="7">
        <v>45005</v>
      </c>
      <c r="B68" s="5">
        <v>11278.81</v>
      </c>
      <c r="C68" s="5">
        <v>3383.64</v>
      </c>
    </row>
    <row r="69" spans="1:3" x14ac:dyDescent="0.25">
      <c r="A69" s="7">
        <v>45006</v>
      </c>
      <c r="B69" s="5">
        <v>6016.53</v>
      </c>
      <c r="C69" s="5">
        <v>1804.96</v>
      </c>
    </row>
    <row r="70" spans="1:3" x14ac:dyDescent="0.25">
      <c r="A70" s="7">
        <v>45007</v>
      </c>
      <c r="B70" s="5">
        <v>2817.32</v>
      </c>
      <c r="C70" s="5">
        <v>845.19</v>
      </c>
    </row>
    <row r="71" spans="1:3" x14ac:dyDescent="0.25">
      <c r="A71" s="7">
        <v>45008</v>
      </c>
      <c r="B71" s="5">
        <v>3803.8099999999995</v>
      </c>
      <c r="C71" s="5">
        <v>1141.1399999999999</v>
      </c>
    </row>
    <row r="72" spans="1:3" x14ac:dyDescent="0.25">
      <c r="A72" s="7">
        <v>45009</v>
      </c>
      <c r="B72" s="5">
        <v>15216.79</v>
      </c>
      <c r="C72" s="5">
        <v>4565.04</v>
      </c>
    </row>
    <row r="73" spans="1:3" x14ac:dyDescent="0.25">
      <c r="A73" s="7">
        <v>45010</v>
      </c>
      <c r="B73" s="5">
        <v>5777.96</v>
      </c>
      <c r="C73" s="5">
        <v>1733.39</v>
      </c>
    </row>
    <row r="74" spans="1:3" x14ac:dyDescent="0.25">
      <c r="A74" s="7">
        <v>45011</v>
      </c>
      <c r="B74" s="5">
        <v>3075.3</v>
      </c>
      <c r="C74" s="5">
        <v>922.59</v>
      </c>
    </row>
    <row r="75" spans="1:3" x14ac:dyDescent="0.25">
      <c r="A75" s="7">
        <v>45012</v>
      </c>
      <c r="B75" s="5">
        <v>8534.2200000000012</v>
      </c>
      <c r="C75" s="5">
        <v>2560.27</v>
      </c>
    </row>
    <row r="76" spans="1:3" x14ac:dyDescent="0.25">
      <c r="A76" s="7">
        <v>45014</v>
      </c>
      <c r="B76" s="5">
        <v>17653.830000000002</v>
      </c>
      <c r="C76" s="5">
        <v>5296.1399999999994</v>
      </c>
    </row>
    <row r="77" spans="1:3" x14ac:dyDescent="0.25">
      <c r="A77" s="7">
        <v>45015</v>
      </c>
      <c r="B77" s="5">
        <v>6404.91</v>
      </c>
      <c r="C77" s="5">
        <v>1921.48</v>
      </c>
    </row>
    <row r="78" spans="1:3" x14ac:dyDescent="0.25">
      <c r="A78" s="7">
        <v>45016</v>
      </c>
      <c r="B78" s="5">
        <v>5533.85</v>
      </c>
      <c r="C78" s="5">
        <v>1660.15</v>
      </c>
    </row>
    <row r="79" spans="1:3" x14ac:dyDescent="0.25">
      <c r="A79" s="7">
        <v>45018</v>
      </c>
      <c r="B79" s="5">
        <v>5110.43</v>
      </c>
      <c r="C79" s="5">
        <v>1533.13</v>
      </c>
    </row>
    <row r="80" spans="1:3" x14ac:dyDescent="0.25">
      <c r="A80" s="7">
        <v>45021</v>
      </c>
      <c r="B80" s="5">
        <v>9426.33</v>
      </c>
      <c r="C80" s="5">
        <v>2827.9</v>
      </c>
    </row>
    <row r="81" spans="1:3" x14ac:dyDescent="0.25">
      <c r="A81" s="7">
        <v>45022</v>
      </c>
      <c r="B81" s="5">
        <v>7626.53</v>
      </c>
      <c r="C81" s="5">
        <v>2287.9499999999998</v>
      </c>
    </row>
    <row r="82" spans="1:3" x14ac:dyDescent="0.25">
      <c r="A82" s="7">
        <v>45024</v>
      </c>
      <c r="B82" s="5">
        <v>7212.92</v>
      </c>
      <c r="C82" s="5">
        <v>2163.88</v>
      </c>
    </row>
    <row r="83" spans="1:3" x14ac:dyDescent="0.25">
      <c r="A83" s="7">
        <v>45026</v>
      </c>
      <c r="B83" s="5">
        <v>4007.48</v>
      </c>
      <c r="C83" s="5">
        <v>1202.24</v>
      </c>
    </row>
    <row r="84" spans="1:3" x14ac:dyDescent="0.25">
      <c r="A84" s="7">
        <v>45027</v>
      </c>
      <c r="B84" s="5">
        <v>1313.6</v>
      </c>
      <c r="C84" s="5">
        <v>394.08</v>
      </c>
    </row>
    <row r="85" spans="1:3" x14ac:dyDescent="0.25">
      <c r="A85" s="7">
        <v>45028</v>
      </c>
      <c r="B85" s="5">
        <v>14131.59</v>
      </c>
      <c r="C85" s="5">
        <v>4239.4799999999996</v>
      </c>
    </row>
    <row r="86" spans="1:3" x14ac:dyDescent="0.25">
      <c r="A86" s="7">
        <v>45029</v>
      </c>
      <c r="B86" s="5">
        <v>336.68</v>
      </c>
      <c r="C86" s="5">
        <v>101</v>
      </c>
    </row>
    <row r="87" spans="1:3" x14ac:dyDescent="0.25">
      <c r="A87" s="7">
        <v>45030</v>
      </c>
      <c r="B87" s="5">
        <v>9586.7999999999993</v>
      </c>
      <c r="C87" s="5">
        <v>2876.04</v>
      </c>
    </row>
    <row r="88" spans="1:3" x14ac:dyDescent="0.25">
      <c r="A88" s="7">
        <v>45031</v>
      </c>
      <c r="B88" s="5">
        <v>16421.82</v>
      </c>
      <c r="C88" s="5">
        <v>4926.54</v>
      </c>
    </row>
    <row r="89" spans="1:3" x14ac:dyDescent="0.25">
      <c r="A89" s="7">
        <v>45033</v>
      </c>
      <c r="B89" s="5">
        <v>8481.3799999999992</v>
      </c>
      <c r="C89" s="5">
        <v>2544.42</v>
      </c>
    </row>
    <row r="90" spans="1:3" x14ac:dyDescent="0.25">
      <c r="A90" s="7">
        <v>45034</v>
      </c>
      <c r="B90" s="5">
        <v>11789.7</v>
      </c>
      <c r="C90" s="5">
        <v>3536.91</v>
      </c>
    </row>
    <row r="91" spans="1:3" x14ac:dyDescent="0.25">
      <c r="A91" s="7">
        <v>45036</v>
      </c>
      <c r="B91" s="5">
        <v>3174.6</v>
      </c>
      <c r="C91" s="5">
        <v>952.38</v>
      </c>
    </row>
    <row r="92" spans="1:3" x14ac:dyDescent="0.25">
      <c r="A92" s="7">
        <v>45038</v>
      </c>
      <c r="B92" s="5">
        <v>20606.04</v>
      </c>
      <c r="C92" s="5">
        <v>6181.8099999999995</v>
      </c>
    </row>
    <row r="93" spans="1:3" x14ac:dyDescent="0.25">
      <c r="A93" s="7">
        <v>45039</v>
      </c>
      <c r="B93" s="5">
        <v>7996.17</v>
      </c>
      <c r="C93" s="5">
        <v>2398.85</v>
      </c>
    </row>
    <row r="94" spans="1:3" x14ac:dyDescent="0.25">
      <c r="A94" s="7">
        <v>45041</v>
      </c>
      <c r="B94" s="5">
        <v>2277.52</v>
      </c>
      <c r="C94" s="5">
        <v>683.25</v>
      </c>
    </row>
    <row r="95" spans="1:3" x14ac:dyDescent="0.25">
      <c r="A95" s="7">
        <v>45042</v>
      </c>
      <c r="B95" s="5">
        <v>11702.67</v>
      </c>
      <c r="C95" s="5">
        <v>3510.8</v>
      </c>
    </row>
    <row r="96" spans="1:3" x14ac:dyDescent="0.25">
      <c r="A96" s="7">
        <v>45043</v>
      </c>
      <c r="B96" s="5">
        <v>15044.469999999998</v>
      </c>
      <c r="C96" s="5">
        <v>4513.34</v>
      </c>
    </row>
    <row r="97" spans="1:3" x14ac:dyDescent="0.25">
      <c r="A97" s="7">
        <v>45044</v>
      </c>
      <c r="B97" s="5">
        <v>9415.32</v>
      </c>
      <c r="C97" s="5">
        <v>2824.59</v>
      </c>
    </row>
    <row r="98" spans="1:3" x14ac:dyDescent="0.25">
      <c r="A98" s="7">
        <v>45045</v>
      </c>
      <c r="B98" s="5">
        <v>7628.09</v>
      </c>
      <c r="C98" s="5">
        <v>2288.44</v>
      </c>
    </row>
    <row r="99" spans="1:3" x14ac:dyDescent="0.25">
      <c r="A99" s="7">
        <v>45046</v>
      </c>
      <c r="B99" s="5">
        <v>6281.84</v>
      </c>
      <c r="C99" s="5">
        <v>1884.55</v>
      </c>
    </row>
    <row r="100" spans="1:3" x14ac:dyDescent="0.25">
      <c r="A100" s="7">
        <v>45048</v>
      </c>
      <c r="B100" s="5">
        <v>16343.310000000001</v>
      </c>
      <c r="C100" s="5">
        <v>4902.99</v>
      </c>
    </row>
    <row r="101" spans="1:3" x14ac:dyDescent="0.25">
      <c r="A101" s="7">
        <v>45049</v>
      </c>
      <c r="B101" s="5">
        <v>175.5</v>
      </c>
      <c r="C101" s="5">
        <v>52.65</v>
      </c>
    </row>
    <row r="102" spans="1:3" x14ac:dyDescent="0.25">
      <c r="A102" s="7">
        <v>45050</v>
      </c>
      <c r="B102" s="5">
        <v>716.04</v>
      </c>
      <c r="C102" s="5">
        <v>214.81</v>
      </c>
    </row>
    <row r="103" spans="1:3" x14ac:dyDescent="0.25">
      <c r="A103" s="7">
        <v>45051</v>
      </c>
      <c r="B103" s="5">
        <v>7804.22</v>
      </c>
      <c r="C103" s="5">
        <v>2341.27</v>
      </c>
    </row>
    <row r="104" spans="1:3" x14ac:dyDescent="0.25">
      <c r="A104" s="7">
        <v>45052</v>
      </c>
      <c r="B104" s="5">
        <v>9055.5500000000011</v>
      </c>
      <c r="C104" s="5">
        <v>2716.66</v>
      </c>
    </row>
    <row r="105" spans="1:3" x14ac:dyDescent="0.25">
      <c r="A105" s="7">
        <v>45053</v>
      </c>
      <c r="B105" s="5">
        <v>551.35</v>
      </c>
      <c r="C105" s="5">
        <v>165.41</v>
      </c>
    </row>
    <row r="106" spans="1:3" x14ac:dyDescent="0.25">
      <c r="A106" s="7">
        <v>45055</v>
      </c>
      <c r="B106" s="5">
        <v>424.86</v>
      </c>
      <c r="C106" s="5">
        <v>127.46</v>
      </c>
    </row>
    <row r="107" spans="1:3" x14ac:dyDescent="0.25">
      <c r="A107" s="7">
        <v>45056</v>
      </c>
      <c r="B107" s="5">
        <v>24318.590000000004</v>
      </c>
      <c r="C107" s="5">
        <v>7295.5700000000006</v>
      </c>
    </row>
    <row r="108" spans="1:3" x14ac:dyDescent="0.25">
      <c r="A108" s="7">
        <v>45057</v>
      </c>
      <c r="B108" s="5">
        <v>868.14</v>
      </c>
      <c r="C108" s="5">
        <v>260.44</v>
      </c>
    </row>
    <row r="109" spans="1:3" x14ac:dyDescent="0.25">
      <c r="A109" s="7">
        <v>45058</v>
      </c>
      <c r="B109" s="5">
        <v>7232</v>
      </c>
      <c r="C109" s="5">
        <v>2169.59</v>
      </c>
    </row>
    <row r="110" spans="1:3" x14ac:dyDescent="0.25">
      <c r="A110" s="7">
        <v>45059</v>
      </c>
      <c r="B110" s="5">
        <v>11127.34</v>
      </c>
      <c r="C110" s="5">
        <v>3338.2</v>
      </c>
    </row>
    <row r="111" spans="1:3" x14ac:dyDescent="0.25">
      <c r="A111" s="7">
        <v>45060</v>
      </c>
      <c r="B111" s="5">
        <v>7568.6</v>
      </c>
      <c r="C111" s="5">
        <v>2270.58</v>
      </c>
    </row>
    <row r="112" spans="1:3" x14ac:dyDescent="0.25">
      <c r="A112" s="7">
        <v>45062</v>
      </c>
      <c r="B112" s="5">
        <v>306.58</v>
      </c>
      <c r="C112" s="5">
        <v>91.97</v>
      </c>
    </row>
    <row r="113" spans="1:3" x14ac:dyDescent="0.25">
      <c r="A113" s="7">
        <v>45063</v>
      </c>
      <c r="B113" s="5">
        <v>859.79</v>
      </c>
      <c r="C113" s="5">
        <v>257.94</v>
      </c>
    </row>
    <row r="114" spans="1:3" x14ac:dyDescent="0.25">
      <c r="A114" s="7">
        <v>45065</v>
      </c>
      <c r="B114" s="5">
        <v>2487</v>
      </c>
      <c r="C114" s="5">
        <v>746.1</v>
      </c>
    </row>
    <row r="115" spans="1:3" x14ac:dyDescent="0.25">
      <c r="A115" s="7">
        <v>45066</v>
      </c>
      <c r="B115" s="5">
        <v>3880.37</v>
      </c>
      <c r="C115" s="5">
        <v>1164.1100000000001</v>
      </c>
    </row>
    <row r="116" spans="1:3" x14ac:dyDescent="0.25">
      <c r="A116" s="7">
        <v>45067</v>
      </c>
      <c r="B116" s="5">
        <v>2058.41</v>
      </c>
      <c r="C116" s="5">
        <v>617.52</v>
      </c>
    </row>
    <row r="117" spans="1:3" x14ac:dyDescent="0.25">
      <c r="A117" s="7">
        <v>45069</v>
      </c>
      <c r="B117" s="5">
        <v>4895.0200000000004</v>
      </c>
      <c r="C117" s="5">
        <v>1468.5</v>
      </c>
    </row>
    <row r="118" spans="1:3" x14ac:dyDescent="0.25">
      <c r="A118" s="7">
        <v>45070</v>
      </c>
      <c r="B118" s="5">
        <v>12751.36</v>
      </c>
      <c r="C118" s="5">
        <v>3825.4099999999994</v>
      </c>
    </row>
    <row r="119" spans="1:3" x14ac:dyDescent="0.25">
      <c r="A119" s="7">
        <v>45071</v>
      </c>
      <c r="B119" s="5">
        <v>8991.15</v>
      </c>
      <c r="C119" s="5">
        <v>2697.35</v>
      </c>
    </row>
    <row r="120" spans="1:3" x14ac:dyDescent="0.25">
      <c r="A120" s="7">
        <v>45072</v>
      </c>
      <c r="B120" s="5">
        <v>1314.36</v>
      </c>
      <c r="C120" s="5">
        <v>394.31</v>
      </c>
    </row>
    <row r="121" spans="1:3" x14ac:dyDescent="0.25">
      <c r="A121" s="7">
        <v>45073</v>
      </c>
      <c r="B121" s="5">
        <v>2435.5500000000002</v>
      </c>
      <c r="C121" s="5">
        <v>730.67</v>
      </c>
    </row>
    <row r="122" spans="1:3" x14ac:dyDescent="0.25">
      <c r="A122" s="7">
        <v>45074</v>
      </c>
      <c r="B122" s="5">
        <v>9009.7200000000012</v>
      </c>
      <c r="C122" s="5">
        <v>2702.92</v>
      </c>
    </row>
    <row r="123" spans="1:3" x14ac:dyDescent="0.25">
      <c r="A123" s="7">
        <v>45075</v>
      </c>
      <c r="B123" s="5">
        <v>909.23</v>
      </c>
      <c r="C123" s="5">
        <v>272.77</v>
      </c>
    </row>
    <row r="124" spans="1:3" x14ac:dyDescent="0.25">
      <c r="A124" s="7">
        <v>45076</v>
      </c>
      <c r="B124" s="5">
        <v>811.98</v>
      </c>
      <c r="C124" s="5">
        <v>243.6</v>
      </c>
    </row>
    <row r="125" spans="1:3" x14ac:dyDescent="0.25">
      <c r="A125" s="7">
        <v>45078</v>
      </c>
      <c r="B125" s="5">
        <v>502.88</v>
      </c>
      <c r="C125" s="5">
        <v>150.87</v>
      </c>
    </row>
    <row r="126" spans="1:3" x14ac:dyDescent="0.25">
      <c r="A126" s="7">
        <v>45079</v>
      </c>
      <c r="B126" s="5">
        <v>1786.76</v>
      </c>
      <c r="C126" s="5">
        <v>536.02</v>
      </c>
    </row>
    <row r="127" spans="1:3" x14ac:dyDescent="0.25">
      <c r="A127" s="7">
        <v>45080</v>
      </c>
      <c r="B127" s="5">
        <v>146.80000000000001</v>
      </c>
      <c r="C127" s="5">
        <v>44.04</v>
      </c>
    </row>
    <row r="128" spans="1:3" x14ac:dyDescent="0.25">
      <c r="A128" s="7">
        <v>45082</v>
      </c>
      <c r="B128" s="5">
        <v>4138.3999999999996</v>
      </c>
      <c r="C128" s="5">
        <v>1241.52</v>
      </c>
    </row>
    <row r="129" spans="1:3" x14ac:dyDescent="0.25">
      <c r="A129" s="7">
        <v>45085</v>
      </c>
      <c r="B129" s="5">
        <v>1037.1600000000001</v>
      </c>
      <c r="C129" s="5">
        <v>311.14999999999998</v>
      </c>
    </row>
    <row r="130" spans="1:3" x14ac:dyDescent="0.25">
      <c r="A130" s="7">
        <v>45086</v>
      </c>
      <c r="B130" s="5">
        <v>1711.16</v>
      </c>
      <c r="C130" s="5">
        <v>513.34</v>
      </c>
    </row>
    <row r="131" spans="1:3" x14ac:dyDescent="0.25">
      <c r="A131" s="7">
        <v>45087</v>
      </c>
      <c r="B131" s="5">
        <v>636.79999999999995</v>
      </c>
      <c r="C131" s="5">
        <v>191.04</v>
      </c>
    </row>
    <row r="132" spans="1:3" x14ac:dyDescent="0.25">
      <c r="A132" s="7">
        <v>45089</v>
      </c>
      <c r="B132" s="5">
        <v>2413.44</v>
      </c>
      <c r="C132" s="5">
        <v>724.03</v>
      </c>
    </row>
    <row r="133" spans="1:3" x14ac:dyDescent="0.25">
      <c r="A133" s="7">
        <v>45090</v>
      </c>
      <c r="B133" s="5">
        <v>14961.22</v>
      </c>
      <c r="C133" s="5">
        <v>4488.3599999999997</v>
      </c>
    </row>
    <row r="134" spans="1:3" x14ac:dyDescent="0.25">
      <c r="A134" s="7">
        <v>45091</v>
      </c>
      <c r="B134" s="5">
        <v>5606.55</v>
      </c>
      <c r="C134" s="5">
        <v>1681.97</v>
      </c>
    </row>
    <row r="135" spans="1:3" x14ac:dyDescent="0.25">
      <c r="A135" s="7">
        <v>45094</v>
      </c>
      <c r="B135" s="5">
        <v>9735.61</v>
      </c>
      <c r="C135" s="5">
        <v>2920.67</v>
      </c>
    </row>
    <row r="136" spans="1:3" x14ac:dyDescent="0.25">
      <c r="A136" s="7">
        <v>45095</v>
      </c>
      <c r="B136" s="5">
        <v>4409.2199999999993</v>
      </c>
      <c r="C136" s="5">
        <v>1322.76</v>
      </c>
    </row>
    <row r="137" spans="1:3" x14ac:dyDescent="0.25">
      <c r="A137" s="7">
        <v>45096</v>
      </c>
      <c r="B137" s="5">
        <v>10536.939999999999</v>
      </c>
      <c r="C137" s="5">
        <v>3161.09</v>
      </c>
    </row>
    <row r="138" spans="1:3" x14ac:dyDescent="0.25">
      <c r="A138" s="7">
        <v>45097</v>
      </c>
      <c r="B138" s="5">
        <v>4314.53</v>
      </c>
      <c r="C138" s="5">
        <v>1294.3600000000001</v>
      </c>
    </row>
    <row r="139" spans="1:3" x14ac:dyDescent="0.25">
      <c r="A139" s="7">
        <v>45098</v>
      </c>
      <c r="B139" s="5">
        <v>12844.3</v>
      </c>
      <c r="C139" s="5">
        <v>3853.29</v>
      </c>
    </row>
    <row r="140" spans="1:3" x14ac:dyDescent="0.25">
      <c r="A140" s="7">
        <v>45099</v>
      </c>
      <c r="B140" s="5">
        <v>4506.88</v>
      </c>
      <c r="C140" s="5">
        <v>1352.07</v>
      </c>
    </row>
    <row r="141" spans="1:3" x14ac:dyDescent="0.25">
      <c r="A141" s="7">
        <v>45100</v>
      </c>
      <c r="B141" s="5">
        <v>26555.54</v>
      </c>
      <c r="C141" s="5">
        <v>7966.65</v>
      </c>
    </row>
    <row r="142" spans="1:3" x14ac:dyDescent="0.25">
      <c r="A142" s="7">
        <v>45101</v>
      </c>
      <c r="B142" s="5">
        <v>8559.36</v>
      </c>
      <c r="C142" s="5">
        <v>2567.8000000000002</v>
      </c>
    </row>
    <row r="143" spans="1:3" x14ac:dyDescent="0.25">
      <c r="A143" s="7">
        <v>45102</v>
      </c>
      <c r="B143" s="5">
        <v>6735.45</v>
      </c>
      <c r="C143" s="5">
        <v>2020.6399999999999</v>
      </c>
    </row>
    <row r="144" spans="1:3" x14ac:dyDescent="0.25">
      <c r="A144" s="7">
        <v>45103</v>
      </c>
      <c r="B144" s="5">
        <v>4956.59</v>
      </c>
      <c r="C144" s="5">
        <v>1486.98</v>
      </c>
    </row>
    <row r="145" spans="1:3" x14ac:dyDescent="0.25">
      <c r="A145" s="7">
        <v>45104</v>
      </c>
      <c r="B145" s="5">
        <v>15551.53</v>
      </c>
      <c r="C145" s="5">
        <v>4665.4500000000007</v>
      </c>
    </row>
    <row r="146" spans="1:3" x14ac:dyDescent="0.25">
      <c r="A146" s="7">
        <v>45105</v>
      </c>
      <c r="B146" s="5">
        <v>11204.34</v>
      </c>
      <c r="C146" s="5">
        <v>3361.3</v>
      </c>
    </row>
    <row r="147" spans="1:3" x14ac:dyDescent="0.25">
      <c r="A147" s="7">
        <v>45106</v>
      </c>
      <c r="B147" s="5">
        <v>1138.1400000000001</v>
      </c>
      <c r="C147" s="5">
        <v>341.44</v>
      </c>
    </row>
    <row r="148" spans="1:3" x14ac:dyDescent="0.25">
      <c r="A148" s="7">
        <v>45107</v>
      </c>
      <c r="B148" s="5">
        <v>21958.899999999998</v>
      </c>
      <c r="C148" s="5">
        <v>6587.66</v>
      </c>
    </row>
    <row r="149" spans="1:3" x14ac:dyDescent="0.25">
      <c r="A149" s="7">
        <v>45108</v>
      </c>
      <c r="B149" s="5">
        <v>5013.4399999999996</v>
      </c>
      <c r="C149" s="5">
        <v>1504.0300000000002</v>
      </c>
    </row>
    <row r="150" spans="1:3" x14ac:dyDescent="0.25">
      <c r="A150" s="7">
        <v>45110</v>
      </c>
      <c r="B150" s="5">
        <v>7450.68</v>
      </c>
      <c r="C150" s="5">
        <v>2235.1999999999998</v>
      </c>
    </row>
    <row r="151" spans="1:3" x14ac:dyDescent="0.25">
      <c r="A151" s="7">
        <v>45111</v>
      </c>
      <c r="B151" s="5">
        <v>12331.590000000002</v>
      </c>
      <c r="C151" s="5">
        <v>3699.4700000000003</v>
      </c>
    </row>
    <row r="152" spans="1:3" x14ac:dyDescent="0.25">
      <c r="A152" s="7">
        <v>45112</v>
      </c>
      <c r="B152" s="5">
        <v>639.16</v>
      </c>
      <c r="C152" s="5">
        <v>191.75</v>
      </c>
    </row>
    <row r="153" spans="1:3" x14ac:dyDescent="0.25">
      <c r="A153" s="7">
        <v>45113</v>
      </c>
      <c r="B153" s="5">
        <v>3017.74</v>
      </c>
      <c r="C153" s="5">
        <v>905.32</v>
      </c>
    </row>
    <row r="154" spans="1:3" x14ac:dyDescent="0.25">
      <c r="A154" s="7">
        <v>45114</v>
      </c>
      <c r="B154" s="5">
        <v>215.73</v>
      </c>
      <c r="C154" s="5">
        <v>64.72</v>
      </c>
    </row>
    <row r="155" spans="1:3" x14ac:dyDescent="0.25">
      <c r="A155" s="7">
        <v>45116</v>
      </c>
      <c r="B155" s="5">
        <v>2245.3200000000002</v>
      </c>
      <c r="C155" s="5">
        <v>673.59999999999991</v>
      </c>
    </row>
    <row r="156" spans="1:3" x14ac:dyDescent="0.25">
      <c r="A156" s="7">
        <v>45117</v>
      </c>
      <c r="B156" s="5">
        <v>622.38</v>
      </c>
      <c r="C156" s="5">
        <v>186.71</v>
      </c>
    </row>
    <row r="157" spans="1:3" x14ac:dyDescent="0.25">
      <c r="A157" s="7">
        <v>45118</v>
      </c>
      <c r="B157" s="5">
        <v>8005.81</v>
      </c>
      <c r="C157" s="5">
        <v>2401.7399999999998</v>
      </c>
    </row>
    <row r="158" spans="1:3" x14ac:dyDescent="0.25">
      <c r="A158" s="7">
        <v>45119</v>
      </c>
      <c r="B158" s="5">
        <v>1512.56</v>
      </c>
      <c r="C158" s="5">
        <v>453.77</v>
      </c>
    </row>
    <row r="159" spans="1:3" x14ac:dyDescent="0.25">
      <c r="A159" s="7">
        <v>45120</v>
      </c>
      <c r="B159" s="5">
        <v>16266.88</v>
      </c>
      <c r="C159" s="5">
        <v>4880.0600000000004</v>
      </c>
    </row>
    <row r="160" spans="1:3" x14ac:dyDescent="0.25">
      <c r="A160" s="7">
        <v>45121</v>
      </c>
      <c r="B160" s="5">
        <v>8709.9</v>
      </c>
      <c r="C160" s="5">
        <v>2612.98</v>
      </c>
    </row>
    <row r="161" spans="1:3" x14ac:dyDescent="0.25">
      <c r="A161" s="7">
        <v>45122</v>
      </c>
      <c r="B161" s="5">
        <v>6913.92</v>
      </c>
      <c r="C161" s="5">
        <v>2074.1799999999998</v>
      </c>
    </row>
    <row r="162" spans="1:3" x14ac:dyDescent="0.25">
      <c r="A162" s="7">
        <v>45125</v>
      </c>
      <c r="B162" s="5">
        <v>11723.17</v>
      </c>
      <c r="C162" s="5">
        <v>3516.96</v>
      </c>
    </row>
    <row r="163" spans="1:3" x14ac:dyDescent="0.25">
      <c r="A163" s="7">
        <v>45126</v>
      </c>
      <c r="B163" s="5">
        <v>10531</v>
      </c>
      <c r="C163" s="5">
        <v>3159.3</v>
      </c>
    </row>
    <row r="164" spans="1:3" x14ac:dyDescent="0.25">
      <c r="A164" s="7">
        <v>45128</v>
      </c>
      <c r="B164" s="5">
        <v>12066.529999999999</v>
      </c>
      <c r="C164" s="5">
        <v>3619.96</v>
      </c>
    </row>
    <row r="165" spans="1:3" x14ac:dyDescent="0.25">
      <c r="A165" s="7">
        <v>45129</v>
      </c>
      <c r="B165" s="5">
        <v>7565.47</v>
      </c>
      <c r="C165" s="5">
        <v>2269.64</v>
      </c>
    </row>
    <row r="166" spans="1:3" x14ac:dyDescent="0.25">
      <c r="A166" s="7">
        <v>45130</v>
      </c>
      <c r="B166" s="5">
        <v>4303.3600000000006</v>
      </c>
      <c r="C166" s="5">
        <v>1291.01</v>
      </c>
    </row>
    <row r="167" spans="1:3" x14ac:dyDescent="0.25">
      <c r="A167" s="7">
        <v>45131</v>
      </c>
      <c r="B167" s="5">
        <v>7350.34</v>
      </c>
      <c r="C167" s="5">
        <v>2205.1</v>
      </c>
    </row>
    <row r="168" spans="1:3" x14ac:dyDescent="0.25">
      <c r="A168" s="7">
        <v>45133</v>
      </c>
      <c r="B168" s="5">
        <v>28348.16</v>
      </c>
      <c r="C168" s="5">
        <v>8504.44</v>
      </c>
    </row>
    <row r="169" spans="1:3" x14ac:dyDescent="0.25">
      <c r="A169" s="7">
        <v>45134</v>
      </c>
      <c r="B169" s="5">
        <v>12708.32</v>
      </c>
      <c r="C169" s="5">
        <v>3812.5</v>
      </c>
    </row>
    <row r="170" spans="1:3" x14ac:dyDescent="0.25">
      <c r="A170" s="7">
        <v>45136</v>
      </c>
      <c r="B170" s="5">
        <v>3269.84</v>
      </c>
      <c r="C170" s="5">
        <v>980.95</v>
      </c>
    </row>
    <row r="171" spans="1:3" x14ac:dyDescent="0.25">
      <c r="A171" s="7">
        <v>45137</v>
      </c>
      <c r="B171" s="5">
        <v>950.96</v>
      </c>
      <c r="C171" s="5">
        <v>285.27999999999997</v>
      </c>
    </row>
    <row r="172" spans="1:3" x14ac:dyDescent="0.25">
      <c r="A172" s="7">
        <v>45138</v>
      </c>
      <c r="B172" s="5">
        <v>7683.2999999999993</v>
      </c>
      <c r="C172" s="5">
        <v>2304.9900000000002</v>
      </c>
    </row>
    <row r="173" spans="1:3" x14ac:dyDescent="0.25">
      <c r="A173" s="7">
        <v>45139</v>
      </c>
      <c r="B173" s="5">
        <v>5577.23</v>
      </c>
      <c r="C173" s="5">
        <v>1673.17</v>
      </c>
    </row>
    <row r="174" spans="1:3" x14ac:dyDescent="0.25">
      <c r="A174" s="7">
        <v>45140</v>
      </c>
      <c r="B174" s="5">
        <v>3219.04</v>
      </c>
      <c r="C174" s="5">
        <v>965.71</v>
      </c>
    </row>
    <row r="175" spans="1:3" x14ac:dyDescent="0.25">
      <c r="A175" s="7">
        <v>45141</v>
      </c>
      <c r="B175" s="5">
        <v>776.86</v>
      </c>
      <c r="C175" s="5">
        <v>233.06</v>
      </c>
    </row>
    <row r="176" spans="1:3" x14ac:dyDescent="0.25">
      <c r="A176" s="7">
        <v>45143</v>
      </c>
      <c r="B176" s="5">
        <v>10586.57</v>
      </c>
      <c r="C176" s="5">
        <v>3175.98</v>
      </c>
    </row>
    <row r="177" spans="1:3" x14ac:dyDescent="0.25">
      <c r="A177" s="7">
        <v>45144</v>
      </c>
      <c r="B177" s="5">
        <v>25395.170000000002</v>
      </c>
      <c r="C177" s="5">
        <v>7618.54</v>
      </c>
    </row>
    <row r="178" spans="1:3" x14ac:dyDescent="0.25">
      <c r="A178" s="7">
        <v>45145</v>
      </c>
      <c r="B178" s="5">
        <v>2984.85</v>
      </c>
      <c r="C178" s="5">
        <v>895.46</v>
      </c>
    </row>
    <row r="179" spans="1:3" x14ac:dyDescent="0.25">
      <c r="A179" s="7">
        <v>45146</v>
      </c>
      <c r="B179" s="5">
        <v>1605.92</v>
      </c>
      <c r="C179" s="5">
        <v>481.78</v>
      </c>
    </row>
    <row r="180" spans="1:3" x14ac:dyDescent="0.25">
      <c r="A180" s="7">
        <v>45147</v>
      </c>
      <c r="B180" s="5">
        <v>3100.96</v>
      </c>
      <c r="C180" s="5">
        <v>930.29</v>
      </c>
    </row>
    <row r="181" spans="1:3" x14ac:dyDescent="0.25">
      <c r="A181" s="7">
        <v>45148</v>
      </c>
      <c r="B181" s="5">
        <v>4412.22</v>
      </c>
      <c r="C181" s="5">
        <v>1323.6599999999999</v>
      </c>
    </row>
    <row r="182" spans="1:3" x14ac:dyDescent="0.25">
      <c r="A182" s="7">
        <v>45149</v>
      </c>
      <c r="B182" s="5">
        <v>8917.02</v>
      </c>
      <c r="C182" s="5">
        <v>2675.11</v>
      </c>
    </row>
    <row r="183" spans="1:3" x14ac:dyDescent="0.25">
      <c r="A183" s="7">
        <v>45150</v>
      </c>
      <c r="B183" s="5">
        <v>2311.88</v>
      </c>
      <c r="C183" s="5">
        <v>693.57</v>
      </c>
    </row>
    <row r="184" spans="1:3" x14ac:dyDescent="0.25">
      <c r="A184" s="7">
        <v>45151</v>
      </c>
      <c r="B184" s="5">
        <v>875.14</v>
      </c>
      <c r="C184" s="5">
        <v>262.54000000000002</v>
      </c>
    </row>
    <row r="185" spans="1:3" x14ac:dyDescent="0.25">
      <c r="A185" s="7">
        <v>45152</v>
      </c>
      <c r="B185" s="5">
        <v>3532.69</v>
      </c>
      <c r="C185" s="5">
        <v>1059.81</v>
      </c>
    </row>
    <row r="186" spans="1:3" x14ac:dyDescent="0.25">
      <c r="A186" s="7">
        <v>45153</v>
      </c>
      <c r="B186" s="5">
        <v>9413.7100000000009</v>
      </c>
      <c r="C186" s="5">
        <v>2824.12</v>
      </c>
    </row>
    <row r="187" spans="1:3" x14ac:dyDescent="0.25">
      <c r="A187" s="7">
        <v>45154</v>
      </c>
      <c r="B187" s="5">
        <v>11059.539999999999</v>
      </c>
      <c r="C187" s="5">
        <v>3317.8599999999997</v>
      </c>
    </row>
    <row r="188" spans="1:3" x14ac:dyDescent="0.25">
      <c r="A188" s="7">
        <v>45155</v>
      </c>
      <c r="B188" s="5">
        <v>6545.38</v>
      </c>
      <c r="C188" s="5">
        <v>1963.61</v>
      </c>
    </row>
    <row r="189" spans="1:3" x14ac:dyDescent="0.25">
      <c r="A189" s="7">
        <v>45156</v>
      </c>
      <c r="B189" s="5">
        <v>4751.3</v>
      </c>
      <c r="C189" s="5">
        <v>1425.38</v>
      </c>
    </row>
    <row r="190" spans="1:3" x14ac:dyDescent="0.25">
      <c r="A190" s="7">
        <v>45157</v>
      </c>
      <c r="B190" s="5">
        <v>5510.17</v>
      </c>
      <c r="C190" s="5">
        <v>1653.05</v>
      </c>
    </row>
    <row r="191" spans="1:3" x14ac:dyDescent="0.25">
      <c r="A191" s="7">
        <v>45158</v>
      </c>
      <c r="B191" s="5">
        <v>2640.7400000000002</v>
      </c>
      <c r="C191" s="5">
        <v>792.21999999999991</v>
      </c>
    </row>
    <row r="192" spans="1:3" x14ac:dyDescent="0.25">
      <c r="A192" s="7">
        <v>45159</v>
      </c>
      <c r="B192" s="5">
        <v>724.66</v>
      </c>
      <c r="C192" s="5">
        <v>217.4</v>
      </c>
    </row>
    <row r="193" spans="1:3" x14ac:dyDescent="0.25">
      <c r="A193" s="7">
        <v>45160</v>
      </c>
      <c r="B193" s="5">
        <v>11234.82</v>
      </c>
      <c r="C193" s="5">
        <v>3370.45</v>
      </c>
    </row>
    <row r="194" spans="1:3" x14ac:dyDescent="0.25">
      <c r="A194" s="7">
        <v>45161</v>
      </c>
      <c r="B194" s="5">
        <v>10464.780000000001</v>
      </c>
      <c r="C194" s="5">
        <v>3139.44</v>
      </c>
    </row>
    <row r="195" spans="1:3" x14ac:dyDescent="0.25">
      <c r="A195" s="7">
        <v>45162</v>
      </c>
      <c r="B195" s="5">
        <v>3362.1</v>
      </c>
      <c r="C195" s="5">
        <v>1008.63</v>
      </c>
    </row>
    <row r="196" spans="1:3" x14ac:dyDescent="0.25">
      <c r="A196" s="7">
        <v>45163</v>
      </c>
      <c r="B196" s="5">
        <v>6742.72</v>
      </c>
      <c r="C196" s="5">
        <v>2022.8100000000002</v>
      </c>
    </row>
    <row r="197" spans="1:3" x14ac:dyDescent="0.25">
      <c r="A197" s="7">
        <v>45164</v>
      </c>
      <c r="B197" s="5">
        <v>6879.38</v>
      </c>
      <c r="C197" s="5">
        <v>2063.8199999999997</v>
      </c>
    </row>
    <row r="198" spans="1:3" x14ac:dyDescent="0.25">
      <c r="A198" s="7">
        <v>45165</v>
      </c>
      <c r="B198" s="5">
        <v>7274.16</v>
      </c>
      <c r="C198" s="5">
        <v>2182.2399999999998</v>
      </c>
    </row>
    <row r="199" spans="1:3" x14ac:dyDescent="0.25">
      <c r="A199" s="7">
        <v>45166</v>
      </c>
      <c r="B199" s="5">
        <v>5185.5</v>
      </c>
      <c r="C199" s="5">
        <v>1555.66</v>
      </c>
    </row>
    <row r="200" spans="1:3" x14ac:dyDescent="0.25">
      <c r="A200" s="7">
        <v>45167</v>
      </c>
      <c r="B200" s="5">
        <v>1424.98</v>
      </c>
      <c r="C200" s="5">
        <v>427.49</v>
      </c>
    </row>
    <row r="201" spans="1:3" x14ac:dyDescent="0.25">
      <c r="A201" s="7">
        <v>45168</v>
      </c>
      <c r="B201" s="5">
        <v>10056.51</v>
      </c>
      <c r="C201" s="5">
        <v>3016.9600000000005</v>
      </c>
    </row>
    <row r="202" spans="1:3" x14ac:dyDescent="0.25">
      <c r="A202" s="7">
        <v>45169</v>
      </c>
      <c r="B202" s="5">
        <v>5879.33</v>
      </c>
      <c r="C202" s="5">
        <v>1763.81</v>
      </c>
    </row>
    <row r="203" spans="1:3" x14ac:dyDescent="0.25">
      <c r="A203" s="7">
        <v>45170</v>
      </c>
      <c r="B203" s="5">
        <v>4650.3500000000004</v>
      </c>
      <c r="C203" s="5">
        <v>1395.11</v>
      </c>
    </row>
    <row r="204" spans="1:3" x14ac:dyDescent="0.25">
      <c r="A204" s="7">
        <v>45171</v>
      </c>
      <c r="B204" s="5">
        <v>1671.01</v>
      </c>
      <c r="C204" s="5">
        <v>501.29999999999995</v>
      </c>
    </row>
    <row r="205" spans="1:3" x14ac:dyDescent="0.25">
      <c r="A205" s="7">
        <v>45172</v>
      </c>
      <c r="B205" s="5">
        <v>9621.57</v>
      </c>
      <c r="C205" s="5">
        <v>2886.47</v>
      </c>
    </row>
    <row r="206" spans="1:3" x14ac:dyDescent="0.25">
      <c r="A206" s="7">
        <v>45173</v>
      </c>
      <c r="B206" s="5">
        <v>1623.72</v>
      </c>
      <c r="C206" s="5">
        <v>487.12</v>
      </c>
    </row>
    <row r="207" spans="1:3" x14ac:dyDescent="0.25">
      <c r="A207" s="7">
        <v>45174</v>
      </c>
      <c r="B207" s="5">
        <v>9216.19</v>
      </c>
      <c r="C207" s="5">
        <v>2764.86</v>
      </c>
    </row>
    <row r="208" spans="1:3" x14ac:dyDescent="0.25">
      <c r="A208" s="7">
        <v>45175</v>
      </c>
      <c r="B208" s="5">
        <v>11405.16</v>
      </c>
      <c r="C208" s="5">
        <v>3421.55</v>
      </c>
    </row>
    <row r="209" spans="1:3" x14ac:dyDescent="0.25">
      <c r="A209" s="7">
        <v>45176</v>
      </c>
      <c r="B209" s="5">
        <v>3170.64</v>
      </c>
      <c r="C209" s="5">
        <v>951.18999999999994</v>
      </c>
    </row>
    <row r="210" spans="1:3" x14ac:dyDescent="0.25">
      <c r="A210" s="7">
        <v>45177</v>
      </c>
      <c r="B210" s="5">
        <v>24303.279999999999</v>
      </c>
      <c r="C210" s="5">
        <v>7290.99</v>
      </c>
    </row>
    <row r="211" spans="1:3" x14ac:dyDescent="0.25">
      <c r="A211" s="7">
        <v>45178</v>
      </c>
      <c r="B211" s="5">
        <v>6139.4699999999993</v>
      </c>
      <c r="C211" s="5">
        <v>1841.85</v>
      </c>
    </row>
    <row r="212" spans="1:3" x14ac:dyDescent="0.25">
      <c r="A212" s="7">
        <v>45179</v>
      </c>
      <c r="B212" s="5">
        <v>4731.9299999999994</v>
      </c>
      <c r="C212" s="5">
        <v>1419.5800000000002</v>
      </c>
    </row>
    <row r="213" spans="1:3" x14ac:dyDescent="0.25">
      <c r="A213" s="7">
        <v>45180</v>
      </c>
      <c r="B213" s="5">
        <v>4030.4</v>
      </c>
      <c r="C213" s="5">
        <v>1209.0999999999999</v>
      </c>
    </row>
    <row r="214" spans="1:3" x14ac:dyDescent="0.25">
      <c r="A214" s="7">
        <v>45181</v>
      </c>
      <c r="B214" s="5">
        <v>7132.86</v>
      </c>
      <c r="C214" s="5">
        <v>2139.86</v>
      </c>
    </row>
    <row r="215" spans="1:3" x14ac:dyDescent="0.25">
      <c r="A215" s="7">
        <v>45182</v>
      </c>
      <c r="B215" s="5">
        <v>2814.23</v>
      </c>
      <c r="C215" s="5">
        <v>844.27</v>
      </c>
    </row>
    <row r="216" spans="1:3" x14ac:dyDescent="0.25">
      <c r="A216" s="7">
        <v>45183</v>
      </c>
      <c r="B216" s="5">
        <v>5832.92</v>
      </c>
      <c r="C216" s="5">
        <v>1749.88</v>
      </c>
    </row>
    <row r="217" spans="1:3" x14ac:dyDescent="0.25">
      <c r="A217" s="7">
        <v>45185</v>
      </c>
      <c r="B217" s="5">
        <v>11664.839999999998</v>
      </c>
      <c r="C217" s="5">
        <v>3499.46</v>
      </c>
    </row>
    <row r="218" spans="1:3" x14ac:dyDescent="0.25">
      <c r="A218" s="7">
        <v>45186</v>
      </c>
      <c r="B218" s="5">
        <v>10389.700000000001</v>
      </c>
      <c r="C218" s="5">
        <v>3116.91</v>
      </c>
    </row>
    <row r="219" spans="1:3" x14ac:dyDescent="0.25">
      <c r="A219" s="7">
        <v>45187</v>
      </c>
      <c r="B219" s="5">
        <v>12270.949999999999</v>
      </c>
      <c r="C219" s="5">
        <v>3681.28</v>
      </c>
    </row>
    <row r="220" spans="1:3" x14ac:dyDescent="0.25">
      <c r="A220" s="7">
        <v>45188</v>
      </c>
      <c r="B220" s="5">
        <v>1861.7</v>
      </c>
      <c r="C220" s="5">
        <v>558.51</v>
      </c>
    </row>
    <row r="221" spans="1:3" x14ac:dyDescent="0.25">
      <c r="A221" s="7">
        <v>45189</v>
      </c>
      <c r="B221" s="5">
        <v>12742.13</v>
      </c>
      <c r="C221" s="5">
        <v>3822.64</v>
      </c>
    </row>
    <row r="222" spans="1:3" x14ac:dyDescent="0.25">
      <c r="A222" s="7">
        <v>45191</v>
      </c>
      <c r="B222" s="5">
        <v>3595.89</v>
      </c>
      <c r="C222" s="5">
        <v>1078.77</v>
      </c>
    </row>
    <row r="223" spans="1:3" x14ac:dyDescent="0.25">
      <c r="A223" s="7">
        <v>45192</v>
      </c>
      <c r="B223" s="5">
        <v>7759.09</v>
      </c>
      <c r="C223" s="5">
        <v>2327.73</v>
      </c>
    </row>
    <row r="224" spans="1:3" x14ac:dyDescent="0.25">
      <c r="A224" s="7">
        <v>45193</v>
      </c>
      <c r="B224" s="5">
        <v>1355.56</v>
      </c>
      <c r="C224" s="5">
        <v>406.67</v>
      </c>
    </row>
    <row r="225" spans="1:3" x14ac:dyDescent="0.25">
      <c r="A225" s="7">
        <v>45195</v>
      </c>
      <c r="B225" s="5">
        <v>2344.2199999999998</v>
      </c>
      <c r="C225" s="5">
        <v>703.26</v>
      </c>
    </row>
    <row r="226" spans="1:3" x14ac:dyDescent="0.25">
      <c r="A226" s="7">
        <v>45198</v>
      </c>
      <c r="B226" s="5">
        <v>6455.7900000000009</v>
      </c>
      <c r="C226" s="5">
        <v>1936.7400000000002</v>
      </c>
    </row>
    <row r="227" spans="1:3" x14ac:dyDescent="0.25">
      <c r="A227" s="7">
        <v>45199</v>
      </c>
      <c r="B227" s="5">
        <v>5750.33</v>
      </c>
      <c r="C227" s="5">
        <v>1725.1</v>
      </c>
    </row>
    <row r="228" spans="1:3" x14ac:dyDescent="0.25">
      <c r="A228" s="7">
        <v>45200</v>
      </c>
      <c r="B228" s="5">
        <v>179.77</v>
      </c>
      <c r="C228" s="5">
        <v>53.93</v>
      </c>
    </row>
    <row r="229" spans="1:3" x14ac:dyDescent="0.25">
      <c r="A229" s="7">
        <v>45201</v>
      </c>
      <c r="B229" s="5">
        <v>1188.43</v>
      </c>
      <c r="C229" s="5">
        <v>356.53</v>
      </c>
    </row>
    <row r="230" spans="1:3" x14ac:dyDescent="0.25">
      <c r="A230" s="7">
        <v>45203</v>
      </c>
      <c r="B230" s="5">
        <v>520.70000000000005</v>
      </c>
      <c r="C230" s="5">
        <v>156.21</v>
      </c>
    </row>
    <row r="231" spans="1:3" x14ac:dyDescent="0.25">
      <c r="A231" s="7">
        <v>45205</v>
      </c>
      <c r="B231" s="5">
        <v>1084.49</v>
      </c>
      <c r="C231" s="5">
        <v>325.35000000000002</v>
      </c>
    </row>
    <row r="232" spans="1:3" x14ac:dyDescent="0.25">
      <c r="A232" s="7">
        <v>45206</v>
      </c>
      <c r="B232" s="5">
        <v>6904.7999999999993</v>
      </c>
      <c r="C232" s="5">
        <v>2071.44</v>
      </c>
    </row>
    <row r="233" spans="1:3" x14ac:dyDescent="0.25">
      <c r="A233" s="7">
        <v>45207</v>
      </c>
      <c r="B233" s="5">
        <v>5453.28</v>
      </c>
      <c r="C233" s="5">
        <v>1635.98</v>
      </c>
    </row>
    <row r="234" spans="1:3" x14ac:dyDescent="0.25">
      <c r="A234" s="7">
        <v>45208</v>
      </c>
      <c r="B234" s="5">
        <v>1311.69</v>
      </c>
      <c r="C234" s="5">
        <v>393.51</v>
      </c>
    </row>
    <row r="235" spans="1:3" x14ac:dyDescent="0.25">
      <c r="A235" s="7">
        <v>45210</v>
      </c>
      <c r="B235" s="5">
        <v>3044.84</v>
      </c>
      <c r="C235" s="5">
        <v>913.46</v>
      </c>
    </row>
    <row r="236" spans="1:3" x14ac:dyDescent="0.25">
      <c r="A236" s="7">
        <v>45212</v>
      </c>
      <c r="B236" s="5">
        <v>376.35</v>
      </c>
      <c r="C236" s="5">
        <v>112.91</v>
      </c>
    </row>
    <row r="237" spans="1:3" x14ac:dyDescent="0.25">
      <c r="A237" s="7">
        <v>45215</v>
      </c>
      <c r="B237" s="5">
        <v>2768.26</v>
      </c>
      <c r="C237" s="5">
        <v>830.48</v>
      </c>
    </row>
    <row r="238" spans="1:3" x14ac:dyDescent="0.25">
      <c r="A238" s="7">
        <v>45217</v>
      </c>
      <c r="B238" s="5">
        <v>11816.149999999998</v>
      </c>
      <c r="C238" s="5">
        <v>3544.86</v>
      </c>
    </row>
    <row r="239" spans="1:3" x14ac:dyDescent="0.25">
      <c r="A239" s="7">
        <v>45218</v>
      </c>
      <c r="B239" s="5">
        <v>16727.099999999999</v>
      </c>
      <c r="C239" s="5">
        <v>5018.12</v>
      </c>
    </row>
    <row r="240" spans="1:3" x14ac:dyDescent="0.25">
      <c r="A240" s="7">
        <v>45219</v>
      </c>
      <c r="B240" s="5">
        <v>3469.28</v>
      </c>
      <c r="C240" s="5">
        <v>1040.79</v>
      </c>
    </row>
    <row r="241" spans="1:3" x14ac:dyDescent="0.25">
      <c r="A241" s="7">
        <v>45220</v>
      </c>
      <c r="B241" s="5">
        <v>3745.64</v>
      </c>
      <c r="C241" s="5">
        <v>1123.7</v>
      </c>
    </row>
    <row r="242" spans="1:3" x14ac:dyDescent="0.25">
      <c r="A242" s="7">
        <v>45221</v>
      </c>
      <c r="B242" s="5">
        <v>6619.26</v>
      </c>
      <c r="C242" s="5">
        <v>1985.78</v>
      </c>
    </row>
    <row r="243" spans="1:3" x14ac:dyDescent="0.25">
      <c r="A243" s="7">
        <v>45222</v>
      </c>
      <c r="B243" s="5">
        <v>11677.380000000001</v>
      </c>
      <c r="C243" s="5">
        <v>3503.2200000000003</v>
      </c>
    </row>
    <row r="244" spans="1:3" x14ac:dyDescent="0.25">
      <c r="A244" s="7">
        <v>45223</v>
      </c>
      <c r="B244" s="5">
        <v>1798.05</v>
      </c>
      <c r="C244" s="5">
        <v>539.41999999999996</v>
      </c>
    </row>
    <row r="245" spans="1:3" x14ac:dyDescent="0.25">
      <c r="A245" s="7">
        <v>45224</v>
      </c>
      <c r="B245" s="5">
        <v>1753.7</v>
      </c>
      <c r="C245" s="5">
        <v>526.11</v>
      </c>
    </row>
    <row r="246" spans="1:3" x14ac:dyDescent="0.25">
      <c r="A246" s="7">
        <v>45225</v>
      </c>
      <c r="B246" s="5">
        <v>7308.38</v>
      </c>
      <c r="C246" s="5">
        <v>2192.5100000000002</v>
      </c>
    </row>
    <row r="247" spans="1:3" x14ac:dyDescent="0.25">
      <c r="A247" s="7">
        <v>45227</v>
      </c>
      <c r="B247" s="5">
        <v>2769.64</v>
      </c>
      <c r="C247" s="5">
        <v>830.88999999999987</v>
      </c>
    </row>
    <row r="248" spans="1:3" x14ac:dyDescent="0.25">
      <c r="A248" s="7">
        <v>45228</v>
      </c>
      <c r="B248" s="5">
        <v>215.28</v>
      </c>
      <c r="C248" s="5">
        <v>64.58</v>
      </c>
    </row>
    <row r="249" spans="1:3" x14ac:dyDescent="0.25">
      <c r="A249" s="7">
        <v>45230</v>
      </c>
      <c r="B249" s="5">
        <v>2443.62</v>
      </c>
      <c r="C249" s="5">
        <v>733.08</v>
      </c>
    </row>
    <row r="250" spans="1:3" x14ac:dyDescent="0.25">
      <c r="A250" s="7">
        <v>45233</v>
      </c>
      <c r="B250" s="5">
        <v>1378.23</v>
      </c>
      <c r="C250" s="5">
        <v>413.46000000000004</v>
      </c>
    </row>
    <row r="251" spans="1:3" x14ac:dyDescent="0.25">
      <c r="A251" s="7">
        <v>45234</v>
      </c>
      <c r="B251" s="5">
        <v>8737.61</v>
      </c>
      <c r="C251" s="5">
        <v>2621.29</v>
      </c>
    </row>
    <row r="252" spans="1:3" x14ac:dyDescent="0.25">
      <c r="A252" s="7">
        <v>45235</v>
      </c>
      <c r="B252" s="5">
        <v>7031.35</v>
      </c>
      <c r="C252" s="5">
        <v>2109.41</v>
      </c>
    </row>
    <row r="253" spans="1:3" x14ac:dyDescent="0.25">
      <c r="A253" s="7">
        <v>45236</v>
      </c>
      <c r="B253" s="5">
        <v>3518.14</v>
      </c>
      <c r="C253" s="5">
        <v>1055.45</v>
      </c>
    </row>
    <row r="254" spans="1:3" x14ac:dyDescent="0.25">
      <c r="A254" s="7">
        <v>45238</v>
      </c>
      <c r="B254" s="5">
        <v>5096.75</v>
      </c>
      <c r="C254" s="5">
        <v>1529.03</v>
      </c>
    </row>
    <row r="255" spans="1:3" x14ac:dyDescent="0.25">
      <c r="A255" s="7">
        <v>45239</v>
      </c>
      <c r="B255" s="5">
        <v>2338.12</v>
      </c>
      <c r="C255" s="5">
        <v>701.43</v>
      </c>
    </row>
    <row r="256" spans="1:3" x14ac:dyDescent="0.25">
      <c r="A256" s="7">
        <v>45240</v>
      </c>
      <c r="B256" s="5">
        <v>2191.21</v>
      </c>
      <c r="C256" s="5">
        <v>657.36</v>
      </c>
    </row>
    <row r="257" spans="1:3" x14ac:dyDescent="0.25">
      <c r="A257" s="7">
        <v>45241</v>
      </c>
      <c r="B257" s="5">
        <v>4327.3100000000004</v>
      </c>
      <c r="C257" s="5">
        <v>1298.2</v>
      </c>
    </row>
    <row r="258" spans="1:3" x14ac:dyDescent="0.25">
      <c r="A258" s="7">
        <v>45242</v>
      </c>
      <c r="B258" s="5">
        <v>4171.0200000000004</v>
      </c>
      <c r="C258" s="5">
        <v>1251.3</v>
      </c>
    </row>
    <row r="259" spans="1:3" x14ac:dyDescent="0.25">
      <c r="A259" s="7">
        <v>45243</v>
      </c>
      <c r="B259" s="5">
        <v>9426.5400000000009</v>
      </c>
      <c r="C259" s="5">
        <v>2827.96</v>
      </c>
    </row>
    <row r="260" spans="1:3" x14ac:dyDescent="0.25">
      <c r="A260" s="7">
        <v>45245</v>
      </c>
      <c r="B260" s="5">
        <v>4221.12</v>
      </c>
      <c r="C260" s="5">
        <v>1266.3399999999999</v>
      </c>
    </row>
    <row r="261" spans="1:3" x14ac:dyDescent="0.25">
      <c r="A261" s="7">
        <v>45246</v>
      </c>
      <c r="B261" s="5">
        <v>11054.029999999999</v>
      </c>
      <c r="C261" s="5">
        <v>3316.21</v>
      </c>
    </row>
    <row r="262" spans="1:3" x14ac:dyDescent="0.25">
      <c r="A262" s="7">
        <v>45249</v>
      </c>
      <c r="B262" s="5">
        <v>8296.64</v>
      </c>
      <c r="C262" s="5">
        <v>2488.9900000000002</v>
      </c>
    </row>
    <row r="263" spans="1:3" x14ac:dyDescent="0.25">
      <c r="A263" s="7">
        <v>45250</v>
      </c>
      <c r="B263" s="5">
        <v>2231.3200000000002</v>
      </c>
      <c r="C263" s="5">
        <v>669.4</v>
      </c>
    </row>
    <row r="264" spans="1:3" x14ac:dyDescent="0.25">
      <c r="A264" s="7">
        <v>45251</v>
      </c>
      <c r="B264" s="5">
        <v>4166.59</v>
      </c>
      <c r="C264" s="5">
        <v>1249.97</v>
      </c>
    </row>
    <row r="265" spans="1:3" x14ac:dyDescent="0.25">
      <c r="A265" s="7">
        <v>45252</v>
      </c>
      <c r="B265" s="5">
        <v>3163.0499999999997</v>
      </c>
      <c r="C265" s="5">
        <v>948.90000000000009</v>
      </c>
    </row>
    <row r="266" spans="1:3" x14ac:dyDescent="0.25">
      <c r="A266" s="7">
        <v>45253</v>
      </c>
      <c r="B266" s="5">
        <v>6608.6600000000008</v>
      </c>
      <c r="C266" s="5">
        <v>1982.59</v>
      </c>
    </row>
    <row r="267" spans="1:3" x14ac:dyDescent="0.25">
      <c r="A267" s="7">
        <v>45254</v>
      </c>
      <c r="B267" s="5">
        <v>2667.6</v>
      </c>
      <c r="C267" s="5">
        <v>800.28</v>
      </c>
    </row>
    <row r="268" spans="1:3" x14ac:dyDescent="0.25">
      <c r="A268" s="7">
        <v>45255</v>
      </c>
      <c r="B268" s="5">
        <v>1460.35</v>
      </c>
      <c r="C268" s="5">
        <v>438.11</v>
      </c>
    </row>
    <row r="269" spans="1:3" x14ac:dyDescent="0.25">
      <c r="A269" s="7">
        <v>45256</v>
      </c>
      <c r="B269" s="5">
        <v>18293.71</v>
      </c>
      <c r="C269" s="5">
        <v>5488.1100000000006</v>
      </c>
    </row>
    <row r="270" spans="1:3" x14ac:dyDescent="0.25">
      <c r="A270" s="7">
        <v>45257</v>
      </c>
      <c r="B270" s="5">
        <v>13852.66</v>
      </c>
      <c r="C270" s="5">
        <v>4155.79</v>
      </c>
    </row>
    <row r="271" spans="1:3" x14ac:dyDescent="0.25">
      <c r="A271" s="7">
        <v>45258</v>
      </c>
      <c r="B271" s="5">
        <v>4958.2299999999996</v>
      </c>
      <c r="C271" s="5">
        <v>1487.48</v>
      </c>
    </row>
    <row r="272" spans="1:3" x14ac:dyDescent="0.25">
      <c r="A272" s="7">
        <v>45259</v>
      </c>
      <c r="B272" s="5">
        <v>11637</v>
      </c>
      <c r="C272" s="5">
        <v>3491.1</v>
      </c>
    </row>
    <row r="273" spans="1:3" x14ac:dyDescent="0.25">
      <c r="A273" s="7">
        <v>45260</v>
      </c>
      <c r="B273" s="5">
        <v>14963.859999999999</v>
      </c>
      <c r="C273" s="5">
        <v>4489.1499999999996</v>
      </c>
    </row>
    <row r="274" spans="1:3" x14ac:dyDescent="0.25">
      <c r="A274" s="7">
        <v>45261</v>
      </c>
      <c r="B274" s="5">
        <v>7599.42</v>
      </c>
      <c r="C274" s="5">
        <v>2279.84</v>
      </c>
    </row>
    <row r="275" spans="1:3" x14ac:dyDescent="0.25">
      <c r="A275" s="7">
        <v>45263</v>
      </c>
      <c r="B275" s="5">
        <v>10716.759999999998</v>
      </c>
      <c r="C275" s="5">
        <v>3215.0299999999997</v>
      </c>
    </row>
    <row r="276" spans="1:3" x14ac:dyDescent="0.25">
      <c r="A276" s="7">
        <v>45264</v>
      </c>
      <c r="B276" s="5">
        <v>241.37</v>
      </c>
      <c r="C276" s="5">
        <v>72.41</v>
      </c>
    </row>
    <row r="277" spans="1:3" x14ac:dyDescent="0.25">
      <c r="A277" s="7">
        <v>45266</v>
      </c>
      <c r="B277" s="5">
        <v>3150.68</v>
      </c>
      <c r="C277" s="5">
        <v>945.2</v>
      </c>
    </row>
    <row r="278" spans="1:3" x14ac:dyDescent="0.25">
      <c r="A278" s="7">
        <v>45267</v>
      </c>
      <c r="B278" s="5">
        <v>6651.48</v>
      </c>
      <c r="C278" s="5">
        <v>1995.44</v>
      </c>
    </row>
    <row r="279" spans="1:3" x14ac:dyDescent="0.25">
      <c r="A279" s="7">
        <v>45268</v>
      </c>
      <c r="B279" s="5">
        <v>5732.27</v>
      </c>
      <c r="C279" s="5">
        <v>1719.68</v>
      </c>
    </row>
    <row r="280" spans="1:3" x14ac:dyDescent="0.25">
      <c r="A280" s="7">
        <v>45269</v>
      </c>
      <c r="B280" s="5">
        <v>14882.55</v>
      </c>
      <c r="C280" s="5">
        <v>4464.7700000000004</v>
      </c>
    </row>
    <row r="281" spans="1:3" x14ac:dyDescent="0.25">
      <c r="A281" s="7">
        <v>45270</v>
      </c>
      <c r="B281" s="5">
        <v>660.86</v>
      </c>
      <c r="C281" s="5">
        <v>198.26</v>
      </c>
    </row>
    <row r="282" spans="1:3" x14ac:dyDescent="0.25">
      <c r="A282" s="7">
        <v>45271</v>
      </c>
      <c r="B282" s="5">
        <v>8136.7999999999993</v>
      </c>
      <c r="C282" s="5">
        <v>2441.04</v>
      </c>
    </row>
    <row r="283" spans="1:3" x14ac:dyDescent="0.25">
      <c r="A283" s="7">
        <v>45272</v>
      </c>
      <c r="B283" s="5">
        <v>14336.41</v>
      </c>
      <c r="C283" s="5">
        <v>4300.92</v>
      </c>
    </row>
    <row r="284" spans="1:3" x14ac:dyDescent="0.25">
      <c r="A284" s="7">
        <v>45273</v>
      </c>
      <c r="B284" s="5">
        <v>1244.3</v>
      </c>
      <c r="C284" s="5">
        <v>373.29</v>
      </c>
    </row>
    <row r="285" spans="1:3" x14ac:dyDescent="0.25">
      <c r="A285" s="7">
        <v>45276</v>
      </c>
      <c r="B285" s="5">
        <v>4180.9399999999996</v>
      </c>
      <c r="C285" s="5">
        <v>1254.2800000000002</v>
      </c>
    </row>
    <row r="286" spans="1:3" x14ac:dyDescent="0.25">
      <c r="A286" s="7">
        <v>45277</v>
      </c>
      <c r="B286" s="5">
        <v>421.06</v>
      </c>
      <c r="C286" s="5">
        <v>126.32</v>
      </c>
    </row>
    <row r="287" spans="1:3" x14ac:dyDescent="0.25">
      <c r="A287" s="7">
        <v>45278</v>
      </c>
      <c r="B287" s="5">
        <v>4358.76</v>
      </c>
      <c r="C287" s="5">
        <v>1307.6300000000001</v>
      </c>
    </row>
    <row r="288" spans="1:3" x14ac:dyDescent="0.25">
      <c r="A288" s="7">
        <v>45279</v>
      </c>
      <c r="B288" s="5">
        <v>3315.59</v>
      </c>
      <c r="C288" s="5">
        <v>994.68000000000006</v>
      </c>
    </row>
    <row r="289" spans="1:3" x14ac:dyDescent="0.25">
      <c r="A289" s="7">
        <v>45280</v>
      </c>
      <c r="B289" s="5">
        <v>4424.34</v>
      </c>
      <c r="C289" s="5">
        <v>1327.3</v>
      </c>
    </row>
    <row r="290" spans="1:3" x14ac:dyDescent="0.25">
      <c r="A290" s="7">
        <v>45281</v>
      </c>
      <c r="B290" s="5">
        <v>4151.28</v>
      </c>
      <c r="C290" s="5">
        <v>1245.3800000000001</v>
      </c>
    </row>
    <row r="291" spans="1:3" x14ac:dyDescent="0.25">
      <c r="A291" s="7">
        <v>45283</v>
      </c>
      <c r="B291" s="5">
        <v>3438.9900000000002</v>
      </c>
      <c r="C291" s="5">
        <v>1031.69</v>
      </c>
    </row>
    <row r="292" spans="1:3" x14ac:dyDescent="0.25">
      <c r="A292" s="7">
        <v>45285</v>
      </c>
      <c r="B292" s="5">
        <v>10454.67</v>
      </c>
      <c r="C292" s="5">
        <v>3136.3999999999996</v>
      </c>
    </row>
    <row r="293" spans="1:3" x14ac:dyDescent="0.25">
      <c r="A293" s="7">
        <v>45286</v>
      </c>
      <c r="B293" s="5">
        <v>4119.37</v>
      </c>
      <c r="C293" s="5">
        <v>1235.83</v>
      </c>
    </row>
    <row r="294" spans="1:3" x14ac:dyDescent="0.25">
      <c r="A294" s="7">
        <v>45288</v>
      </c>
      <c r="B294" s="5">
        <v>6765.14</v>
      </c>
      <c r="C294" s="5">
        <v>2029.54</v>
      </c>
    </row>
    <row r="295" spans="1:3" x14ac:dyDescent="0.25">
      <c r="A295" s="7">
        <v>45289</v>
      </c>
      <c r="B295" s="5">
        <v>7848.15</v>
      </c>
      <c r="C295" s="5">
        <v>2354.44</v>
      </c>
    </row>
    <row r="296" spans="1:3" x14ac:dyDescent="0.25">
      <c r="A296" s="7">
        <v>45290</v>
      </c>
      <c r="B296" s="5">
        <v>2466.3500000000004</v>
      </c>
      <c r="C296" s="5">
        <v>739.91000000000008</v>
      </c>
    </row>
    <row r="297" spans="1:3" x14ac:dyDescent="0.25">
      <c r="A297" s="4" t="s">
        <v>3991</v>
      </c>
      <c r="B297" s="5">
        <v>2057108.6700000011</v>
      </c>
      <c r="C297" s="5">
        <v>617132.58000000031</v>
      </c>
    </row>
    <row r="298" spans="1:3" x14ac:dyDescent="0.25">
      <c r="A298" s="7">
        <v>45292</v>
      </c>
      <c r="B298" s="5">
        <v>5342.0499999999993</v>
      </c>
      <c r="C298" s="5">
        <v>1602.62</v>
      </c>
    </row>
    <row r="299" spans="1:3" x14ac:dyDescent="0.25">
      <c r="A299" s="7">
        <v>45293</v>
      </c>
      <c r="B299" s="5">
        <v>10835.130000000001</v>
      </c>
      <c r="C299" s="5">
        <v>3250.54</v>
      </c>
    </row>
    <row r="300" spans="1:3" x14ac:dyDescent="0.25">
      <c r="A300" s="7">
        <v>45294</v>
      </c>
      <c r="B300" s="5">
        <v>2040.37</v>
      </c>
      <c r="C300" s="5">
        <v>612.11</v>
      </c>
    </row>
    <row r="301" spans="1:3" x14ac:dyDescent="0.25">
      <c r="A301" s="7">
        <v>45295</v>
      </c>
      <c r="B301" s="5">
        <v>103.13</v>
      </c>
      <c r="C301" s="5">
        <v>30.94</v>
      </c>
    </row>
    <row r="302" spans="1:3" x14ac:dyDescent="0.25">
      <c r="A302" s="7">
        <v>45296</v>
      </c>
      <c r="B302" s="5">
        <v>6006.41</v>
      </c>
      <c r="C302" s="5">
        <v>1801.93</v>
      </c>
    </row>
    <row r="303" spans="1:3" x14ac:dyDescent="0.25">
      <c r="A303" s="7">
        <v>45297</v>
      </c>
      <c r="B303" s="5">
        <v>2832.67</v>
      </c>
      <c r="C303" s="5">
        <v>849.8</v>
      </c>
    </row>
    <row r="304" spans="1:3" x14ac:dyDescent="0.25">
      <c r="A304" s="7">
        <v>45298</v>
      </c>
      <c r="B304" s="5">
        <v>2159.4499999999998</v>
      </c>
      <c r="C304" s="5">
        <v>647.83000000000004</v>
      </c>
    </row>
    <row r="305" spans="1:3" x14ac:dyDescent="0.25">
      <c r="A305" s="7">
        <v>45299</v>
      </c>
      <c r="B305" s="5">
        <v>7056.11</v>
      </c>
      <c r="C305" s="5">
        <v>2116.83</v>
      </c>
    </row>
    <row r="306" spans="1:3" x14ac:dyDescent="0.25">
      <c r="A306" s="7">
        <v>45300</v>
      </c>
      <c r="B306" s="5">
        <v>25177.32</v>
      </c>
      <c r="C306" s="5">
        <v>7553.2</v>
      </c>
    </row>
    <row r="307" spans="1:3" x14ac:dyDescent="0.25">
      <c r="A307" s="7">
        <v>45301</v>
      </c>
      <c r="B307" s="5">
        <v>8777.9500000000007</v>
      </c>
      <c r="C307" s="5">
        <v>2633.39</v>
      </c>
    </row>
    <row r="308" spans="1:3" x14ac:dyDescent="0.25">
      <c r="A308" s="7">
        <v>45302</v>
      </c>
      <c r="B308" s="5">
        <v>3209.18</v>
      </c>
      <c r="C308" s="5">
        <v>962.75</v>
      </c>
    </row>
    <row r="309" spans="1:3" x14ac:dyDescent="0.25">
      <c r="A309" s="7">
        <v>45303</v>
      </c>
      <c r="B309" s="5">
        <v>1869.97</v>
      </c>
      <c r="C309" s="5">
        <v>560.99</v>
      </c>
    </row>
    <row r="310" spans="1:3" x14ac:dyDescent="0.25">
      <c r="A310" s="7">
        <v>45304</v>
      </c>
      <c r="B310" s="5">
        <v>5360.3799999999992</v>
      </c>
      <c r="C310" s="5">
        <v>1608.1100000000001</v>
      </c>
    </row>
    <row r="311" spans="1:3" x14ac:dyDescent="0.25">
      <c r="A311" s="7">
        <v>45305</v>
      </c>
      <c r="B311" s="5">
        <v>7844.6799999999994</v>
      </c>
      <c r="C311" s="5">
        <v>2353.41</v>
      </c>
    </row>
    <row r="312" spans="1:3" x14ac:dyDescent="0.25">
      <c r="A312" s="7">
        <v>45306</v>
      </c>
      <c r="B312" s="5">
        <v>5968.33</v>
      </c>
      <c r="C312" s="5">
        <v>1790.5</v>
      </c>
    </row>
    <row r="313" spans="1:3" x14ac:dyDescent="0.25">
      <c r="A313" s="7">
        <v>45307</v>
      </c>
      <c r="B313" s="5">
        <v>2296.39</v>
      </c>
      <c r="C313" s="5">
        <v>688.92</v>
      </c>
    </row>
    <row r="314" spans="1:3" x14ac:dyDescent="0.25">
      <c r="A314" s="7">
        <v>45308</v>
      </c>
      <c r="B314" s="5">
        <v>2029.29</v>
      </c>
      <c r="C314" s="5">
        <v>608.79</v>
      </c>
    </row>
    <row r="315" spans="1:3" x14ac:dyDescent="0.25">
      <c r="A315" s="7">
        <v>45309</v>
      </c>
      <c r="B315" s="5">
        <v>534.96</v>
      </c>
      <c r="C315" s="5">
        <v>160.49</v>
      </c>
    </row>
    <row r="316" spans="1:3" x14ac:dyDescent="0.25">
      <c r="A316" s="7">
        <v>45310</v>
      </c>
      <c r="B316" s="5">
        <v>800.44</v>
      </c>
      <c r="C316" s="5">
        <v>240.13</v>
      </c>
    </row>
    <row r="317" spans="1:3" x14ac:dyDescent="0.25">
      <c r="A317" s="7">
        <v>45311</v>
      </c>
      <c r="B317" s="5">
        <v>8243.4</v>
      </c>
      <c r="C317" s="5">
        <v>2473.02</v>
      </c>
    </row>
    <row r="318" spans="1:3" x14ac:dyDescent="0.25">
      <c r="A318" s="7">
        <v>45313</v>
      </c>
      <c r="B318" s="5">
        <v>3863.7200000000003</v>
      </c>
      <c r="C318" s="5">
        <v>1159.1100000000001</v>
      </c>
    </row>
    <row r="319" spans="1:3" x14ac:dyDescent="0.25">
      <c r="A319" s="7">
        <v>45314</v>
      </c>
      <c r="B319" s="5">
        <v>22346.289999999997</v>
      </c>
      <c r="C319" s="5">
        <v>6703.88</v>
      </c>
    </row>
    <row r="320" spans="1:3" x14ac:dyDescent="0.25">
      <c r="A320" s="7">
        <v>45315</v>
      </c>
      <c r="B320" s="5">
        <v>5462.08</v>
      </c>
      <c r="C320" s="5">
        <v>1638.62</v>
      </c>
    </row>
    <row r="321" spans="1:3" x14ac:dyDescent="0.25">
      <c r="A321" s="7">
        <v>45316</v>
      </c>
      <c r="B321" s="5">
        <v>14096.079999999998</v>
      </c>
      <c r="C321" s="5">
        <v>4228.82</v>
      </c>
    </row>
    <row r="322" spans="1:3" x14ac:dyDescent="0.25">
      <c r="A322" s="7">
        <v>45318</v>
      </c>
      <c r="B322" s="5">
        <v>1659.74</v>
      </c>
      <c r="C322" s="5">
        <v>497.92</v>
      </c>
    </row>
    <row r="323" spans="1:3" x14ac:dyDescent="0.25">
      <c r="A323" s="7">
        <v>45319</v>
      </c>
      <c r="B323" s="5">
        <v>10741.289999999999</v>
      </c>
      <c r="C323" s="5">
        <v>3222.39</v>
      </c>
    </row>
    <row r="324" spans="1:3" x14ac:dyDescent="0.25">
      <c r="A324" s="7">
        <v>45320</v>
      </c>
      <c r="B324" s="5">
        <v>25516.880000000001</v>
      </c>
      <c r="C324" s="5">
        <v>7655.0599999999995</v>
      </c>
    </row>
    <row r="325" spans="1:3" x14ac:dyDescent="0.25">
      <c r="A325" s="7">
        <v>45321</v>
      </c>
      <c r="B325" s="5">
        <v>1241.46</v>
      </c>
      <c r="C325" s="5">
        <v>372.44</v>
      </c>
    </row>
    <row r="326" spans="1:3" x14ac:dyDescent="0.25">
      <c r="A326" s="7">
        <v>45322</v>
      </c>
      <c r="B326" s="5">
        <v>1161.45</v>
      </c>
      <c r="C326" s="5">
        <v>348.44</v>
      </c>
    </row>
    <row r="327" spans="1:3" x14ac:dyDescent="0.25">
      <c r="A327" s="7">
        <v>45323</v>
      </c>
      <c r="B327" s="5">
        <v>1880.19</v>
      </c>
      <c r="C327" s="5">
        <v>564.05999999999995</v>
      </c>
    </row>
    <row r="328" spans="1:3" x14ac:dyDescent="0.25">
      <c r="A328" s="7">
        <v>45325</v>
      </c>
      <c r="B328" s="5">
        <v>14771.300000000001</v>
      </c>
      <c r="C328" s="5">
        <v>4431.38</v>
      </c>
    </row>
    <row r="329" spans="1:3" x14ac:dyDescent="0.25">
      <c r="A329" s="7">
        <v>45326</v>
      </c>
      <c r="B329" s="5">
        <v>10719.54</v>
      </c>
      <c r="C329" s="5">
        <v>3215.86</v>
      </c>
    </row>
    <row r="330" spans="1:3" x14ac:dyDescent="0.25">
      <c r="A330" s="7">
        <v>45327</v>
      </c>
      <c r="B330" s="5">
        <v>5521.12</v>
      </c>
      <c r="C330" s="5">
        <v>1656.34</v>
      </c>
    </row>
    <row r="331" spans="1:3" x14ac:dyDescent="0.25">
      <c r="A331" s="7">
        <v>45328</v>
      </c>
      <c r="B331" s="5">
        <v>2168.9299999999998</v>
      </c>
      <c r="C331" s="5">
        <v>650.67999999999995</v>
      </c>
    </row>
    <row r="332" spans="1:3" x14ac:dyDescent="0.25">
      <c r="A332" s="7">
        <v>45329</v>
      </c>
      <c r="B332" s="5">
        <v>18389.93</v>
      </c>
      <c r="C332" s="5">
        <v>5516.99</v>
      </c>
    </row>
    <row r="333" spans="1:3" x14ac:dyDescent="0.25">
      <c r="A333" s="7">
        <v>45330</v>
      </c>
      <c r="B333" s="5">
        <v>4069.3</v>
      </c>
      <c r="C333" s="5">
        <v>1220.78</v>
      </c>
    </row>
    <row r="334" spans="1:3" x14ac:dyDescent="0.25">
      <c r="A334" s="7">
        <v>45331</v>
      </c>
      <c r="B334" s="5">
        <v>7075.52</v>
      </c>
      <c r="C334" s="5">
        <v>2122.66</v>
      </c>
    </row>
    <row r="335" spans="1:3" x14ac:dyDescent="0.25">
      <c r="A335" s="7">
        <v>45332</v>
      </c>
      <c r="B335" s="5">
        <v>8466.24</v>
      </c>
      <c r="C335" s="5">
        <v>2539.88</v>
      </c>
    </row>
    <row r="336" spans="1:3" x14ac:dyDescent="0.25">
      <c r="A336" s="7">
        <v>45335</v>
      </c>
      <c r="B336" s="5">
        <v>6675.5199999999995</v>
      </c>
      <c r="C336" s="5">
        <v>2002.65</v>
      </c>
    </row>
    <row r="337" spans="1:3" x14ac:dyDescent="0.25">
      <c r="A337" s="7">
        <v>45336</v>
      </c>
      <c r="B337" s="5">
        <v>515.5</v>
      </c>
      <c r="C337" s="5">
        <v>154.65</v>
      </c>
    </row>
    <row r="338" spans="1:3" x14ac:dyDescent="0.25">
      <c r="A338" s="7">
        <v>45337</v>
      </c>
      <c r="B338" s="5">
        <v>13610.849999999999</v>
      </c>
      <c r="C338" s="5">
        <v>4083.25</v>
      </c>
    </row>
    <row r="339" spans="1:3" x14ac:dyDescent="0.25">
      <c r="A339" s="7">
        <v>45338</v>
      </c>
      <c r="B339" s="5">
        <v>318.25</v>
      </c>
      <c r="C339" s="5">
        <v>95.48</v>
      </c>
    </row>
    <row r="340" spans="1:3" x14ac:dyDescent="0.25">
      <c r="A340" s="7">
        <v>45339</v>
      </c>
      <c r="B340" s="5">
        <v>6792.94</v>
      </c>
      <c r="C340" s="5">
        <v>2037.88</v>
      </c>
    </row>
    <row r="341" spans="1:3" x14ac:dyDescent="0.25">
      <c r="A341" s="7">
        <v>45340</v>
      </c>
      <c r="B341" s="5">
        <v>5536.3</v>
      </c>
      <c r="C341" s="5">
        <v>1660.89</v>
      </c>
    </row>
    <row r="342" spans="1:3" x14ac:dyDescent="0.25">
      <c r="A342" s="7">
        <v>45341</v>
      </c>
      <c r="B342" s="5">
        <v>3667.14</v>
      </c>
      <c r="C342" s="5">
        <v>1100.1400000000001</v>
      </c>
    </row>
    <row r="343" spans="1:3" x14ac:dyDescent="0.25">
      <c r="A343" s="7">
        <v>45342</v>
      </c>
      <c r="B343" s="5">
        <v>4334.08</v>
      </c>
      <c r="C343" s="5">
        <v>1300.2200000000003</v>
      </c>
    </row>
    <row r="344" spans="1:3" x14ac:dyDescent="0.25">
      <c r="A344" s="7">
        <v>45343</v>
      </c>
      <c r="B344" s="5">
        <v>1769.48</v>
      </c>
      <c r="C344" s="5">
        <v>530.85</v>
      </c>
    </row>
    <row r="345" spans="1:3" x14ac:dyDescent="0.25">
      <c r="A345" s="7">
        <v>45344</v>
      </c>
      <c r="B345" s="5">
        <v>2992.05</v>
      </c>
      <c r="C345" s="5">
        <v>897.61000000000013</v>
      </c>
    </row>
    <row r="346" spans="1:3" x14ac:dyDescent="0.25">
      <c r="A346" s="7">
        <v>45345</v>
      </c>
      <c r="B346" s="5">
        <v>1634.99</v>
      </c>
      <c r="C346" s="5">
        <v>490.5</v>
      </c>
    </row>
    <row r="347" spans="1:3" x14ac:dyDescent="0.25">
      <c r="A347" s="7">
        <v>45346</v>
      </c>
      <c r="B347" s="5">
        <v>4174.8</v>
      </c>
      <c r="C347" s="5">
        <v>1252.44</v>
      </c>
    </row>
    <row r="348" spans="1:3" x14ac:dyDescent="0.25">
      <c r="A348" s="7">
        <v>45347</v>
      </c>
      <c r="B348" s="5">
        <v>231.88</v>
      </c>
      <c r="C348" s="5">
        <v>69.56</v>
      </c>
    </row>
    <row r="349" spans="1:3" x14ac:dyDescent="0.25">
      <c r="A349" s="7">
        <v>45348</v>
      </c>
      <c r="B349" s="5">
        <v>10762.21</v>
      </c>
      <c r="C349" s="5">
        <v>3228.66</v>
      </c>
    </row>
    <row r="350" spans="1:3" x14ac:dyDescent="0.25">
      <c r="A350" s="7">
        <v>45350</v>
      </c>
      <c r="B350" s="5">
        <v>3992.74</v>
      </c>
      <c r="C350" s="5">
        <v>1197.82</v>
      </c>
    </row>
    <row r="351" spans="1:3" x14ac:dyDescent="0.25">
      <c r="A351" s="7">
        <v>45351</v>
      </c>
      <c r="B351" s="5">
        <v>7165.52</v>
      </c>
      <c r="C351" s="5">
        <v>2149.66</v>
      </c>
    </row>
    <row r="352" spans="1:3" x14ac:dyDescent="0.25">
      <c r="A352" s="7">
        <v>45352</v>
      </c>
      <c r="B352" s="5">
        <v>9227.94</v>
      </c>
      <c r="C352" s="5">
        <v>2768.38</v>
      </c>
    </row>
    <row r="353" spans="1:3" x14ac:dyDescent="0.25">
      <c r="A353" s="7">
        <v>45354</v>
      </c>
      <c r="B353" s="5">
        <v>8737.23</v>
      </c>
      <c r="C353" s="5">
        <v>2621.1699999999996</v>
      </c>
    </row>
    <row r="354" spans="1:3" x14ac:dyDescent="0.25">
      <c r="A354" s="7">
        <v>45355</v>
      </c>
      <c r="B354" s="5">
        <v>1500.51</v>
      </c>
      <c r="C354" s="5">
        <v>450.15</v>
      </c>
    </row>
    <row r="355" spans="1:3" x14ac:dyDescent="0.25">
      <c r="A355" s="7">
        <v>45356</v>
      </c>
      <c r="B355" s="5">
        <v>557.7700000000001</v>
      </c>
      <c r="C355" s="5">
        <v>167.33</v>
      </c>
    </row>
    <row r="356" spans="1:3" x14ac:dyDescent="0.25">
      <c r="A356" s="7">
        <v>45357</v>
      </c>
      <c r="B356" s="5">
        <v>2551.8900000000003</v>
      </c>
      <c r="C356" s="5">
        <v>765.57</v>
      </c>
    </row>
    <row r="357" spans="1:3" x14ac:dyDescent="0.25">
      <c r="A357" s="7">
        <v>45358</v>
      </c>
      <c r="B357" s="5">
        <v>2819.61</v>
      </c>
      <c r="C357" s="5">
        <v>845.88</v>
      </c>
    </row>
    <row r="358" spans="1:3" x14ac:dyDescent="0.25">
      <c r="A358" s="7">
        <v>45360</v>
      </c>
      <c r="B358" s="5">
        <v>12323.42</v>
      </c>
      <c r="C358" s="5">
        <v>3697.0299999999997</v>
      </c>
    </row>
    <row r="359" spans="1:3" x14ac:dyDescent="0.25">
      <c r="A359" s="7">
        <v>45363</v>
      </c>
      <c r="B359" s="5">
        <v>507.88</v>
      </c>
      <c r="C359" s="5">
        <v>152.36000000000001</v>
      </c>
    </row>
    <row r="360" spans="1:3" x14ac:dyDescent="0.25">
      <c r="A360" s="7">
        <v>45365</v>
      </c>
      <c r="B360" s="5">
        <v>17369.560000000001</v>
      </c>
      <c r="C360" s="5">
        <v>5210.8700000000008</v>
      </c>
    </row>
    <row r="361" spans="1:3" x14ac:dyDescent="0.25">
      <c r="A361" s="7">
        <v>45366</v>
      </c>
      <c r="B361" s="5">
        <v>7203.4</v>
      </c>
      <c r="C361" s="5">
        <v>2161.02</v>
      </c>
    </row>
    <row r="362" spans="1:3" x14ac:dyDescent="0.25">
      <c r="A362" s="7">
        <v>45368</v>
      </c>
      <c r="B362" s="5">
        <v>1711.7299999999998</v>
      </c>
      <c r="C362" s="5">
        <v>513.52</v>
      </c>
    </row>
    <row r="363" spans="1:3" x14ac:dyDescent="0.25">
      <c r="A363" s="7">
        <v>45370</v>
      </c>
      <c r="B363" s="5">
        <v>3032.24</v>
      </c>
      <c r="C363" s="5">
        <v>909.68</v>
      </c>
    </row>
    <row r="364" spans="1:3" x14ac:dyDescent="0.25">
      <c r="A364" s="7">
        <v>45372</v>
      </c>
      <c r="B364" s="5">
        <v>35479.240000000005</v>
      </c>
      <c r="C364" s="5">
        <v>10643.78</v>
      </c>
    </row>
    <row r="365" spans="1:3" x14ac:dyDescent="0.25">
      <c r="A365" s="7">
        <v>45373</v>
      </c>
      <c r="B365" s="5">
        <v>16557.18</v>
      </c>
      <c r="C365" s="5">
        <v>4967.16</v>
      </c>
    </row>
    <row r="366" spans="1:3" x14ac:dyDescent="0.25">
      <c r="A366" s="7">
        <v>45374</v>
      </c>
      <c r="B366" s="5">
        <v>1748.4099999999999</v>
      </c>
      <c r="C366" s="5">
        <v>524.53</v>
      </c>
    </row>
    <row r="367" spans="1:3" x14ac:dyDescent="0.25">
      <c r="A367" s="7">
        <v>45375</v>
      </c>
      <c r="B367" s="5">
        <v>8125.03</v>
      </c>
      <c r="C367" s="5">
        <v>2437.5100000000002</v>
      </c>
    </row>
    <row r="368" spans="1:3" x14ac:dyDescent="0.25">
      <c r="A368" s="7">
        <v>45376</v>
      </c>
      <c r="B368" s="5">
        <v>2811.82</v>
      </c>
      <c r="C368" s="5">
        <v>843.54</v>
      </c>
    </row>
    <row r="369" spans="1:3" x14ac:dyDescent="0.25">
      <c r="A369" s="7">
        <v>45377</v>
      </c>
      <c r="B369" s="5">
        <v>8261.69</v>
      </c>
      <c r="C369" s="5">
        <v>2478.5100000000002</v>
      </c>
    </row>
    <row r="370" spans="1:3" x14ac:dyDescent="0.25">
      <c r="A370" s="7">
        <v>45380</v>
      </c>
      <c r="B370" s="5">
        <v>3775.76</v>
      </c>
      <c r="C370" s="5">
        <v>1132.7199999999998</v>
      </c>
    </row>
    <row r="371" spans="1:3" x14ac:dyDescent="0.25">
      <c r="A371" s="7">
        <v>45381</v>
      </c>
      <c r="B371" s="5">
        <v>750.01</v>
      </c>
      <c r="C371" s="5">
        <v>225</v>
      </c>
    </row>
    <row r="372" spans="1:3" x14ac:dyDescent="0.25">
      <c r="A372" s="7">
        <v>45382</v>
      </c>
      <c r="B372" s="5">
        <v>6526.03</v>
      </c>
      <c r="C372" s="5">
        <v>1957.81</v>
      </c>
    </row>
    <row r="373" spans="1:3" x14ac:dyDescent="0.25">
      <c r="A373" s="7">
        <v>45383</v>
      </c>
      <c r="B373" s="5">
        <v>13209.69</v>
      </c>
      <c r="C373" s="5">
        <v>3962.9</v>
      </c>
    </row>
    <row r="374" spans="1:3" x14ac:dyDescent="0.25">
      <c r="A374" s="7">
        <v>45385</v>
      </c>
      <c r="B374" s="5">
        <v>2521.73</v>
      </c>
      <c r="C374" s="5">
        <v>756.52</v>
      </c>
    </row>
    <row r="375" spans="1:3" x14ac:dyDescent="0.25">
      <c r="A375" s="7">
        <v>45386</v>
      </c>
      <c r="B375" s="5">
        <v>1642.34</v>
      </c>
      <c r="C375" s="5">
        <v>492.7</v>
      </c>
    </row>
    <row r="376" spans="1:3" x14ac:dyDescent="0.25">
      <c r="A376" s="7">
        <v>45387</v>
      </c>
      <c r="B376" s="5">
        <v>8865.3599999999988</v>
      </c>
      <c r="C376" s="5">
        <v>2659.61</v>
      </c>
    </row>
    <row r="377" spans="1:3" x14ac:dyDescent="0.25">
      <c r="A377" s="7">
        <v>45388</v>
      </c>
      <c r="B377" s="5">
        <v>7012.27</v>
      </c>
      <c r="C377" s="5">
        <v>2103.67</v>
      </c>
    </row>
    <row r="378" spans="1:3" x14ac:dyDescent="0.25">
      <c r="A378" s="7">
        <v>45389</v>
      </c>
      <c r="B378" s="5">
        <v>8984.93</v>
      </c>
      <c r="C378" s="5">
        <v>2695.48</v>
      </c>
    </row>
    <row r="379" spans="1:3" x14ac:dyDescent="0.25">
      <c r="A379" s="7">
        <v>45390</v>
      </c>
      <c r="B379" s="5">
        <v>14966.08</v>
      </c>
      <c r="C379" s="5">
        <v>4489.82</v>
      </c>
    </row>
    <row r="380" spans="1:3" x14ac:dyDescent="0.25">
      <c r="A380" s="7">
        <v>45391</v>
      </c>
      <c r="B380" s="5">
        <v>985.27</v>
      </c>
      <c r="C380" s="5">
        <v>295.58</v>
      </c>
    </row>
    <row r="381" spans="1:3" x14ac:dyDescent="0.25">
      <c r="A381" s="7">
        <v>45392</v>
      </c>
      <c r="B381" s="5">
        <v>17501.260000000002</v>
      </c>
      <c r="C381" s="5">
        <v>5250.369999999999</v>
      </c>
    </row>
    <row r="382" spans="1:3" x14ac:dyDescent="0.25">
      <c r="A382" s="7">
        <v>45393</v>
      </c>
      <c r="B382" s="5">
        <v>11585.98</v>
      </c>
      <c r="C382" s="5">
        <v>3475.79</v>
      </c>
    </row>
    <row r="383" spans="1:3" x14ac:dyDescent="0.25">
      <c r="A383" s="7">
        <v>45395</v>
      </c>
      <c r="B383" s="5">
        <v>14931.28</v>
      </c>
      <c r="C383" s="5">
        <v>4479.38</v>
      </c>
    </row>
    <row r="384" spans="1:3" x14ac:dyDescent="0.25">
      <c r="A384" s="7">
        <v>45397</v>
      </c>
      <c r="B384" s="5">
        <v>286.86</v>
      </c>
      <c r="C384" s="5">
        <v>86.06</v>
      </c>
    </row>
    <row r="385" spans="1:3" x14ac:dyDescent="0.25">
      <c r="A385" s="7">
        <v>45398</v>
      </c>
      <c r="B385" s="5">
        <v>6255.5499999999993</v>
      </c>
      <c r="C385" s="5">
        <v>1876.66</v>
      </c>
    </row>
    <row r="386" spans="1:3" x14ac:dyDescent="0.25">
      <c r="A386" s="7">
        <v>45399</v>
      </c>
      <c r="B386" s="5">
        <v>2105.71</v>
      </c>
      <c r="C386" s="5">
        <v>631.71</v>
      </c>
    </row>
    <row r="387" spans="1:3" x14ac:dyDescent="0.25">
      <c r="A387" s="7">
        <v>45401</v>
      </c>
      <c r="B387" s="5">
        <v>5479.54</v>
      </c>
      <c r="C387" s="5">
        <v>1643.8600000000001</v>
      </c>
    </row>
    <row r="388" spans="1:3" x14ac:dyDescent="0.25">
      <c r="A388" s="7">
        <v>45402</v>
      </c>
      <c r="B388" s="5">
        <v>29465.42</v>
      </c>
      <c r="C388" s="5">
        <v>8839.61</v>
      </c>
    </row>
    <row r="389" spans="1:3" x14ac:dyDescent="0.25">
      <c r="A389" s="7">
        <v>45403</v>
      </c>
      <c r="B389" s="5">
        <v>8807.7800000000007</v>
      </c>
      <c r="C389" s="5">
        <v>2642.33</v>
      </c>
    </row>
    <row r="390" spans="1:3" x14ac:dyDescent="0.25">
      <c r="A390" s="7">
        <v>45404</v>
      </c>
      <c r="B390" s="5">
        <v>1910.85</v>
      </c>
      <c r="C390" s="5">
        <v>573.26</v>
      </c>
    </row>
    <row r="391" spans="1:3" x14ac:dyDescent="0.25">
      <c r="A391" s="7">
        <v>45405</v>
      </c>
      <c r="B391" s="5">
        <v>11682.54</v>
      </c>
      <c r="C391" s="5">
        <v>3504.77</v>
      </c>
    </row>
    <row r="392" spans="1:3" x14ac:dyDescent="0.25">
      <c r="A392" s="7">
        <v>45406</v>
      </c>
      <c r="B392" s="5">
        <v>688.37</v>
      </c>
      <c r="C392" s="5">
        <v>206.51</v>
      </c>
    </row>
    <row r="393" spans="1:3" x14ac:dyDescent="0.25">
      <c r="A393" s="7">
        <v>45407</v>
      </c>
      <c r="B393" s="5">
        <v>10154.570000000002</v>
      </c>
      <c r="C393" s="5">
        <v>3046.3700000000003</v>
      </c>
    </row>
    <row r="394" spans="1:3" x14ac:dyDescent="0.25">
      <c r="A394" s="7">
        <v>45408</v>
      </c>
      <c r="B394" s="5">
        <v>20445.940000000002</v>
      </c>
      <c r="C394" s="5">
        <v>6133.78</v>
      </c>
    </row>
    <row r="395" spans="1:3" x14ac:dyDescent="0.25">
      <c r="A395" s="7">
        <v>45410</v>
      </c>
      <c r="B395" s="5">
        <v>4901.9399999999996</v>
      </c>
      <c r="C395" s="5">
        <v>1470.58</v>
      </c>
    </row>
    <row r="396" spans="1:3" x14ac:dyDescent="0.25">
      <c r="A396" s="7">
        <v>45411</v>
      </c>
      <c r="B396" s="5">
        <v>10820.75</v>
      </c>
      <c r="C396" s="5">
        <v>3246.2200000000003</v>
      </c>
    </row>
    <row r="397" spans="1:3" x14ac:dyDescent="0.25">
      <c r="A397" s="7">
        <v>45412</v>
      </c>
      <c r="B397" s="5">
        <v>9480.1299999999992</v>
      </c>
      <c r="C397" s="5">
        <v>2844.04</v>
      </c>
    </row>
    <row r="398" spans="1:3" x14ac:dyDescent="0.25">
      <c r="A398" s="7">
        <v>45414</v>
      </c>
      <c r="B398" s="5">
        <v>1042.0999999999999</v>
      </c>
      <c r="C398" s="5">
        <v>312.63</v>
      </c>
    </row>
    <row r="399" spans="1:3" x14ac:dyDescent="0.25">
      <c r="A399" s="7">
        <v>45415</v>
      </c>
      <c r="B399" s="5">
        <v>6514.26</v>
      </c>
      <c r="C399" s="5">
        <v>1954.28</v>
      </c>
    </row>
    <row r="400" spans="1:3" x14ac:dyDescent="0.25">
      <c r="A400" s="7">
        <v>45416</v>
      </c>
      <c r="B400" s="5">
        <v>2579.7199999999998</v>
      </c>
      <c r="C400" s="5">
        <v>773.92</v>
      </c>
    </row>
    <row r="401" spans="1:3" x14ac:dyDescent="0.25">
      <c r="A401" s="7">
        <v>45417</v>
      </c>
      <c r="B401" s="5">
        <v>11827.97</v>
      </c>
      <c r="C401" s="5">
        <v>3548.39</v>
      </c>
    </row>
    <row r="402" spans="1:3" x14ac:dyDescent="0.25">
      <c r="A402" s="7">
        <v>45418</v>
      </c>
      <c r="B402" s="5">
        <v>11590.24</v>
      </c>
      <c r="C402" s="5">
        <v>3477.0699999999997</v>
      </c>
    </row>
    <row r="403" spans="1:3" x14ac:dyDescent="0.25">
      <c r="A403" s="7">
        <v>45420</v>
      </c>
      <c r="B403" s="5">
        <v>11134.26</v>
      </c>
      <c r="C403" s="5">
        <v>3340.28</v>
      </c>
    </row>
    <row r="404" spans="1:3" x14ac:dyDescent="0.25">
      <c r="A404" s="7">
        <v>45423</v>
      </c>
      <c r="B404" s="5">
        <v>5265.24</v>
      </c>
      <c r="C404" s="5">
        <v>1579.57</v>
      </c>
    </row>
    <row r="405" spans="1:3" x14ac:dyDescent="0.25">
      <c r="A405" s="7">
        <v>45425</v>
      </c>
      <c r="B405" s="5">
        <v>1664.26</v>
      </c>
      <c r="C405" s="5">
        <v>499.28</v>
      </c>
    </row>
    <row r="406" spans="1:3" x14ac:dyDescent="0.25">
      <c r="A406" s="7">
        <v>45426</v>
      </c>
      <c r="B406" s="5">
        <v>4159.3599999999997</v>
      </c>
      <c r="C406" s="5">
        <v>1247.81</v>
      </c>
    </row>
    <row r="407" spans="1:3" x14ac:dyDescent="0.25">
      <c r="A407" s="7">
        <v>45428</v>
      </c>
      <c r="B407" s="5">
        <v>8384.26</v>
      </c>
      <c r="C407" s="5">
        <v>2515.27</v>
      </c>
    </row>
    <row r="408" spans="1:3" x14ac:dyDescent="0.25">
      <c r="A408" s="7">
        <v>45431</v>
      </c>
      <c r="B408" s="5">
        <v>9764.9699999999993</v>
      </c>
      <c r="C408" s="5">
        <v>2929.49</v>
      </c>
    </row>
    <row r="409" spans="1:3" x14ac:dyDescent="0.25">
      <c r="A409" s="7">
        <v>45432</v>
      </c>
      <c r="B409" s="5">
        <v>9669.7000000000007</v>
      </c>
      <c r="C409" s="5">
        <v>2900.91</v>
      </c>
    </row>
    <row r="410" spans="1:3" x14ac:dyDescent="0.25">
      <c r="A410" s="7">
        <v>45433</v>
      </c>
      <c r="B410" s="5">
        <v>2504.52</v>
      </c>
      <c r="C410" s="5">
        <v>751.36</v>
      </c>
    </row>
    <row r="411" spans="1:3" x14ac:dyDescent="0.25">
      <c r="A411" s="7">
        <v>45434</v>
      </c>
      <c r="B411" s="5">
        <v>4179.4799999999996</v>
      </c>
      <c r="C411" s="5">
        <v>1253.8399999999999</v>
      </c>
    </row>
    <row r="412" spans="1:3" x14ac:dyDescent="0.25">
      <c r="A412" s="7">
        <v>45435</v>
      </c>
      <c r="B412" s="5">
        <v>1519.7</v>
      </c>
      <c r="C412" s="5">
        <v>455.90999999999997</v>
      </c>
    </row>
    <row r="413" spans="1:3" x14ac:dyDescent="0.25">
      <c r="A413" s="7">
        <v>45436</v>
      </c>
      <c r="B413" s="5">
        <v>2808</v>
      </c>
      <c r="C413" s="5">
        <v>842.4</v>
      </c>
    </row>
    <row r="414" spans="1:3" x14ac:dyDescent="0.25">
      <c r="A414" s="7">
        <v>45437</v>
      </c>
      <c r="B414" s="5">
        <v>9095.8700000000008</v>
      </c>
      <c r="C414" s="5">
        <v>2728.76</v>
      </c>
    </row>
    <row r="415" spans="1:3" x14ac:dyDescent="0.25">
      <c r="A415" s="7">
        <v>45438</v>
      </c>
      <c r="B415" s="5">
        <v>17742.879999999997</v>
      </c>
      <c r="C415" s="5">
        <v>5322.8700000000008</v>
      </c>
    </row>
    <row r="416" spans="1:3" x14ac:dyDescent="0.25">
      <c r="A416" s="7">
        <v>45440</v>
      </c>
      <c r="B416" s="5">
        <v>10806.830000000002</v>
      </c>
      <c r="C416" s="5">
        <v>3242.05</v>
      </c>
    </row>
    <row r="417" spans="1:3" x14ac:dyDescent="0.25">
      <c r="A417" s="7">
        <v>45441</v>
      </c>
      <c r="B417" s="5">
        <v>309.95999999999998</v>
      </c>
      <c r="C417" s="5">
        <v>92.99</v>
      </c>
    </row>
    <row r="418" spans="1:3" x14ac:dyDescent="0.25">
      <c r="A418" s="7">
        <v>45442</v>
      </c>
      <c r="B418" s="5">
        <v>2122.2199999999998</v>
      </c>
      <c r="C418" s="5">
        <v>636.66</v>
      </c>
    </row>
    <row r="419" spans="1:3" x14ac:dyDescent="0.25">
      <c r="A419" s="7">
        <v>45444</v>
      </c>
      <c r="B419" s="5">
        <v>552.92999999999995</v>
      </c>
      <c r="C419" s="5">
        <v>165.88</v>
      </c>
    </row>
    <row r="420" spans="1:3" x14ac:dyDescent="0.25">
      <c r="A420" s="7">
        <v>45445</v>
      </c>
      <c r="B420" s="5">
        <v>16517.59</v>
      </c>
      <c r="C420" s="5">
        <v>4955.28</v>
      </c>
    </row>
    <row r="421" spans="1:3" x14ac:dyDescent="0.25">
      <c r="A421" s="7">
        <v>45446</v>
      </c>
      <c r="B421" s="5">
        <v>1072.9100000000001</v>
      </c>
      <c r="C421" s="5">
        <v>321.88</v>
      </c>
    </row>
    <row r="422" spans="1:3" x14ac:dyDescent="0.25">
      <c r="A422" s="7">
        <v>45447</v>
      </c>
      <c r="B422" s="5">
        <v>8098.1699999999992</v>
      </c>
      <c r="C422" s="5">
        <v>2429.4499999999998</v>
      </c>
    </row>
    <row r="423" spans="1:3" x14ac:dyDescent="0.25">
      <c r="A423" s="7">
        <v>45448</v>
      </c>
      <c r="B423" s="5">
        <v>4492.34</v>
      </c>
      <c r="C423" s="5">
        <v>1347.71</v>
      </c>
    </row>
    <row r="424" spans="1:3" x14ac:dyDescent="0.25">
      <c r="A424" s="7">
        <v>45449</v>
      </c>
      <c r="B424" s="5">
        <v>15683.859999999999</v>
      </c>
      <c r="C424" s="5">
        <v>4705.16</v>
      </c>
    </row>
    <row r="425" spans="1:3" x14ac:dyDescent="0.25">
      <c r="A425" s="7">
        <v>45450</v>
      </c>
      <c r="B425" s="5">
        <v>401.93</v>
      </c>
      <c r="C425" s="5">
        <v>120.58</v>
      </c>
    </row>
    <row r="426" spans="1:3" x14ac:dyDescent="0.25">
      <c r="A426" s="7">
        <v>45452</v>
      </c>
      <c r="B426" s="5">
        <v>3674.68</v>
      </c>
      <c r="C426" s="5">
        <v>1102.4000000000001</v>
      </c>
    </row>
    <row r="427" spans="1:3" x14ac:dyDescent="0.25">
      <c r="A427" s="7">
        <v>45454</v>
      </c>
      <c r="B427" s="5">
        <v>2557.9699999999998</v>
      </c>
      <c r="C427" s="5">
        <v>767.39</v>
      </c>
    </row>
    <row r="428" spans="1:3" x14ac:dyDescent="0.25">
      <c r="A428" s="7">
        <v>45455</v>
      </c>
      <c r="B428" s="5">
        <v>4224.8</v>
      </c>
      <c r="C428" s="5">
        <v>1267.4399999999998</v>
      </c>
    </row>
    <row r="429" spans="1:3" x14ac:dyDescent="0.25">
      <c r="A429" s="7">
        <v>45456</v>
      </c>
      <c r="B429" s="5">
        <v>2640.24</v>
      </c>
      <c r="C429" s="5">
        <v>792.07</v>
      </c>
    </row>
    <row r="430" spans="1:3" x14ac:dyDescent="0.25">
      <c r="A430" s="7">
        <v>45457</v>
      </c>
      <c r="B430" s="5">
        <v>10660.619999999999</v>
      </c>
      <c r="C430" s="5">
        <v>3198.19</v>
      </c>
    </row>
    <row r="431" spans="1:3" x14ac:dyDescent="0.25">
      <c r="A431" s="7">
        <v>45458</v>
      </c>
      <c r="B431" s="5">
        <v>803.49</v>
      </c>
      <c r="C431" s="5">
        <v>241.04000000000002</v>
      </c>
    </row>
    <row r="432" spans="1:3" x14ac:dyDescent="0.25">
      <c r="A432" s="7">
        <v>45459</v>
      </c>
      <c r="B432" s="5">
        <v>10410.950000000003</v>
      </c>
      <c r="C432" s="5">
        <v>3123.29</v>
      </c>
    </row>
    <row r="433" spans="1:3" x14ac:dyDescent="0.25">
      <c r="A433" s="7">
        <v>45460</v>
      </c>
      <c r="B433" s="5">
        <v>9575.0199999999986</v>
      </c>
      <c r="C433" s="5">
        <v>2872.5</v>
      </c>
    </row>
    <row r="434" spans="1:3" x14ac:dyDescent="0.25">
      <c r="A434" s="7">
        <v>45461</v>
      </c>
      <c r="B434" s="5">
        <v>7712.42</v>
      </c>
      <c r="C434" s="5">
        <v>2313.73</v>
      </c>
    </row>
    <row r="435" spans="1:3" x14ac:dyDescent="0.25">
      <c r="A435" s="7">
        <v>45462</v>
      </c>
      <c r="B435" s="5">
        <v>3574.67</v>
      </c>
      <c r="C435" s="5">
        <v>1072.3999999999999</v>
      </c>
    </row>
    <row r="436" spans="1:3" x14ac:dyDescent="0.25">
      <c r="A436" s="7">
        <v>45463</v>
      </c>
      <c r="B436" s="5">
        <v>6179.85</v>
      </c>
      <c r="C436" s="5">
        <v>1853.96</v>
      </c>
    </row>
    <row r="437" spans="1:3" x14ac:dyDescent="0.25">
      <c r="A437" s="7">
        <v>45464</v>
      </c>
      <c r="B437" s="5">
        <v>22801.129999999997</v>
      </c>
      <c r="C437" s="5">
        <v>6840.33</v>
      </c>
    </row>
    <row r="438" spans="1:3" x14ac:dyDescent="0.25">
      <c r="A438" s="7">
        <v>45465</v>
      </c>
      <c r="B438" s="5">
        <v>1483.11</v>
      </c>
      <c r="C438" s="5">
        <v>444.93</v>
      </c>
    </row>
    <row r="439" spans="1:3" x14ac:dyDescent="0.25">
      <c r="A439" s="7">
        <v>45466</v>
      </c>
      <c r="B439" s="5">
        <v>277.01</v>
      </c>
      <c r="C439" s="5">
        <v>83.1</v>
      </c>
    </row>
    <row r="440" spans="1:3" x14ac:dyDescent="0.25">
      <c r="A440" s="7">
        <v>45467</v>
      </c>
      <c r="B440" s="5">
        <v>21540.59</v>
      </c>
      <c r="C440" s="5">
        <v>6462.1799999999994</v>
      </c>
    </row>
    <row r="441" spans="1:3" x14ac:dyDescent="0.25">
      <c r="A441" s="7">
        <v>45468</v>
      </c>
      <c r="B441" s="5">
        <v>5031.84</v>
      </c>
      <c r="C441" s="5">
        <v>1509.54</v>
      </c>
    </row>
    <row r="442" spans="1:3" x14ac:dyDescent="0.25">
      <c r="A442" s="7">
        <v>45469</v>
      </c>
      <c r="B442" s="5">
        <v>2867.1</v>
      </c>
      <c r="C442" s="5">
        <v>860.14</v>
      </c>
    </row>
    <row r="443" spans="1:3" x14ac:dyDescent="0.25">
      <c r="A443" s="7">
        <v>45470</v>
      </c>
      <c r="B443" s="5">
        <v>4212.76</v>
      </c>
      <c r="C443" s="5">
        <v>1263.83</v>
      </c>
    </row>
    <row r="444" spans="1:3" x14ac:dyDescent="0.25">
      <c r="A444" s="7">
        <v>45471</v>
      </c>
      <c r="B444" s="5">
        <v>4043.0600000000004</v>
      </c>
      <c r="C444" s="5">
        <v>1212.92</v>
      </c>
    </row>
    <row r="445" spans="1:3" x14ac:dyDescent="0.25">
      <c r="A445" s="7">
        <v>45472</v>
      </c>
      <c r="B445" s="5">
        <v>504.15</v>
      </c>
      <c r="C445" s="5">
        <v>151.25</v>
      </c>
    </row>
    <row r="446" spans="1:3" x14ac:dyDescent="0.25">
      <c r="A446" s="7">
        <v>45473</v>
      </c>
      <c r="B446" s="5">
        <v>23415.75</v>
      </c>
      <c r="C446" s="5">
        <v>7024.72</v>
      </c>
    </row>
    <row r="447" spans="1:3" x14ac:dyDescent="0.25">
      <c r="A447" s="7">
        <v>45474</v>
      </c>
      <c r="B447" s="5">
        <v>1108.3800000000001</v>
      </c>
      <c r="C447" s="5">
        <v>332.52</v>
      </c>
    </row>
    <row r="448" spans="1:3" x14ac:dyDescent="0.25">
      <c r="A448" s="7">
        <v>45475</v>
      </c>
      <c r="B448" s="5">
        <v>3285.25</v>
      </c>
      <c r="C448" s="5">
        <v>985.58</v>
      </c>
    </row>
    <row r="449" spans="1:3" x14ac:dyDescent="0.25">
      <c r="A449" s="7">
        <v>45476</v>
      </c>
      <c r="B449" s="5">
        <v>5497.17</v>
      </c>
      <c r="C449" s="5">
        <v>1649.15</v>
      </c>
    </row>
    <row r="450" spans="1:3" x14ac:dyDescent="0.25">
      <c r="A450" s="7">
        <v>45477</v>
      </c>
      <c r="B450" s="5">
        <v>6060.31</v>
      </c>
      <c r="C450" s="5">
        <v>1818.08</v>
      </c>
    </row>
    <row r="451" spans="1:3" x14ac:dyDescent="0.25">
      <c r="A451" s="7">
        <v>45478</v>
      </c>
      <c r="B451" s="5">
        <v>1684.5</v>
      </c>
      <c r="C451" s="5">
        <v>505.35</v>
      </c>
    </row>
    <row r="452" spans="1:3" x14ac:dyDescent="0.25">
      <c r="A452" s="7">
        <v>45480</v>
      </c>
      <c r="B452" s="5">
        <v>9476.2199999999993</v>
      </c>
      <c r="C452" s="5">
        <v>2842.87</v>
      </c>
    </row>
    <row r="453" spans="1:3" x14ac:dyDescent="0.25">
      <c r="A453" s="7">
        <v>45481</v>
      </c>
      <c r="B453" s="5">
        <v>16365.32</v>
      </c>
      <c r="C453" s="5">
        <v>4909.59</v>
      </c>
    </row>
    <row r="454" spans="1:3" x14ac:dyDescent="0.25">
      <c r="A454" s="7">
        <v>45482</v>
      </c>
      <c r="B454" s="5">
        <v>1628.8400000000001</v>
      </c>
      <c r="C454" s="5">
        <v>488.65000000000003</v>
      </c>
    </row>
    <row r="455" spans="1:3" x14ac:dyDescent="0.25">
      <c r="A455" s="7">
        <v>45483</v>
      </c>
      <c r="B455" s="5">
        <v>13087.599999999999</v>
      </c>
      <c r="C455" s="5">
        <v>3926.28</v>
      </c>
    </row>
    <row r="456" spans="1:3" x14ac:dyDescent="0.25">
      <c r="A456" s="7">
        <v>45484</v>
      </c>
      <c r="B456" s="5">
        <v>4776.7700000000004</v>
      </c>
      <c r="C456" s="5">
        <v>1433.04</v>
      </c>
    </row>
    <row r="457" spans="1:3" x14ac:dyDescent="0.25">
      <c r="A457" s="7">
        <v>45485</v>
      </c>
      <c r="B457" s="5">
        <v>3545.69</v>
      </c>
      <c r="C457" s="5">
        <v>1063.71</v>
      </c>
    </row>
    <row r="458" spans="1:3" x14ac:dyDescent="0.25">
      <c r="A458" s="7">
        <v>45486</v>
      </c>
      <c r="B458" s="5">
        <v>8865.5</v>
      </c>
      <c r="C458" s="5">
        <v>2659.6499999999996</v>
      </c>
    </row>
    <row r="459" spans="1:3" x14ac:dyDescent="0.25">
      <c r="A459" s="7">
        <v>45487</v>
      </c>
      <c r="B459" s="5">
        <v>839.58999999999992</v>
      </c>
      <c r="C459" s="5">
        <v>251.88</v>
      </c>
    </row>
    <row r="460" spans="1:3" x14ac:dyDescent="0.25">
      <c r="A460" s="7">
        <v>45488</v>
      </c>
      <c r="B460" s="5">
        <v>11301.84</v>
      </c>
      <c r="C460" s="5">
        <v>3390.5399999999995</v>
      </c>
    </row>
    <row r="461" spans="1:3" x14ac:dyDescent="0.25">
      <c r="A461" s="7">
        <v>45489</v>
      </c>
      <c r="B461" s="5">
        <v>6750.63</v>
      </c>
      <c r="C461" s="5">
        <v>2025.19</v>
      </c>
    </row>
    <row r="462" spans="1:3" x14ac:dyDescent="0.25">
      <c r="A462" s="7">
        <v>45490</v>
      </c>
      <c r="B462" s="5">
        <v>5790.25</v>
      </c>
      <c r="C462" s="5">
        <v>1737.08</v>
      </c>
    </row>
    <row r="463" spans="1:3" x14ac:dyDescent="0.25">
      <c r="A463" s="7">
        <v>45491</v>
      </c>
      <c r="B463" s="5">
        <v>14658.61</v>
      </c>
      <c r="C463" s="5">
        <v>4397.59</v>
      </c>
    </row>
    <row r="464" spans="1:3" x14ac:dyDescent="0.25">
      <c r="A464" s="7">
        <v>45493</v>
      </c>
      <c r="B464" s="5">
        <v>3343.5</v>
      </c>
      <c r="C464" s="5">
        <v>1003.0500000000001</v>
      </c>
    </row>
    <row r="465" spans="1:3" x14ac:dyDescent="0.25">
      <c r="A465" s="7">
        <v>45494</v>
      </c>
      <c r="B465" s="5">
        <v>2791.02</v>
      </c>
      <c r="C465" s="5">
        <v>837.31</v>
      </c>
    </row>
    <row r="466" spans="1:3" x14ac:dyDescent="0.25">
      <c r="A466" s="7">
        <v>45497</v>
      </c>
      <c r="B466" s="5">
        <v>4531.93</v>
      </c>
      <c r="C466" s="5">
        <v>1359.58</v>
      </c>
    </row>
    <row r="467" spans="1:3" x14ac:dyDescent="0.25">
      <c r="A467" s="7">
        <v>45498</v>
      </c>
      <c r="B467" s="5">
        <v>5232.5300000000007</v>
      </c>
      <c r="C467" s="5">
        <v>1569.76</v>
      </c>
    </row>
    <row r="468" spans="1:3" x14ac:dyDescent="0.25">
      <c r="A468" s="7">
        <v>45499</v>
      </c>
      <c r="B468" s="5">
        <v>3722.34</v>
      </c>
      <c r="C468" s="5">
        <v>1116.7</v>
      </c>
    </row>
    <row r="469" spans="1:3" x14ac:dyDescent="0.25">
      <c r="A469" s="7">
        <v>45500</v>
      </c>
      <c r="B469" s="5">
        <v>4500.83</v>
      </c>
      <c r="C469" s="5">
        <v>1350.26</v>
      </c>
    </row>
    <row r="470" spans="1:3" x14ac:dyDescent="0.25">
      <c r="A470" s="7">
        <v>45501</v>
      </c>
      <c r="B470" s="5">
        <v>366.36</v>
      </c>
      <c r="C470" s="5">
        <v>109.91</v>
      </c>
    </row>
    <row r="471" spans="1:3" x14ac:dyDescent="0.25">
      <c r="A471" s="7">
        <v>45502</v>
      </c>
      <c r="B471" s="5">
        <v>3029.4</v>
      </c>
      <c r="C471" s="5">
        <v>908.82</v>
      </c>
    </row>
    <row r="472" spans="1:3" x14ac:dyDescent="0.25">
      <c r="A472" s="7">
        <v>45503</v>
      </c>
      <c r="B472" s="5">
        <v>7672.95</v>
      </c>
      <c r="C472" s="5">
        <v>2301.89</v>
      </c>
    </row>
    <row r="473" spans="1:3" x14ac:dyDescent="0.25">
      <c r="A473" s="7">
        <v>45505</v>
      </c>
      <c r="B473" s="5">
        <v>5868.62</v>
      </c>
      <c r="C473" s="5">
        <v>1760.59</v>
      </c>
    </row>
    <row r="474" spans="1:3" x14ac:dyDescent="0.25">
      <c r="A474" s="7">
        <v>45507</v>
      </c>
      <c r="B474" s="5">
        <v>1135.58</v>
      </c>
      <c r="C474" s="5">
        <v>340.67</v>
      </c>
    </row>
    <row r="475" spans="1:3" x14ac:dyDescent="0.25">
      <c r="A475" s="7">
        <v>45508</v>
      </c>
      <c r="B475" s="5">
        <v>4647.26</v>
      </c>
      <c r="C475" s="5">
        <v>1394.1799999999998</v>
      </c>
    </row>
    <row r="476" spans="1:3" x14ac:dyDescent="0.25">
      <c r="A476" s="7">
        <v>45509</v>
      </c>
      <c r="B476" s="5">
        <v>10285.84</v>
      </c>
      <c r="C476" s="5">
        <v>3085.7599999999998</v>
      </c>
    </row>
    <row r="477" spans="1:3" x14ac:dyDescent="0.25">
      <c r="A477" s="7">
        <v>45510</v>
      </c>
      <c r="B477" s="5">
        <v>2854.33</v>
      </c>
      <c r="C477" s="5">
        <v>856.3</v>
      </c>
    </row>
    <row r="478" spans="1:3" x14ac:dyDescent="0.25">
      <c r="A478" s="7">
        <v>45511</v>
      </c>
      <c r="B478" s="5">
        <v>94.33</v>
      </c>
      <c r="C478" s="5">
        <v>28.3</v>
      </c>
    </row>
    <row r="479" spans="1:3" x14ac:dyDescent="0.25">
      <c r="A479" s="7">
        <v>45512</v>
      </c>
      <c r="B479" s="5">
        <v>3806.37</v>
      </c>
      <c r="C479" s="5">
        <v>1141.9100000000001</v>
      </c>
    </row>
    <row r="480" spans="1:3" x14ac:dyDescent="0.25">
      <c r="A480" s="7">
        <v>45513</v>
      </c>
      <c r="B480" s="5">
        <v>5665.21</v>
      </c>
      <c r="C480" s="5">
        <v>1699.56</v>
      </c>
    </row>
    <row r="481" spans="1:3" x14ac:dyDescent="0.25">
      <c r="A481" s="7">
        <v>45514</v>
      </c>
      <c r="B481" s="5">
        <v>8082.9699999999993</v>
      </c>
      <c r="C481" s="5">
        <v>2424.89</v>
      </c>
    </row>
    <row r="482" spans="1:3" x14ac:dyDescent="0.25">
      <c r="A482" s="7">
        <v>45515</v>
      </c>
      <c r="B482" s="5">
        <v>3378.0499999999997</v>
      </c>
      <c r="C482" s="5">
        <v>1013.4100000000001</v>
      </c>
    </row>
    <row r="483" spans="1:3" x14ac:dyDescent="0.25">
      <c r="A483" s="7">
        <v>45516</v>
      </c>
      <c r="B483" s="5">
        <v>5135.41</v>
      </c>
      <c r="C483" s="5">
        <v>1540.63</v>
      </c>
    </row>
    <row r="484" spans="1:3" x14ac:dyDescent="0.25">
      <c r="A484" s="7">
        <v>45517</v>
      </c>
      <c r="B484" s="5">
        <v>1024.48</v>
      </c>
      <c r="C484" s="5">
        <v>307.33999999999997</v>
      </c>
    </row>
    <row r="485" spans="1:3" x14ac:dyDescent="0.25">
      <c r="A485" s="7">
        <v>45518</v>
      </c>
      <c r="B485" s="5">
        <v>257.94</v>
      </c>
      <c r="C485" s="5">
        <v>77.38</v>
      </c>
    </row>
    <row r="486" spans="1:3" x14ac:dyDescent="0.25">
      <c r="A486" s="7">
        <v>45519</v>
      </c>
      <c r="B486" s="5">
        <v>9667.82</v>
      </c>
      <c r="C486" s="5">
        <v>2900.34</v>
      </c>
    </row>
    <row r="487" spans="1:3" x14ac:dyDescent="0.25">
      <c r="A487" s="7">
        <v>45520</v>
      </c>
      <c r="B487" s="5">
        <v>6960.53</v>
      </c>
      <c r="C487" s="5">
        <v>2088.16</v>
      </c>
    </row>
    <row r="488" spans="1:3" x14ac:dyDescent="0.25">
      <c r="A488" s="7">
        <v>45521</v>
      </c>
      <c r="B488" s="5">
        <v>6184.79</v>
      </c>
      <c r="C488" s="5">
        <v>1855.44</v>
      </c>
    </row>
    <row r="489" spans="1:3" x14ac:dyDescent="0.25">
      <c r="A489" s="7">
        <v>45522</v>
      </c>
      <c r="B489" s="5">
        <v>3270.3</v>
      </c>
      <c r="C489" s="5">
        <v>981.09</v>
      </c>
    </row>
    <row r="490" spans="1:3" x14ac:dyDescent="0.25">
      <c r="A490" s="7">
        <v>45523</v>
      </c>
      <c r="B490" s="5">
        <v>2490.83</v>
      </c>
      <c r="C490" s="5">
        <v>747.25</v>
      </c>
    </row>
    <row r="491" spans="1:3" x14ac:dyDescent="0.25">
      <c r="A491" s="7">
        <v>45524</v>
      </c>
      <c r="B491" s="5">
        <v>5942.54</v>
      </c>
      <c r="C491" s="5">
        <v>1782.76</v>
      </c>
    </row>
    <row r="492" spans="1:3" x14ac:dyDescent="0.25">
      <c r="A492" s="7">
        <v>45525</v>
      </c>
      <c r="B492" s="5">
        <v>1424.12</v>
      </c>
      <c r="C492" s="5">
        <v>427.23</v>
      </c>
    </row>
    <row r="493" spans="1:3" x14ac:dyDescent="0.25">
      <c r="A493" s="7">
        <v>45528</v>
      </c>
      <c r="B493" s="5">
        <v>79.599999999999994</v>
      </c>
      <c r="C493" s="5">
        <v>23.88</v>
      </c>
    </row>
    <row r="494" spans="1:3" x14ac:dyDescent="0.25">
      <c r="A494" s="7">
        <v>45529</v>
      </c>
      <c r="B494" s="5">
        <v>5513.42</v>
      </c>
      <c r="C494" s="5">
        <v>1654.02</v>
      </c>
    </row>
    <row r="495" spans="1:3" x14ac:dyDescent="0.25">
      <c r="A495" s="7">
        <v>45530</v>
      </c>
      <c r="B495" s="5">
        <v>15624.909999999998</v>
      </c>
      <c r="C495" s="5">
        <v>4687.4799999999996</v>
      </c>
    </row>
    <row r="496" spans="1:3" x14ac:dyDescent="0.25">
      <c r="A496" s="7">
        <v>45533</v>
      </c>
      <c r="B496" s="5">
        <v>23343.99</v>
      </c>
      <c r="C496" s="5">
        <v>7003.2000000000007</v>
      </c>
    </row>
    <row r="497" spans="1:3" x14ac:dyDescent="0.25">
      <c r="A497" s="7">
        <v>45534</v>
      </c>
      <c r="B497" s="5">
        <v>16829.739999999998</v>
      </c>
      <c r="C497" s="5">
        <v>5048.920000000001</v>
      </c>
    </row>
    <row r="498" spans="1:3" x14ac:dyDescent="0.25">
      <c r="A498" s="7">
        <v>45536</v>
      </c>
      <c r="B498" s="5">
        <v>24617.129999999997</v>
      </c>
      <c r="C498" s="5">
        <v>7385.1299999999992</v>
      </c>
    </row>
    <row r="499" spans="1:3" x14ac:dyDescent="0.25">
      <c r="A499" s="7">
        <v>45537</v>
      </c>
      <c r="B499" s="5">
        <v>3767.4</v>
      </c>
      <c r="C499" s="5">
        <v>1130.22</v>
      </c>
    </row>
    <row r="500" spans="1:3" x14ac:dyDescent="0.25">
      <c r="A500" s="7">
        <v>45538</v>
      </c>
      <c r="B500" s="5">
        <v>477.11</v>
      </c>
      <c r="C500" s="5">
        <v>143.13</v>
      </c>
    </row>
    <row r="501" spans="1:3" x14ac:dyDescent="0.25">
      <c r="A501" s="7">
        <v>45539</v>
      </c>
      <c r="B501" s="5">
        <v>1751.7</v>
      </c>
      <c r="C501" s="5">
        <v>525.51</v>
      </c>
    </row>
    <row r="502" spans="1:3" x14ac:dyDescent="0.25">
      <c r="A502" s="7">
        <v>45541</v>
      </c>
      <c r="B502" s="5">
        <v>2889.56</v>
      </c>
      <c r="C502" s="5">
        <v>866.87</v>
      </c>
    </row>
    <row r="503" spans="1:3" x14ac:dyDescent="0.25">
      <c r="A503" s="7">
        <v>45545</v>
      </c>
      <c r="B503" s="5">
        <v>14754.050000000001</v>
      </c>
      <c r="C503" s="5">
        <v>4426.2099999999991</v>
      </c>
    </row>
    <row r="504" spans="1:3" x14ac:dyDescent="0.25">
      <c r="A504" s="7">
        <v>45546</v>
      </c>
      <c r="B504" s="5">
        <v>8784.48</v>
      </c>
      <c r="C504" s="5">
        <v>2635.34</v>
      </c>
    </row>
    <row r="505" spans="1:3" x14ac:dyDescent="0.25">
      <c r="A505" s="7">
        <v>45547</v>
      </c>
      <c r="B505" s="5">
        <v>242.47</v>
      </c>
      <c r="C505" s="5">
        <v>72.739999999999995</v>
      </c>
    </row>
    <row r="506" spans="1:3" x14ac:dyDescent="0.25">
      <c r="A506" s="7">
        <v>45548</v>
      </c>
      <c r="B506" s="5">
        <v>1447.17</v>
      </c>
      <c r="C506" s="5">
        <v>434.15</v>
      </c>
    </row>
    <row r="507" spans="1:3" x14ac:dyDescent="0.25">
      <c r="A507" s="7">
        <v>45550</v>
      </c>
      <c r="B507" s="5">
        <v>16734.900000000001</v>
      </c>
      <c r="C507" s="5">
        <v>5020.4699999999993</v>
      </c>
    </row>
    <row r="508" spans="1:3" x14ac:dyDescent="0.25">
      <c r="A508" s="7">
        <v>45552</v>
      </c>
      <c r="B508" s="5">
        <v>6833.3</v>
      </c>
      <c r="C508" s="5">
        <v>2050</v>
      </c>
    </row>
    <row r="509" spans="1:3" x14ac:dyDescent="0.25">
      <c r="A509" s="7">
        <v>45554</v>
      </c>
      <c r="B509" s="5">
        <v>93.98</v>
      </c>
      <c r="C509" s="5">
        <v>28.2</v>
      </c>
    </row>
    <row r="510" spans="1:3" x14ac:dyDescent="0.25">
      <c r="A510" s="7">
        <v>45555</v>
      </c>
      <c r="B510" s="5">
        <v>4327.38</v>
      </c>
      <c r="C510" s="5">
        <v>1298.21</v>
      </c>
    </row>
    <row r="511" spans="1:3" x14ac:dyDescent="0.25">
      <c r="A511" s="7">
        <v>45556</v>
      </c>
      <c r="B511" s="5">
        <v>18213.8</v>
      </c>
      <c r="C511" s="5">
        <v>5464.14</v>
      </c>
    </row>
    <row r="512" spans="1:3" x14ac:dyDescent="0.25">
      <c r="A512" s="7">
        <v>45557</v>
      </c>
      <c r="B512" s="5">
        <v>12676.31</v>
      </c>
      <c r="C512" s="5">
        <v>3802.89</v>
      </c>
    </row>
    <row r="513" spans="1:3" x14ac:dyDescent="0.25">
      <c r="A513" s="7">
        <v>45558</v>
      </c>
      <c r="B513" s="5">
        <v>920.37</v>
      </c>
      <c r="C513" s="5">
        <v>276.11</v>
      </c>
    </row>
    <row r="514" spans="1:3" x14ac:dyDescent="0.25">
      <c r="A514" s="7">
        <v>45559</v>
      </c>
      <c r="B514" s="5">
        <v>8970.56</v>
      </c>
      <c r="C514" s="5">
        <v>2691.17</v>
      </c>
    </row>
    <row r="515" spans="1:3" x14ac:dyDescent="0.25">
      <c r="A515" s="7">
        <v>45560</v>
      </c>
      <c r="B515" s="5">
        <v>1613.2</v>
      </c>
      <c r="C515" s="5">
        <v>483.96</v>
      </c>
    </row>
    <row r="516" spans="1:3" x14ac:dyDescent="0.25">
      <c r="A516" s="7">
        <v>45561</v>
      </c>
      <c r="B516" s="5">
        <v>8057.87</v>
      </c>
      <c r="C516" s="5">
        <v>2417.37</v>
      </c>
    </row>
    <row r="517" spans="1:3" x14ac:dyDescent="0.25">
      <c r="A517" s="7">
        <v>45564</v>
      </c>
      <c r="B517" s="5">
        <v>15419.81</v>
      </c>
      <c r="C517" s="5">
        <v>4625.9400000000005</v>
      </c>
    </row>
    <row r="518" spans="1:3" x14ac:dyDescent="0.25">
      <c r="A518" s="7">
        <v>45567</v>
      </c>
      <c r="B518" s="5">
        <v>12553.529999999999</v>
      </c>
      <c r="C518" s="5">
        <v>3766.05</v>
      </c>
    </row>
    <row r="519" spans="1:3" x14ac:dyDescent="0.25">
      <c r="A519" s="7">
        <v>45568</v>
      </c>
      <c r="B519" s="5">
        <v>1340.79</v>
      </c>
      <c r="C519" s="5">
        <v>402.24</v>
      </c>
    </row>
    <row r="520" spans="1:3" x14ac:dyDescent="0.25">
      <c r="A520" s="7">
        <v>45569</v>
      </c>
      <c r="B520" s="5">
        <v>8393.18</v>
      </c>
      <c r="C520" s="5">
        <v>2517.96</v>
      </c>
    </row>
    <row r="521" spans="1:3" x14ac:dyDescent="0.25">
      <c r="A521" s="7">
        <v>45570</v>
      </c>
      <c r="B521" s="5">
        <v>18202.330000000002</v>
      </c>
      <c r="C521" s="5">
        <v>5460.7</v>
      </c>
    </row>
    <row r="522" spans="1:3" x14ac:dyDescent="0.25">
      <c r="A522" s="7">
        <v>45571</v>
      </c>
      <c r="B522" s="5">
        <v>684.93</v>
      </c>
      <c r="C522" s="5">
        <v>205.48</v>
      </c>
    </row>
    <row r="523" spans="1:3" x14ac:dyDescent="0.25">
      <c r="A523" s="7">
        <v>45572</v>
      </c>
      <c r="B523" s="5">
        <v>19977.88</v>
      </c>
      <c r="C523" s="5">
        <v>5993.3600000000006</v>
      </c>
    </row>
    <row r="524" spans="1:3" x14ac:dyDescent="0.25">
      <c r="A524" s="7">
        <v>45573</v>
      </c>
      <c r="B524" s="5">
        <v>4641.1099999999997</v>
      </c>
      <c r="C524" s="5">
        <v>1392.33</v>
      </c>
    </row>
    <row r="525" spans="1:3" x14ac:dyDescent="0.25">
      <c r="A525" s="7">
        <v>45575</v>
      </c>
      <c r="B525" s="5">
        <v>2004.25</v>
      </c>
      <c r="C525" s="5">
        <v>601.28</v>
      </c>
    </row>
    <row r="526" spans="1:3" x14ac:dyDescent="0.25">
      <c r="A526" s="7">
        <v>45576</v>
      </c>
      <c r="B526" s="5">
        <v>19621.89</v>
      </c>
      <c r="C526" s="5">
        <v>5886.5599999999995</v>
      </c>
    </row>
    <row r="527" spans="1:3" x14ac:dyDescent="0.25">
      <c r="A527" s="7">
        <v>45577</v>
      </c>
      <c r="B527" s="5">
        <v>91.24</v>
      </c>
      <c r="C527" s="5">
        <v>27.37</v>
      </c>
    </row>
    <row r="528" spans="1:3" x14ac:dyDescent="0.25">
      <c r="A528" s="7">
        <v>45578</v>
      </c>
      <c r="B528" s="5">
        <v>13367.149999999998</v>
      </c>
      <c r="C528" s="5">
        <v>4010.15</v>
      </c>
    </row>
    <row r="529" spans="1:3" x14ac:dyDescent="0.25">
      <c r="A529" s="7">
        <v>45579</v>
      </c>
      <c r="B529" s="5">
        <v>2070.96</v>
      </c>
      <c r="C529" s="5">
        <v>621.29</v>
      </c>
    </row>
    <row r="530" spans="1:3" x14ac:dyDescent="0.25">
      <c r="A530" s="7">
        <v>45581</v>
      </c>
      <c r="B530" s="5">
        <v>4975.78</v>
      </c>
      <c r="C530" s="5">
        <v>1492.73</v>
      </c>
    </row>
    <row r="531" spans="1:3" x14ac:dyDescent="0.25">
      <c r="A531" s="7">
        <v>45582</v>
      </c>
      <c r="B531" s="5">
        <v>14082.529999999999</v>
      </c>
      <c r="C531" s="5">
        <v>4224.75</v>
      </c>
    </row>
    <row r="532" spans="1:3" x14ac:dyDescent="0.25">
      <c r="A532" s="7">
        <v>45583</v>
      </c>
      <c r="B532" s="5">
        <v>2749.53</v>
      </c>
      <c r="C532" s="5">
        <v>824.86</v>
      </c>
    </row>
    <row r="533" spans="1:3" x14ac:dyDescent="0.25">
      <c r="A533" s="7">
        <v>45584</v>
      </c>
      <c r="B533" s="5">
        <v>9597.64</v>
      </c>
      <c r="C533" s="5">
        <v>2879.29</v>
      </c>
    </row>
    <row r="534" spans="1:3" x14ac:dyDescent="0.25">
      <c r="A534" s="7">
        <v>45585</v>
      </c>
      <c r="B534" s="5">
        <v>8955.18</v>
      </c>
      <c r="C534" s="5">
        <v>2686.55</v>
      </c>
    </row>
    <row r="535" spans="1:3" x14ac:dyDescent="0.25">
      <c r="A535" s="7">
        <v>45587</v>
      </c>
      <c r="B535" s="5">
        <v>6419.25</v>
      </c>
      <c r="C535" s="5">
        <v>1925.78</v>
      </c>
    </row>
    <row r="536" spans="1:3" x14ac:dyDescent="0.25">
      <c r="A536" s="7">
        <v>45588</v>
      </c>
      <c r="B536" s="5">
        <v>29093.579999999998</v>
      </c>
      <c r="C536" s="5">
        <v>8728.08</v>
      </c>
    </row>
    <row r="537" spans="1:3" x14ac:dyDescent="0.25">
      <c r="A537" s="7">
        <v>45589</v>
      </c>
      <c r="B537" s="5">
        <v>12882.460000000001</v>
      </c>
      <c r="C537" s="5">
        <v>3864.74</v>
      </c>
    </row>
    <row r="538" spans="1:3" x14ac:dyDescent="0.25">
      <c r="A538" s="7">
        <v>45590</v>
      </c>
      <c r="B538" s="5">
        <v>3592.08</v>
      </c>
      <c r="C538" s="5">
        <v>1077.6199999999999</v>
      </c>
    </row>
    <row r="539" spans="1:3" x14ac:dyDescent="0.25">
      <c r="A539" s="7">
        <v>45592</v>
      </c>
      <c r="B539" s="5">
        <v>5099.42</v>
      </c>
      <c r="C539" s="5">
        <v>1529.82</v>
      </c>
    </row>
    <row r="540" spans="1:3" x14ac:dyDescent="0.25">
      <c r="A540" s="7">
        <v>45593</v>
      </c>
      <c r="B540" s="5">
        <v>3101.29</v>
      </c>
      <c r="C540" s="5">
        <v>930.39</v>
      </c>
    </row>
    <row r="541" spans="1:3" x14ac:dyDescent="0.25">
      <c r="A541" s="7">
        <v>45594</v>
      </c>
      <c r="B541" s="5">
        <v>2900.38</v>
      </c>
      <c r="C541" s="5">
        <v>870.12</v>
      </c>
    </row>
    <row r="542" spans="1:3" x14ac:dyDescent="0.25">
      <c r="A542" s="7">
        <v>45595</v>
      </c>
      <c r="B542" s="5">
        <v>4412.93</v>
      </c>
      <c r="C542" s="5">
        <v>1323.88</v>
      </c>
    </row>
    <row r="543" spans="1:3" x14ac:dyDescent="0.25">
      <c r="A543" s="7">
        <v>45596</v>
      </c>
      <c r="B543" s="5">
        <v>6273.75</v>
      </c>
      <c r="C543" s="5">
        <v>1882.1100000000001</v>
      </c>
    </row>
    <row r="544" spans="1:3" x14ac:dyDescent="0.25">
      <c r="A544" s="7">
        <v>45597</v>
      </c>
      <c r="B544" s="5">
        <v>8164.53</v>
      </c>
      <c r="C544" s="5">
        <v>2449.3599999999997</v>
      </c>
    </row>
    <row r="545" spans="1:3" x14ac:dyDescent="0.25">
      <c r="A545" s="7">
        <v>45598</v>
      </c>
      <c r="B545" s="5">
        <v>1436.16</v>
      </c>
      <c r="C545" s="5">
        <v>430.85</v>
      </c>
    </row>
    <row r="546" spans="1:3" x14ac:dyDescent="0.25">
      <c r="A546" s="7">
        <v>45599</v>
      </c>
      <c r="B546" s="5">
        <v>3391.84</v>
      </c>
      <c r="C546" s="5">
        <v>1017.56</v>
      </c>
    </row>
    <row r="547" spans="1:3" x14ac:dyDescent="0.25">
      <c r="A547" s="7">
        <v>45600</v>
      </c>
      <c r="B547" s="5">
        <v>5658.66</v>
      </c>
      <c r="C547" s="5">
        <v>1697.6</v>
      </c>
    </row>
    <row r="548" spans="1:3" x14ac:dyDescent="0.25">
      <c r="A548" s="7">
        <v>45602</v>
      </c>
      <c r="B548" s="5">
        <v>3342.56</v>
      </c>
      <c r="C548" s="5">
        <v>1002.77</v>
      </c>
    </row>
    <row r="549" spans="1:3" x14ac:dyDescent="0.25">
      <c r="A549" s="7">
        <v>45603</v>
      </c>
      <c r="B549" s="5">
        <v>4509.1099999999997</v>
      </c>
      <c r="C549" s="5">
        <v>1352.73</v>
      </c>
    </row>
    <row r="550" spans="1:3" x14ac:dyDescent="0.25">
      <c r="A550" s="7">
        <v>45604</v>
      </c>
      <c r="B550" s="5">
        <v>5807.6900000000005</v>
      </c>
      <c r="C550" s="5">
        <v>1742.31</v>
      </c>
    </row>
    <row r="551" spans="1:3" x14ac:dyDescent="0.25">
      <c r="A551" s="7">
        <v>45605</v>
      </c>
      <c r="B551" s="5">
        <v>6254.53</v>
      </c>
      <c r="C551" s="5">
        <v>1876.3600000000001</v>
      </c>
    </row>
    <row r="552" spans="1:3" x14ac:dyDescent="0.25">
      <c r="A552" s="7">
        <v>45606</v>
      </c>
      <c r="B552" s="5">
        <v>7417.38</v>
      </c>
      <c r="C552" s="5">
        <v>2225.21</v>
      </c>
    </row>
    <row r="553" spans="1:3" x14ac:dyDescent="0.25">
      <c r="A553" s="7">
        <v>45607</v>
      </c>
      <c r="B553" s="5">
        <v>5208.57</v>
      </c>
      <c r="C553" s="5">
        <v>1562.5700000000002</v>
      </c>
    </row>
    <row r="554" spans="1:3" x14ac:dyDescent="0.25">
      <c r="A554" s="7">
        <v>45609</v>
      </c>
      <c r="B554" s="5">
        <v>2764.7200000000003</v>
      </c>
      <c r="C554" s="5">
        <v>829.42000000000007</v>
      </c>
    </row>
    <row r="555" spans="1:3" x14ac:dyDescent="0.25">
      <c r="A555" s="7">
        <v>45610</v>
      </c>
      <c r="B555" s="5">
        <v>6732.84</v>
      </c>
      <c r="C555" s="5">
        <v>2019.85</v>
      </c>
    </row>
    <row r="556" spans="1:3" x14ac:dyDescent="0.25">
      <c r="A556" s="7">
        <v>45611</v>
      </c>
      <c r="B556" s="5">
        <v>2108.27</v>
      </c>
      <c r="C556" s="5">
        <v>632.48</v>
      </c>
    </row>
    <row r="557" spans="1:3" x14ac:dyDescent="0.25">
      <c r="A557" s="7">
        <v>45612</v>
      </c>
      <c r="B557" s="5">
        <v>26404.750000000004</v>
      </c>
      <c r="C557" s="5">
        <v>7921.4400000000005</v>
      </c>
    </row>
    <row r="558" spans="1:3" x14ac:dyDescent="0.25">
      <c r="A558" s="7">
        <v>45613</v>
      </c>
      <c r="B558" s="5">
        <v>13585.86</v>
      </c>
      <c r="C558" s="5">
        <v>4075.7699999999995</v>
      </c>
    </row>
    <row r="559" spans="1:3" x14ac:dyDescent="0.25">
      <c r="A559" s="7">
        <v>45614</v>
      </c>
      <c r="B559" s="5">
        <v>151.77000000000001</v>
      </c>
      <c r="C559" s="5">
        <v>45.53</v>
      </c>
    </row>
    <row r="560" spans="1:3" x14ac:dyDescent="0.25">
      <c r="A560" s="7">
        <v>45616</v>
      </c>
      <c r="B560" s="5">
        <v>3377.58</v>
      </c>
      <c r="C560" s="5">
        <v>1013.27</v>
      </c>
    </row>
    <row r="561" spans="1:3" x14ac:dyDescent="0.25">
      <c r="A561" s="7">
        <v>45617</v>
      </c>
      <c r="B561" s="5">
        <v>346.45</v>
      </c>
      <c r="C561" s="5">
        <v>103.94</v>
      </c>
    </row>
    <row r="562" spans="1:3" x14ac:dyDescent="0.25">
      <c r="A562" s="7">
        <v>45618</v>
      </c>
      <c r="B562" s="5">
        <v>13378.45</v>
      </c>
      <c r="C562" s="5">
        <v>4013.53</v>
      </c>
    </row>
    <row r="563" spans="1:3" x14ac:dyDescent="0.25">
      <c r="A563" s="7">
        <v>45619</v>
      </c>
      <c r="B563" s="5">
        <v>3319.52</v>
      </c>
      <c r="C563" s="5">
        <v>995.86</v>
      </c>
    </row>
    <row r="564" spans="1:3" x14ac:dyDescent="0.25">
      <c r="A564" s="7">
        <v>45620</v>
      </c>
      <c r="B564" s="5">
        <v>12738.17</v>
      </c>
      <c r="C564" s="5">
        <v>3821.45</v>
      </c>
    </row>
    <row r="565" spans="1:3" x14ac:dyDescent="0.25">
      <c r="A565" s="7">
        <v>45621</v>
      </c>
      <c r="B565" s="5">
        <v>17226.760000000002</v>
      </c>
      <c r="C565" s="5">
        <v>5168.0200000000004</v>
      </c>
    </row>
    <row r="566" spans="1:3" x14ac:dyDescent="0.25">
      <c r="A566" s="7">
        <v>45622</v>
      </c>
      <c r="B566" s="5">
        <v>6108.0599999999995</v>
      </c>
      <c r="C566" s="5">
        <v>1832.41</v>
      </c>
    </row>
    <row r="567" spans="1:3" x14ac:dyDescent="0.25">
      <c r="A567" s="7">
        <v>45623</v>
      </c>
      <c r="B567" s="5">
        <v>2302.56</v>
      </c>
      <c r="C567" s="5">
        <v>690.77</v>
      </c>
    </row>
    <row r="568" spans="1:3" x14ac:dyDescent="0.25">
      <c r="A568" s="7">
        <v>45624</v>
      </c>
      <c r="B568" s="5">
        <v>3672.76</v>
      </c>
      <c r="C568" s="5">
        <v>1101.82</v>
      </c>
    </row>
    <row r="569" spans="1:3" x14ac:dyDescent="0.25">
      <c r="A569" s="7">
        <v>45625</v>
      </c>
      <c r="B569" s="5">
        <v>8261.6299999999992</v>
      </c>
      <c r="C569" s="5">
        <v>2478.4899999999998</v>
      </c>
    </row>
    <row r="570" spans="1:3" x14ac:dyDescent="0.25">
      <c r="A570" s="7">
        <v>45626</v>
      </c>
      <c r="B570" s="5">
        <v>2346.48</v>
      </c>
      <c r="C570" s="5">
        <v>703.94</v>
      </c>
    </row>
    <row r="571" spans="1:3" x14ac:dyDescent="0.25">
      <c r="A571" s="7">
        <v>45627</v>
      </c>
      <c r="B571" s="5">
        <v>1915.56</v>
      </c>
      <c r="C571" s="5">
        <v>574.66999999999996</v>
      </c>
    </row>
    <row r="572" spans="1:3" x14ac:dyDescent="0.25">
      <c r="A572" s="7">
        <v>45628</v>
      </c>
      <c r="B572" s="5">
        <v>6213.96</v>
      </c>
      <c r="C572" s="5">
        <v>1864.2</v>
      </c>
    </row>
    <row r="573" spans="1:3" x14ac:dyDescent="0.25">
      <c r="A573" s="7">
        <v>45629</v>
      </c>
      <c r="B573" s="5">
        <v>8247.66</v>
      </c>
      <c r="C573" s="5">
        <v>2474.3000000000002</v>
      </c>
    </row>
    <row r="574" spans="1:3" x14ac:dyDescent="0.25">
      <c r="A574" s="7">
        <v>45632</v>
      </c>
      <c r="B574" s="5">
        <v>6281.77</v>
      </c>
      <c r="C574" s="5">
        <v>1884.53</v>
      </c>
    </row>
    <row r="575" spans="1:3" x14ac:dyDescent="0.25">
      <c r="A575" s="7">
        <v>45633</v>
      </c>
      <c r="B575" s="5">
        <v>6471.4400000000005</v>
      </c>
      <c r="C575" s="5">
        <v>1941.43</v>
      </c>
    </row>
    <row r="576" spans="1:3" x14ac:dyDescent="0.25">
      <c r="A576" s="7">
        <v>45634</v>
      </c>
      <c r="B576" s="5">
        <v>2808.83</v>
      </c>
      <c r="C576" s="5">
        <v>842.65</v>
      </c>
    </row>
    <row r="577" spans="1:3" x14ac:dyDescent="0.25">
      <c r="A577" s="7">
        <v>45635</v>
      </c>
      <c r="B577" s="5">
        <v>4088.2000000000003</v>
      </c>
      <c r="C577" s="5">
        <v>1226.46</v>
      </c>
    </row>
    <row r="578" spans="1:3" x14ac:dyDescent="0.25">
      <c r="A578" s="7">
        <v>45636</v>
      </c>
      <c r="B578" s="5">
        <v>566.32000000000005</v>
      </c>
      <c r="C578" s="5">
        <v>169.9</v>
      </c>
    </row>
    <row r="579" spans="1:3" x14ac:dyDescent="0.25">
      <c r="A579" s="7">
        <v>45638</v>
      </c>
      <c r="B579" s="5">
        <v>8465.09</v>
      </c>
      <c r="C579" s="5">
        <v>2539.5300000000002</v>
      </c>
    </row>
    <row r="580" spans="1:3" x14ac:dyDescent="0.25">
      <c r="A580" s="7">
        <v>45639</v>
      </c>
      <c r="B580" s="5">
        <v>7481.61</v>
      </c>
      <c r="C580" s="5">
        <v>2244.4899999999998</v>
      </c>
    </row>
    <row r="581" spans="1:3" x14ac:dyDescent="0.25">
      <c r="A581" s="7">
        <v>45640</v>
      </c>
      <c r="B581" s="5">
        <v>461.35</v>
      </c>
      <c r="C581" s="5">
        <v>138.41</v>
      </c>
    </row>
    <row r="582" spans="1:3" x14ac:dyDescent="0.25">
      <c r="A582" s="7">
        <v>45641</v>
      </c>
      <c r="B582" s="5">
        <v>8608.4599999999991</v>
      </c>
      <c r="C582" s="5">
        <v>2582.54</v>
      </c>
    </row>
    <row r="583" spans="1:3" x14ac:dyDescent="0.25">
      <c r="A583" s="7">
        <v>45642</v>
      </c>
      <c r="B583" s="5">
        <v>6589.04</v>
      </c>
      <c r="C583" s="5">
        <v>1976.6999999999998</v>
      </c>
    </row>
    <row r="584" spans="1:3" x14ac:dyDescent="0.25">
      <c r="A584" s="7">
        <v>45643</v>
      </c>
      <c r="B584" s="5">
        <v>671.21</v>
      </c>
      <c r="C584" s="5">
        <v>201.36</v>
      </c>
    </row>
    <row r="585" spans="1:3" x14ac:dyDescent="0.25">
      <c r="A585" s="7">
        <v>45644</v>
      </c>
      <c r="B585" s="5">
        <v>10513.130000000001</v>
      </c>
      <c r="C585" s="5">
        <v>3153.93</v>
      </c>
    </row>
    <row r="586" spans="1:3" x14ac:dyDescent="0.25">
      <c r="A586" s="7">
        <v>45645</v>
      </c>
      <c r="B586" s="5">
        <v>2796.26</v>
      </c>
      <c r="C586" s="5">
        <v>838.87999999999988</v>
      </c>
    </row>
    <row r="587" spans="1:3" x14ac:dyDescent="0.25">
      <c r="A587" s="7">
        <v>45646</v>
      </c>
      <c r="B587" s="5">
        <v>1904.2</v>
      </c>
      <c r="C587" s="5">
        <v>571.26</v>
      </c>
    </row>
    <row r="588" spans="1:3" x14ac:dyDescent="0.25">
      <c r="A588" s="7">
        <v>45647</v>
      </c>
      <c r="B588" s="5">
        <v>3081.24</v>
      </c>
      <c r="C588" s="5">
        <v>924.37</v>
      </c>
    </row>
    <row r="589" spans="1:3" x14ac:dyDescent="0.25">
      <c r="A589" s="7">
        <v>45648</v>
      </c>
      <c r="B589" s="5">
        <v>8107.13</v>
      </c>
      <c r="C589" s="5">
        <v>2432.14</v>
      </c>
    </row>
    <row r="590" spans="1:3" x14ac:dyDescent="0.25">
      <c r="A590" s="7">
        <v>45649</v>
      </c>
      <c r="B590" s="5">
        <v>7351.98</v>
      </c>
      <c r="C590" s="5">
        <v>2205.59</v>
      </c>
    </row>
    <row r="591" spans="1:3" x14ac:dyDescent="0.25">
      <c r="A591" s="7">
        <v>45650</v>
      </c>
      <c r="B591" s="5">
        <v>3085.3</v>
      </c>
      <c r="C591" s="5">
        <v>925.59</v>
      </c>
    </row>
    <row r="592" spans="1:3" x14ac:dyDescent="0.25">
      <c r="A592" s="7">
        <v>45652</v>
      </c>
      <c r="B592" s="5">
        <v>13179.57</v>
      </c>
      <c r="C592" s="5">
        <v>3953.87</v>
      </c>
    </row>
    <row r="593" spans="1:3" x14ac:dyDescent="0.25">
      <c r="A593" s="7">
        <v>45653</v>
      </c>
      <c r="B593" s="5">
        <v>6944.36</v>
      </c>
      <c r="C593" s="5">
        <v>2083.31</v>
      </c>
    </row>
    <row r="594" spans="1:3" x14ac:dyDescent="0.25">
      <c r="A594" s="7">
        <v>45655</v>
      </c>
      <c r="B594" s="5">
        <v>155.61000000000001</v>
      </c>
      <c r="C594" s="5">
        <v>46.68</v>
      </c>
    </row>
    <row r="595" spans="1:3" x14ac:dyDescent="0.25">
      <c r="A595" s="7">
        <v>45656</v>
      </c>
      <c r="B595" s="5">
        <v>14387.84</v>
      </c>
      <c r="C595" s="5">
        <v>4316.3500000000004</v>
      </c>
    </row>
    <row r="596" spans="1:3" x14ac:dyDescent="0.25">
      <c r="A596" s="7">
        <v>45657</v>
      </c>
      <c r="B596" s="5">
        <v>23773.84</v>
      </c>
      <c r="C596" s="5">
        <v>7132.16</v>
      </c>
    </row>
    <row r="597" spans="1:3" x14ac:dyDescent="0.25">
      <c r="A597" s="4" t="s">
        <v>3992</v>
      </c>
      <c r="B597" s="5">
        <v>1102173.7700000003</v>
      </c>
      <c r="C597" s="5">
        <v>330652.22000000003</v>
      </c>
    </row>
    <row r="598" spans="1:3" x14ac:dyDescent="0.25">
      <c r="A598" s="7">
        <v>45658</v>
      </c>
      <c r="B598" s="5">
        <v>8945.91</v>
      </c>
      <c r="C598" s="5">
        <v>2683.77</v>
      </c>
    </row>
    <row r="599" spans="1:3" x14ac:dyDescent="0.25">
      <c r="A599" s="7">
        <v>45659</v>
      </c>
      <c r="B599" s="5">
        <v>1909.4199999999998</v>
      </c>
      <c r="C599" s="5">
        <v>572.82999999999993</v>
      </c>
    </row>
    <row r="600" spans="1:3" x14ac:dyDescent="0.25">
      <c r="A600" s="7">
        <v>45660</v>
      </c>
      <c r="B600" s="5">
        <v>4511.3999999999996</v>
      </c>
      <c r="C600" s="5">
        <v>1353.42</v>
      </c>
    </row>
    <row r="601" spans="1:3" x14ac:dyDescent="0.25">
      <c r="A601" s="7">
        <v>45661</v>
      </c>
      <c r="B601" s="5">
        <v>3860.96</v>
      </c>
      <c r="C601" s="5">
        <v>1158.28</v>
      </c>
    </row>
    <row r="602" spans="1:3" x14ac:dyDescent="0.25">
      <c r="A602" s="7">
        <v>45662</v>
      </c>
      <c r="B602" s="5">
        <v>2067.6999999999998</v>
      </c>
      <c r="C602" s="5">
        <v>620.31000000000006</v>
      </c>
    </row>
    <row r="603" spans="1:3" x14ac:dyDescent="0.25">
      <c r="A603" s="7">
        <v>45663</v>
      </c>
      <c r="B603" s="5">
        <v>16739.919999999998</v>
      </c>
      <c r="C603" s="5">
        <v>5021.9699999999993</v>
      </c>
    </row>
    <row r="604" spans="1:3" x14ac:dyDescent="0.25">
      <c r="A604" s="7">
        <v>45664</v>
      </c>
      <c r="B604" s="5">
        <v>9268.39</v>
      </c>
      <c r="C604" s="5">
        <v>2780.51</v>
      </c>
    </row>
    <row r="605" spans="1:3" x14ac:dyDescent="0.25">
      <c r="A605" s="7">
        <v>45665</v>
      </c>
      <c r="B605" s="5">
        <v>9812.92</v>
      </c>
      <c r="C605" s="5">
        <v>2943.88</v>
      </c>
    </row>
    <row r="606" spans="1:3" x14ac:dyDescent="0.25">
      <c r="A606" s="7">
        <v>45666</v>
      </c>
      <c r="B606" s="5">
        <v>1783.92</v>
      </c>
      <c r="C606" s="5">
        <v>535.17999999999995</v>
      </c>
    </row>
    <row r="607" spans="1:3" x14ac:dyDescent="0.25">
      <c r="A607" s="7">
        <v>45667</v>
      </c>
      <c r="B607" s="5">
        <v>250.28</v>
      </c>
      <c r="C607" s="5">
        <v>75.08</v>
      </c>
    </row>
    <row r="608" spans="1:3" x14ac:dyDescent="0.25">
      <c r="A608" s="7">
        <v>45668</v>
      </c>
      <c r="B608" s="5">
        <v>15530.95</v>
      </c>
      <c r="C608" s="5">
        <v>4659.28</v>
      </c>
    </row>
    <row r="609" spans="1:3" x14ac:dyDescent="0.25">
      <c r="A609" s="7">
        <v>45669</v>
      </c>
      <c r="B609" s="5">
        <v>6444.1100000000006</v>
      </c>
      <c r="C609" s="5">
        <v>1933.23</v>
      </c>
    </row>
    <row r="610" spans="1:3" x14ac:dyDescent="0.25">
      <c r="A610" s="7">
        <v>45670</v>
      </c>
      <c r="B610" s="5">
        <v>4754.3500000000004</v>
      </c>
      <c r="C610" s="5">
        <v>1426.3100000000002</v>
      </c>
    </row>
    <row r="611" spans="1:3" x14ac:dyDescent="0.25">
      <c r="A611" s="7">
        <v>45671</v>
      </c>
      <c r="B611" s="5">
        <v>1931.85</v>
      </c>
      <c r="C611" s="5">
        <v>579.55999999999995</v>
      </c>
    </row>
    <row r="612" spans="1:3" x14ac:dyDescent="0.25">
      <c r="A612" s="7">
        <v>45672</v>
      </c>
      <c r="B612" s="5">
        <v>6088.45</v>
      </c>
      <c r="C612" s="5">
        <v>1826.53</v>
      </c>
    </row>
    <row r="613" spans="1:3" x14ac:dyDescent="0.25">
      <c r="A613" s="7">
        <v>45674</v>
      </c>
      <c r="B613" s="5">
        <v>12195.599999999999</v>
      </c>
      <c r="C613" s="5">
        <v>3658.68</v>
      </c>
    </row>
    <row r="614" spans="1:3" x14ac:dyDescent="0.25">
      <c r="A614" s="7">
        <v>45675</v>
      </c>
      <c r="B614" s="5">
        <v>504.54999999999995</v>
      </c>
      <c r="C614" s="5">
        <v>151.37</v>
      </c>
    </row>
    <row r="615" spans="1:3" x14ac:dyDescent="0.25">
      <c r="A615" s="7">
        <v>45676</v>
      </c>
      <c r="B615" s="5">
        <v>9671.5499999999993</v>
      </c>
      <c r="C615" s="5">
        <v>2901.46</v>
      </c>
    </row>
    <row r="616" spans="1:3" x14ac:dyDescent="0.25">
      <c r="A616" s="7">
        <v>45677</v>
      </c>
      <c r="B616" s="5">
        <v>1417.85</v>
      </c>
      <c r="C616" s="5">
        <v>425.35</v>
      </c>
    </row>
    <row r="617" spans="1:3" x14ac:dyDescent="0.25">
      <c r="A617" s="7">
        <v>45679</v>
      </c>
      <c r="B617" s="5">
        <v>134.53</v>
      </c>
      <c r="C617" s="5">
        <v>40.36</v>
      </c>
    </row>
    <row r="618" spans="1:3" x14ac:dyDescent="0.25">
      <c r="A618" s="7">
        <v>45680</v>
      </c>
      <c r="B618" s="5">
        <v>18846.86</v>
      </c>
      <c r="C618" s="5">
        <v>5654.07</v>
      </c>
    </row>
    <row r="619" spans="1:3" x14ac:dyDescent="0.25">
      <c r="A619" s="7">
        <v>45681</v>
      </c>
      <c r="B619" s="5">
        <v>2836.1099999999997</v>
      </c>
      <c r="C619" s="5">
        <v>850.82999999999993</v>
      </c>
    </row>
    <row r="620" spans="1:3" x14ac:dyDescent="0.25">
      <c r="A620" s="7">
        <v>45682</v>
      </c>
      <c r="B620" s="5">
        <v>5948.1500000000005</v>
      </c>
      <c r="C620" s="5">
        <v>1784.4499999999998</v>
      </c>
    </row>
    <row r="621" spans="1:3" x14ac:dyDescent="0.25">
      <c r="A621" s="7">
        <v>45683</v>
      </c>
      <c r="B621" s="5">
        <v>166.75</v>
      </c>
      <c r="C621" s="5">
        <v>50.03</v>
      </c>
    </row>
    <row r="622" spans="1:3" x14ac:dyDescent="0.25">
      <c r="A622" s="7">
        <v>45684</v>
      </c>
      <c r="B622" s="5">
        <v>13426.27</v>
      </c>
      <c r="C622" s="5">
        <v>4027.88</v>
      </c>
    </row>
    <row r="623" spans="1:3" x14ac:dyDescent="0.25">
      <c r="A623" s="7">
        <v>45685</v>
      </c>
      <c r="B623" s="5">
        <v>5524.65</v>
      </c>
      <c r="C623" s="5">
        <v>1657.39</v>
      </c>
    </row>
    <row r="624" spans="1:3" x14ac:dyDescent="0.25">
      <c r="A624" s="7">
        <v>45686</v>
      </c>
      <c r="B624" s="5">
        <v>4271.95</v>
      </c>
      <c r="C624" s="5">
        <v>1281.58</v>
      </c>
    </row>
    <row r="625" spans="1:3" x14ac:dyDescent="0.25">
      <c r="A625" s="7">
        <v>45687</v>
      </c>
      <c r="B625" s="5">
        <v>12142.02</v>
      </c>
      <c r="C625" s="5">
        <v>3642.6000000000004</v>
      </c>
    </row>
    <row r="626" spans="1:3" x14ac:dyDescent="0.25">
      <c r="A626" s="7">
        <v>45688</v>
      </c>
      <c r="B626" s="5">
        <v>4416.49</v>
      </c>
      <c r="C626" s="5">
        <v>1324.94</v>
      </c>
    </row>
    <row r="627" spans="1:3" x14ac:dyDescent="0.25">
      <c r="A627" s="7">
        <v>45689</v>
      </c>
      <c r="B627" s="5">
        <v>162.47999999999999</v>
      </c>
      <c r="C627" s="5">
        <v>48.74</v>
      </c>
    </row>
    <row r="628" spans="1:3" x14ac:dyDescent="0.25">
      <c r="A628" s="7">
        <v>45690</v>
      </c>
      <c r="B628" s="5">
        <v>3361.5699999999997</v>
      </c>
      <c r="C628" s="5">
        <v>1008.47</v>
      </c>
    </row>
    <row r="629" spans="1:3" x14ac:dyDescent="0.25">
      <c r="A629" s="7">
        <v>45691</v>
      </c>
      <c r="B629" s="5">
        <v>8448.4700000000012</v>
      </c>
      <c r="C629" s="5">
        <v>2534.5299999999997</v>
      </c>
    </row>
    <row r="630" spans="1:3" x14ac:dyDescent="0.25">
      <c r="A630" s="7">
        <v>45692</v>
      </c>
      <c r="B630" s="5">
        <v>5549.78</v>
      </c>
      <c r="C630" s="5">
        <v>1664.9299999999998</v>
      </c>
    </row>
    <row r="631" spans="1:3" x14ac:dyDescent="0.25">
      <c r="A631" s="7">
        <v>45693</v>
      </c>
      <c r="B631" s="5">
        <v>2745.9300000000003</v>
      </c>
      <c r="C631" s="5">
        <v>823.78</v>
      </c>
    </row>
    <row r="632" spans="1:3" x14ac:dyDescent="0.25">
      <c r="A632" s="7">
        <v>45694</v>
      </c>
      <c r="B632" s="5">
        <v>8767.1299999999992</v>
      </c>
      <c r="C632" s="5">
        <v>2630.14</v>
      </c>
    </row>
    <row r="633" spans="1:3" x14ac:dyDescent="0.25">
      <c r="A633" s="7">
        <v>45695</v>
      </c>
      <c r="B633" s="5">
        <v>6354.5300000000007</v>
      </c>
      <c r="C633" s="5">
        <v>1906.36</v>
      </c>
    </row>
    <row r="634" spans="1:3" x14ac:dyDescent="0.25">
      <c r="A634" s="7">
        <v>45696</v>
      </c>
      <c r="B634" s="5">
        <v>4783.41</v>
      </c>
      <c r="C634" s="5">
        <v>1435.0300000000002</v>
      </c>
    </row>
    <row r="635" spans="1:3" x14ac:dyDescent="0.25">
      <c r="A635" s="7">
        <v>45697</v>
      </c>
      <c r="B635" s="5">
        <v>5764.12</v>
      </c>
      <c r="C635" s="5">
        <v>1729.24</v>
      </c>
    </row>
    <row r="636" spans="1:3" x14ac:dyDescent="0.25">
      <c r="A636" s="7">
        <v>45698</v>
      </c>
      <c r="B636" s="5">
        <v>2657.61</v>
      </c>
      <c r="C636" s="5">
        <v>797.28</v>
      </c>
    </row>
    <row r="637" spans="1:3" x14ac:dyDescent="0.25">
      <c r="A637" s="7">
        <v>45699</v>
      </c>
      <c r="B637" s="5">
        <v>3975.38</v>
      </c>
      <c r="C637" s="5">
        <v>1192.6200000000001</v>
      </c>
    </row>
    <row r="638" spans="1:3" x14ac:dyDescent="0.25">
      <c r="A638" s="7">
        <v>45700</v>
      </c>
      <c r="B638" s="5">
        <v>4067.42</v>
      </c>
      <c r="C638" s="5">
        <v>1220.2299999999998</v>
      </c>
    </row>
    <row r="639" spans="1:3" x14ac:dyDescent="0.25">
      <c r="A639" s="7">
        <v>45702</v>
      </c>
      <c r="B639" s="5">
        <v>8362.89</v>
      </c>
      <c r="C639" s="5">
        <v>2508.87</v>
      </c>
    </row>
    <row r="640" spans="1:3" x14ac:dyDescent="0.25">
      <c r="A640" s="7">
        <v>45703</v>
      </c>
      <c r="B640" s="5">
        <v>2098.15</v>
      </c>
      <c r="C640" s="5">
        <v>629.43999999999994</v>
      </c>
    </row>
    <row r="641" spans="1:3" x14ac:dyDescent="0.25">
      <c r="A641" s="7">
        <v>45704</v>
      </c>
      <c r="B641" s="5">
        <v>4614.3999999999996</v>
      </c>
      <c r="C641" s="5">
        <v>1384.32</v>
      </c>
    </row>
    <row r="642" spans="1:3" x14ac:dyDescent="0.25">
      <c r="A642" s="7">
        <v>45705</v>
      </c>
      <c r="B642" s="5">
        <v>23039.83</v>
      </c>
      <c r="C642" s="5">
        <v>6911.94</v>
      </c>
    </row>
    <row r="643" spans="1:3" x14ac:dyDescent="0.25">
      <c r="A643" s="7">
        <v>45706</v>
      </c>
      <c r="B643" s="5">
        <v>310.79999999999995</v>
      </c>
      <c r="C643" s="5">
        <v>93.25</v>
      </c>
    </row>
    <row r="644" spans="1:3" x14ac:dyDescent="0.25">
      <c r="A644" s="7">
        <v>45707</v>
      </c>
      <c r="B644" s="5">
        <v>4730.7299999999996</v>
      </c>
      <c r="C644" s="5">
        <v>1419.22</v>
      </c>
    </row>
    <row r="645" spans="1:3" x14ac:dyDescent="0.25">
      <c r="A645" s="7">
        <v>45708</v>
      </c>
      <c r="B645" s="5">
        <v>10866.56</v>
      </c>
      <c r="C645" s="5">
        <v>3259.96</v>
      </c>
    </row>
    <row r="646" spans="1:3" x14ac:dyDescent="0.25">
      <c r="A646" s="7">
        <v>45709</v>
      </c>
      <c r="B646" s="5">
        <v>5625.59</v>
      </c>
      <c r="C646" s="5">
        <v>1687.67</v>
      </c>
    </row>
    <row r="647" spans="1:3" x14ac:dyDescent="0.25">
      <c r="A647" s="7">
        <v>45710</v>
      </c>
      <c r="B647" s="5">
        <v>1060.6500000000001</v>
      </c>
      <c r="C647" s="5">
        <v>318.19</v>
      </c>
    </row>
    <row r="648" spans="1:3" x14ac:dyDescent="0.25">
      <c r="A648" s="7">
        <v>45711</v>
      </c>
      <c r="B648" s="5">
        <v>6176.3</v>
      </c>
      <c r="C648" s="5">
        <v>1852.89</v>
      </c>
    </row>
    <row r="649" spans="1:3" x14ac:dyDescent="0.25">
      <c r="A649" s="7">
        <v>45713</v>
      </c>
      <c r="B649" s="5">
        <v>6086.18</v>
      </c>
      <c r="C649" s="5">
        <v>1825.8400000000001</v>
      </c>
    </row>
    <row r="650" spans="1:3" x14ac:dyDescent="0.25">
      <c r="A650" s="7">
        <v>45714</v>
      </c>
      <c r="B650" s="5">
        <v>10950.61</v>
      </c>
      <c r="C650" s="5">
        <v>3285.18</v>
      </c>
    </row>
    <row r="651" spans="1:3" x14ac:dyDescent="0.25">
      <c r="A651" s="7">
        <v>45715</v>
      </c>
      <c r="B651" s="5">
        <v>24012.98</v>
      </c>
      <c r="C651" s="5">
        <v>7203.9</v>
      </c>
    </row>
    <row r="652" spans="1:3" x14ac:dyDescent="0.25">
      <c r="A652" s="7">
        <v>45716</v>
      </c>
      <c r="B652" s="5">
        <v>2231.69</v>
      </c>
      <c r="C652" s="5">
        <v>669.51</v>
      </c>
    </row>
    <row r="653" spans="1:3" x14ac:dyDescent="0.25">
      <c r="A653" s="7">
        <v>45717</v>
      </c>
      <c r="B653" s="5">
        <v>2427.06</v>
      </c>
      <c r="C653" s="5">
        <v>728.11</v>
      </c>
    </row>
    <row r="654" spans="1:3" x14ac:dyDescent="0.25">
      <c r="A654" s="7">
        <v>45718</v>
      </c>
      <c r="B654" s="5">
        <v>369.79</v>
      </c>
      <c r="C654" s="5">
        <v>110.94</v>
      </c>
    </row>
    <row r="655" spans="1:3" x14ac:dyDescent="0.25">
      <c r="A655" s="7">
        <v>45720</v>
      </c>
      <c r="B655" s="5">
        <v>25865.460000000003</v>
      </c>
      <c r="C655" s="5">
        <v>7759.6399999999994</v>
      </c>
    </row>
    <row r="656" spans="1:3" x14ac:dyDescent="0.25">
      <c r="A656" s="7">
        <v>45721</v>
      </c>
      <c r="B656" s="5">
        <v>10878.630000000001</v>
      </c>
      <c r="C656" s="5">
        <v>3263.59</v>
      </c>
    </row>
    <row r="657" spans="1:3" x14ac:dyDescent="0.25">
      <c r="A657" s="7">
        <v>45722</v>
      </c>
      <c r="B657" s="5">
        <v>2915.0299999999997</v>
      </c>
      <c r="C657" s="5">
        <v>874.5</v>
      </c>
    </row>
    <row r="658" spans="1:3" x14ac:dyDescent="0.25">
      <c r="A658" s="7">
        <v>45724</v>
      </c>
      <c r="B658" s="5">
        <v>3606.3100000000004</v>
      </c>
      <c r="C658" s="5">
        <v>1081.8899999999999</v>
      </c>
    </row>
    <row r="659" spans="1:3" x14ac:dyDescent="0.25">
      <c r="A659" s="7">
        <v>45725</v>
      </c>
      <c r="B659" s="5">
        <v>1402.7</v>
      </c>
      <c r="C659" s="5">
        <v>420.79999999999995</v>
      </c>
    </row>
    <row r="660" spans="1:3" x14ac:dyDescent="0.25">
      <c r="A660" s="7">
        <v>45726</v>
      </c>
      <c r="B660" s="5">
        <v>20023.730000000003</v>
      </c>
      <c r="C660" s="5">
        <v>6007.119999999999</v>
      </c>
    </row>
    <row r="661" spans="1:3" x14ac:dyDescent="0.25">
      <c r="A661" s="7">
        <v>45727</v>
      </c>
      <c r="B661" s="5">
        <v>769.65</v>
      </c>
      <c r="C661" s="5">
        <v>230.9</v>
      </c>
    </row>
    <row r="662" spans="1:3" x14ac:dyDescent="0.25">
      <c r="A662" s="7">
        <v>45728</v>
      </c>
      <c r="B662" s="5">
        <v>7369.26</v>
      </c>
      <c r="C662" s="5">
        <v>2210.7800000000002</v>
      </c>
    </row>
    <row r="663" spans="1:3" x14ac:dyDescent="0.25">
      <c r="A663" s="7">
        <v>45729</v>
      </c>
      <c r="B663" s="5">
        <v>523.46</v>
      </c>
      <c r="C663" s="5">
        <v>157.04</v>
      </c>
    </row>
    <row r="664" spans="1:3" x14ac:dyDescent="0.25">
      <c r="A664" s="7">
        <v>45730</v>
      </c>
      <c r="B664" s="5">
        <v>7070.91</v>
      </c>
      <c r="C664" s="5">
        <v>2121.29</v>
      </c>
    </row>
    <row r="665" spans="1:3" x14ac:dyDescent="0.25">
      <c r="A665" s="7">
        <v>45732</v>
      </c>
      <c r="B665" s="5">
        <v>8924.16</v>
      </c>
      <c r="C665" s="5">
        <v>2677.24</v>
      </c>
    </row>
    <row r="666" spans="1:3" x14ac:dyDescent="0.25">
      <c r="A666" s="7">
        <v>45733</v>
      </c>
      <c r="B666" s="5">
        <v>6114.19</v>
      </c>
      <c r="C666" s="5">
        <v>1834.2599999999998</v>
      </c>
    </row>
    <row r="667" spans="1:3" x14ac:dyDescent="0.25">
      <c r="A667" s="7">
        <v>45734</v>
      </c>
      <c r="B667" s="5">
        <v>13821.31</v>
      </c>
      <c r="C667" s="5">
        <v>4146.3899999999994</v>
      </c>
    </row>
    <row r="668" spans="1:3" x14ac:dyDescent="0.25">
      <c r="A668" s="7">
        <v>45735</v>
      </c>
      <c r="B668" s="5">
        <v>9285.16</v>
      </c>
      <c r="C668" s="5">
        <v>2785.55</v>
      </c>
    </row>
    <row r="669" spans="1:3" x14ac:dyDescent="0.25">
      <c r="A669" s="7">
        <v>45736</v>
      </c>
      <c r="B669" s="5">
        <v>9621.26</v>
      </c>
      <c r="C669" s="5">
        <v>2886.38</v>
      </c>
    </row>
    <row r="670" spans="1:3" x14ac:dyDescent="0.25">
      <c r="A670" s="7">
        <v>45737</v>
      </c>
      <c r="B670" s="5">
        <v>2934.45</v>
      </c>
      <c r="C670" s="5">
        <v>880.33</v>
      </c>
    </row>
    <row r="671" spans="1:3" x14ac:dyDescent="0.25">
      <c r="A671" s="7">
        <v>45738</v>
      </c>
      <c r="B671" s="5">
        <v>9640.3700000000008</v>
      </c>
      <c r="C671" s="5">
        <v>2892.13</v>
      </c>
    </row>
    <row r="672" spans="1:3" x14ac:dyDescent="0.25">
      <c r="A672" s="7">
        <v>45739</v>
      </c>
      <c r="B672" s="5">
        <v>1513.8</v>
      </c>
      <c r="C672" s="5">
        <v>454.14</v>
      </c>
    </row>
    <row r="673" spans="1:3" x14ac:dyDescent="0.25">
      <c r="A673" s="7">
        <v>45740</v>
      </c>
      <c r="B673" s="5">
        <v>288.81</v>
      </c>
      <c r="C673" s="5">
        <v>86.64</v>
      </c>
    </row>
    <row r="674" spans="1:3" x14ac:dyDescent="0.25">
      <c r="A674" s="7">
        <v>45741</v>
      </c>
      <c r="B674" s="5">
        <v>5412.18</v>
      </c>
      <c r="C674" s="5">
        <v>1623.66</v>
      </c>
    </row>
    <row r="675" spans="1:3" x14ac:dyDescent="0.25">
      <c r="A675" s="7">
        <v>45742</v>
      </c>
      <c r="B675" s="5">
        <v>1986.87</v>
      </c>
      <c r="C675" s="5">
        <v>596.05999999999995</v>
      </c>
    </row>
    <row r="676" spans="1:3" x14ac:dyDescent="0.25">
      <c r="A676" s="7">
        <v>45743</v>
      </c>
      <c r="B676" s="5">
        <v>6163.29</v>
      </c>
      <c r="C676" s="5">
        <v>1848.99</v>
      </c>
    </row>
    <row r="677" spans="1:3" x14ac:dyDescent="0.25">
      <c r="A677" s="7">
        <v>45744</v>
      </c>
      <c r="B677" s="5">
        <v>28264.12</v>
      </c>
      <c r="C677" s="5">
        <v>8479.24</v>
      </c>
    </row>
    <row r="678" spans="1:3" x14ac:dyDescent="0.25">
      <c r="A678" s="7">
        <v>45745</v>
      </c>
      <c r="B678" s="5">
        <v>18077.37</v>
      </c>
      <c r="C678" s="5">
        <v>5423.21</v>
      </c>
    </row>
    <row r="679" spans="1:3" x14ac:dyDescent="0.25">
      <c r="A679" s="7">
        <v>45746</v>
      </c>
      <c r="B679" s="5">
        <v>12523.7</v>
      </c>
      <c r="C679" s="5">
        <v>3757.1</v>
      </c>
    </row>
    <row r="680" spans="1:3" x14ac:dyDescent="0.25">
      <c r="A680" s="7">
        <v>45747</v>
      </c>
      <c r="B680" s="5">
        <v>7698.89</v>
      </c>
      <c r="C680" s="5">
        <v>2309.67</v>
      </c>
    </row>
    <row r="681" spans="1:3" x14ac:dyDescent="0.25">
      <c r="A681" s="7">
        <v>45748</v>
      </c>
      <c r="B681" s="5">
        <v>1738.77</v>
      </c>
      <c r="C681" s="5">
        <v>521.63</v>
      </c>
    </row>
    <row r="682" spans="1:3" x14ac:dyDescent="0.25">
      <c r="A682" s="7">
        <v>45749</v>
      </c>
      <c r="B682" s="5">
        <v>8794.25</v>
      </c>
      <c r="C682" s="5">
        <v>2638.28</v>
      </c>
    </row>
    <row r="683" spans="1:3" x14ac:dyDescent="0.25">
      <c r="A683" s="7">
        <v>45750</v>
      </c>
      <c r="B683" s="5">
        <v>2819.48</v>
      </c>
      <c r="C683" s="5">
        <v>845.85</v>
      </c>
    </row>
    <row r="684" spans="1:3" x14ac:dyDescent="0.25">
      <c r="A684" s="7">
        <v>45752</v>
      </c>
      <c r="B684" s="5">
        <v>18621.989999999998</v>
      </c>
      <c r="C684" s="5">
        <v>5586.6</v>
      </c>
    </row>
    <row r="685" spans="1:3" x14ac:dyDescent="0.25">
      <c r="A685" s="7">
        <v>45753</v>
      </c>
      <c r="B685" s="5">
        <v>4240.09</v>
      </c>
      <c r="C685" s="5">
        <v>1272.02</v>
      </c>
    </row>
    <row r="686" spans="1:3" x14ac:dyDescent="0.25">
      <c r="A686" s="7">
        <v>45755</v>
      </c>
      <c r="B686" s="5">
        <v>9188.42</v>
      </c>
      <c r="C686" s="5">
        <v>2756.5299999999997</v>
      </c>
    </row>
    <row r="687" spans="1:3" x14ac:dyDescent="0.25">
      <c r="A687" s="7">
        <v>45756</v>
      </c>
      <c r="B687" s="5">
        <v>18739.78</v>
      </c>
      <c r="C687" s="5">
        <v>5621.94</v>
      </c>
    </row>
    <row r="688" spans="1:3" x14ac:dyDescent="0.25">
      <c r="A688" s="7">
        <v>45757</v>
      </c>
      <c r="B688" s="5">
        <v>4499</v>
      </c>
      <c r="C688" s="5">
        <v>1349.7</v>
      </c>
    </row>
    <row r="689" spans="1:3" x14ac:dyDescent="0.25">
      <c r="A689" s="7">
        <v>45760</v>
      </c>
      <c r="B689" s="5">
        <v>8538.19</v>
      </c>
      <c r="C689" s="5">
        <v>2561.46</v>
      </c>
    </row>
    <row r="690" spans="1:3" x14ac:dyDescent="0.25">
      <c r="A690" s="7">
        <v>45761</v>
      </c>
      <c r="B690" s="5">
        <v>7095.42</v>
      </c>
      <c r="C690" s="5">
        <v>2128.63</v>
      </c>
    </row>
    <row r="691" spans="1:3" x14ac:dyDescent="0.25">
      <c r="A691" s="7">
        <v>45762</v>
      </c>
      <c r="B691" s="5">
        <v>6283.66</v>
      </c>
      <c r="C691" s="5">
        <v>1885.1</v>
      </c>
    </row>
    <row r="692" spans="1:3" x14ac:dyDescent="0.25">
      <c r="A692" s="7">
        <v>45763</v>
      </c>
      <c r="B692" s="5">
        <v>13204.529999999999</v>
      </c>
      <c r="C692" s="5">
        <v>3961.37</v>
      </c>
    </row>
    <row r="693" spans="1:3" x14ac:dyDescent="0.25">
      <c r="A693" s="7">
        <v>45764</v>
      </c>
      <c r="B693" s="5">
        <v>4769.57</v>
      </c>
      <c r="C693" s="5">
        <v>1430.87</v>
      </c>
    </row>
    <row r="694" spans="1:3" x14ac:dyDescent="0.25">
      <c r="A694" s="7">
        <v>45765</v>
      </c>
      <c r="B694" s="5">
        <v>11616.72</v>
      </c>
      <c r="C694" s="5">
        <v>3485.0200000000004</v>
      </c>
    </row>
    <row r="695" spans="1:3" x14ac:dyDescent="0.25">
      <c r="A695" s="7">
        <v>45766</v>
      </c>
      <c r="B695" s="5">
        <v>531.95000000000005</v>
      </c>
      <c r="C695" s="5">
        <v>159.59</v>
      </c>
    </row>
    <row r="696" spans="1:3" x14ac:dyDescent="0.25">
      <c r="A696" s="7">
        <v>45767</v>
      </c>
      <c r="B696" s="5">
        <v>13367.59</v>
      </c>
      <c r="C696" s="5">
        <v>4010.2799999999997</v>
      </c>
    </row>
    <row r="697" spans="1:3" x14ac:dyDescent="0.25">
      <c r="A697" s="7">
        <v>45768</v>
      </c>
      <c r="B697" s="5">
        <v>248.66</v>
      </c>
      <c r="C697" s="5">
        <v>74.599999999999994</v>
      </c>
    </row>
    <row r="698" spans="1:3" x14ac:dyDescent="0.25">
      <c r="A698" s="7">
        <v>45769</v>
      </c>
      <c r="B698" s="5">
        <v>2042.14</v>
      </c>
      <c r="C698" s="5">
        <v>612.64</v>
      </c>
    </row>
    <row r="699" spans="1:3" x14ac:dyDescent="0.25">
      <c r="A699" s="7">
        <v>45771</v>
      </c>
      <c r="B699" s="5">
        <v>8948.65</v>
      </c>
      <c r="C699" s="5">
        <v>2684.6</v>
      </c>
    </row>
    <row r="700" spans="1:3" x14ac:dyDescent="0.25">
      <c r="A700" s="7">
        <v>45772</v>
      </c>
      <c r="B700" s="5">
        <v>8124.8</v>
      </c>
      <c r="C700" s="5">
        <v>2437.44</v>
      </c>
    </row>
    <row r="701" spans="1:3" x14ac:dyDescent="0.25">
      <c r="A701" s="7">
        <v>45773</v>
      </c>
      <c r="B701" s="5">
        <v>2214.37</v>
      </c>
      <c r="C701" s="5">
        <v>664.31</v>
      </c>
    </row>
    <row r="702" spans="1:3" x14ac:dyDescent="0.25">
      <c r="A702" s="7">
        <v>45774</v>
      </c>
      <c r="B702" s="5">
        <v>9970.81</v>
      </c>
      <c r="C702" s="5">
        <v>2991.24</v>
      </c>
    </row>
    <row r="703" spans="1:3" x14ac:dyDescent="0.25">
      <c r="A703" s="7">
        <v>45775</v>
      </c>
      <c r="B703" s="5">
        <v>467.17</v>
      </c>
      <c r="C703" s="5">
        <v>140.15</v>
      </c>
    </row>
    <row r="704" spans="1:3" x14ac:dyDescent="0.25">
      <c r="A704" s="7">
        <v>45777</v>
      </c>
      <c r="B704" s="5">
        <v>2818.5</v>
      </c>
      <c r="C704" s="5">
        <v>845.55</v>
      </c>
    </row>
    <row r="705" spans="1:3" x14ac:dyDescent="0.25">
      <c r="A705" s="7">
        <v>45779</v>
      </c>
      <c r="B705" s="5">
        <v>1474.76</v>
      </c>
      <c r="C705" s="5">
        <v>442.43</v>
      </c>
    </row>
    <row r="706" spans="1:3" x14ac:dyDescent="0.25">
      <c r="A706" s="7">
        <v>45780</v>
      </c>
      <c r="B706" s="5">
        <v>10390.799999999999</v>
      </c>
      <c r="C706" s="5">
        <v>3117.24</v>
      </c>
    </row>
    <row r="707" spans="1:3" x14ac:dyDescent="0.25">
      <c r="A707" s="7">
        <v>45781</v>
      </c>
      <c r="B707" s="5">
        <v>3422.48</v>
      </c>
      <c r="C707" s="5">
        <v>1026.74</v>
      </c>
    </row>
    <row r="708" spans="1:3" x14ac:dyDescent="0.25">
      <c r="A708" s="7">
        <v>45782</v>
      </c>
      <c r="B708" s="5">
        <v>2522.2800000000002</v>
      </c>
      <c r="C708" s="5">
        <v>756.68999999999994</v>
      </c>
    </row>
    <row r="709" spans="1:3" x14ac:dyDescent="0.25">
      <c r="A709" s="7">
        <v>45783</v>
      </c>
      <c r="B709" s="5">
        <v>12966.210000000001</v>
      </c>
      <c r="C709" s="5">
        <v>3889.87</v>
      </c>
    </row>
    <row r="710" spans="1:3" x14ac:dyDescent="0.25">
      <c r="A710" s="7">
        <v>45784</v>
      </c>
      <c r="B710" s="5">
        <v>2268.4</v>
      </c>
      <c r="C710" s="5">
        <v>680.52</v>
      </c>
    </row>
    <row r="711" spans="1:3" x14ac:dyDescent="0.25">
      <c r="A711" s="7">
        <v>45785</v>
      </c>
      <c r="B711" s="5">
        <v>7699.01</v>
      </c>
      <c r="C711" s="5">
        <v>2309.6999999999998</v>
      </c>
    </row>
    <row r="712" spans="1:3" x14ac:dyDescent="0.25">
      <c r="A712" s="7">
        <v>45786</v>
      </c>
      <c r="B712" s="5">
        <v>13847.5</v>
      </c>
      <c r="C712" s="5">
        <v>4154.25</v>
      </c>
    </row>
    <row r="713" spans="1:3" x14ac:dyDescent="0.25">
      <c r="A713" s="7">
        <v>45788</v>
      </c>
      <c r="B713" s="5">
        <v>29282.059999999998</v>
      </c>
      <c r="C713" s="5">
        <v>8784.6299999999992</v>
      </c>
    </row>
    <row r="714" spans="1:3" x14ac:dyDescent="0.25">
      <c r="A714" s="7">
        <v>45790</v>
      </c>
      <c r="B714" s="5">
        <v>10122.86</v>
      </c>
      <c r="C714" s="5">
        <v>3036.8599999999997</v>
      </c>
    </row>
    <row r="715" spans="1:3" x14ac:dyDescent="0.25">
      <c r="A715" s="7">
        <v>45791</v>
      </c>
      <c r="B715" s="5">
        <v>7095.76</v>
      </c>
      <c r="C715" s="5">
        <v>2128.73</v>
      </c>
    </row>
    <row r="716" spans="1:3" x14ac:dyDescent="0.25">
      <c r="A716" s="7">
        <v>45792</v>
      </c>
      <c r="B716" s="5">
        <v>9844.7999999999993</v>
      </c>
      <c r="C716" s="5">
        <v>2953.44</v>
      </c>
    </row>
    <row r="717" spans="1:3" x14ac:dyDescent="0.25">
      <c r="A717" s="7">
        <v>45793</v>
      </c>
      <c r="B717" s="5">
        <v>9311.44</v>
      </c>
      <c r="C717" s="5">
        <v>2793.43</v>
      </c>
    </row>
    <row r="718" spans="1:3" x14ac:dyDescent="0.25">
      <c r="A718" s="7">
        <v>45794</v>
      </c>
      <c r="B718" s="5">
        <v>6999.57</v>
      </c>
      <c r="C718" s="5">
        <v>2099.87</v>
      </c>
    </row>
    <row r="719" spans="1:3" x14ac:dyDescent="0.25">
      <c r="A719" s="7">
        <v>45795</v>
      </c>
      <c r="B719" s="5">
        <v>4160.67</v>
      </c>
      <c r="C719" s="5">
        <v>1248.21</v>
      </c>
    </row>
    <row r="720" spans="1:3" x14ac:dyDescent="0.25">
      <c r="A720" s="7">
        <v>45796</v>
      </c>
      <c r="B720" s="5">
        <v>5268.18</v>
      </c>
      <c r="C720" s="5">
        <v>1580.46</v>
      </c>
    </row>
    <row r="721" spans="1:3" x14ac:dyDescent="0.25">
      <c r="A721" s="7">
        <v>45797</v>
      </c>
      <c r="B721" s="5">
        <v>12060.61</v>
      </c>
      <c r="C721" s="5">
        <v>3618.1899999999996</v>
      </c>
    </row>
    <row r="722" spans="1:3" x14ac:dyDescent="0.25">
      <c r="A722" s="7">
        <v>45798</v>
      </c>
      <c r="B722" s="5">
        <v>5826.7199999999993</v>
      </c>
      <c r="C722" s="5">
        <v>1748.02</v>
      </c>
    </row>
    <row r="723" spans="1:3" x14ac:dyDescent="0.25">
      <c r="A723" s="7">
        <v>45800</v>
      </c>
      <c r="B723" s="5">
        <v>4449.16</v>
      </c>
      <c r="C723" s="5">
        <v>1334.74</v>
      </c>
    </row>
    <row r="724" spans="1:3" x14ac:dyDescent="0.25">
      <c r="A724" s="7">
        <v>45801</v>
      </c>
      <c r="B724" s="5">
        <v>10911.58</v>
      </c>
      <c r="C724" s="5">
        <v>3273.48</v>
      </c>
    </row>
    <row r="725" spans="1:3" x14ac:dyDescent="0.25">
      <c r="A725" s="7">
        <v>45802</v>
      </c>
      <c r="B725" s="5">
        <v>237.75</v>
      </c>
      <c r="C725" s="5">
        <v>71.33</v>
      </c>
    </row>
    <row r="726" spans="1:3" x14ac:dyDescent="0.25">
      <c r="A726" s="7">
        <v>45803</v>
      </c>
      <c r="B726" s="5">
        <v>1531.12</v>
      </c>
      <c r="C726" s="5">
        <v>459.34000000000003</v>
      </c>
    </row>
    <row r="727" spans="1:3" x14ac:dyDescent="0.25">
      <c r="A727" s="7">
        <v>45804</v>
      </c>
      <c r="B727" s="5">
        <v>2985.46</v>
      </c>
      <c r="C727" s="5">
        <v>895.64</v>
      </c>
    </row>
    <row r="728" spans="1:3" x14ac:dyDescent="0.25">
      <c r="A728" s="7">
        <v>45805</v>
      </c>
      <c r="B728" s="5">
        <v>1410.27</v>
      </c>
      <c r="C728" s="5">
        <v>423.08</v>
      </c>
    </row>
    <row r="729" spans="1:3" x14ac:dyDescent="0.25">
      <c r="A729" s="7">
        <v>45807</v>
      </c>
      <c r="B729" s="5">
        <v>909.32</v>
      </c>
      <c r="C729" s="5">
        <v>272.8</v>
      </c>
    </row>
    <row r="730" spans="1:3" x14ac:dyDescent="0.25">
      <c r="A730" s="7">
        <v>45808</v>
      </c>
      <c r="B730" s="5">
        <v>6082.84</v>
      </c>
      <c r="C730" s="5">
        <v>1824.85</v>
      </c>
    </row>
    <row r="731" spans="1:3" x14ac:dyDescent="0.25">
      <c r="A731" s="7">
        <v>45809</v>
      </c>
      <c r="B731" s="5">
        <v>7373.49</v>
      </c>
      <c r="C731" s="5">
        <v>2212.0499999999997</v>
      </c>
    </row>
    <row r="732" spans="1:3" x14ac:dyDescent="0.25">
      <c r="A732" s="7">
        <v>45810</v>
      </c>
      <c r="B732" s="5">
        <v>2312.29</v>
      </c>
      <c r="C732" s="5">
        <v>693.69</v>
      </c>
    </row>
    <row r="733" spans="1:3" x14ac:dyDescent="0.25">
      <c r="A733" s="7">
        <v>45813</v>
      </c>
      <c r="B733" s="5">
        <v>18857.060000000001</v>
      </c>
      <c r="C733" s="5">
        <v>5657.1299999999992</v>
      </c>
    </row>
    <row r="734" spans="1:3" x14ac:dyDescent="0.25">
      <c r="A734" s="7">
        <v>45814</v>
      </c>
      <c r="B734" s="5">
        <v>1154.06</v>
      </c>
      <c r="C734" s="5">
        <v>346.21999999999997</v>
      </c>
    </row>
    <row r="735" spans="1:3" x14ac:dyDescent="0.25">
      <c r="A735" s="7">
        <v>45816</v>
      </c>
      <c r="B735" s="5">
        <v>4538.8099999999995</v>
      </c>
      <c r="C735" s="5">
        <v>1361.65</v>
      </c>
    </row>
    <row r="736" spans="1:3" x14ac:dyDescent="0.25">
      <c r="A736" s="7">
        <v>45817</v>
      </c>
      <c r="B736" s="5">
        <v>319.69</v>
      </c>
      <c r="C736" s="5">
        <v>95.91</v>
      </c>
    </row>
    <row r="737" spans="1:3" x14ac:dyDescent="0.25">
      <c r="A737" s="7">
        <v>45819</v>
      </c>
      <c r="B737" s="5">
        <v>9973.7199999999993</v>
      </c>
      <c r="C737" s="5">
        <v>2992.12</v>
      </c>
    </row>
    <row r="738" spans="1:3" x14ac:dyDescent="0.25">
      <c r="A738" s="7">
        <v>45820</v>
      </c>
      <c r="B738" s="5">
        <v>39394.760000000009</v>
      </c>
      <c r="C738" s="5">
        <v>11818.420000000002</v>
      </c>
    </row>
    <row r="739" spans="1:3" x14ac:dyDescent="0.25">
      <c r="A739" s="7">
        <v>45822</v>
      </c>
      <c r="B739" s="5">
        <v>2079.54</v>
      </c>
      <c r="C739" s="5">
        <v>623.86</v>
      </c>
    </row>
    <row r="740" spans="1:3" x14ac:dyDescent="0.25">
      <c r="A740" s="7">
        <v>45823</v>
      </c>
      <c r="B740" s="5">
        <v>52.44</v>
      </c>
      <c r="C740" s="5">
        <v>15.74</v>
      </c>
    </row>
    <row r="741" spans="1:3" x14ac:dyDescent="0.25">
      <c r="A741" s="7">
        <v>45824</v>
      </c>
      <c r="B741" s="5">
        <v>2960.3</v>
      </c>
      <c r="C741" s="5">
        <v>888.09</v>
      </c>
    </row>
    <row r="742" spans="1:3" x14ac:dyDescent="0.25">
      <c r="A742" s="7">
        <v>45825</v>
      </c>
      <c r="B742" s="5">
        <v>253.94</v>
      </c>
      <c r="C742" s="5">
        <v>76.180000000000007</v>
      </c>
    </row>
    <row r="743" spans="1:3" x14ac:dyDescent="0.25">
      <c r="A743" s="7">
        <v>45826</v>
      </c>
      <c r="B743" s="5">
        <v>17870.719999999998</v>
      </c>
      <c r="C743" s="5">
        <v>5361.21</v>
      </c>
    </row>
    <row r="744" spans="1:3" x14ac:dyDescent="0.25">
      <c r="A744" s="7">
        <v>45828</v>
      </c>
      <c r="B744" s="5">
        <v>1791.01</v>
      </c>
      <c r="C744" s="5">
        <v>537.29999999999995</v>
      </c>
    </row>
    <row r="745" spans="1:3" x14ac:dyDescent="0.25">
      <c r="A745" s="7">
        <v>45829</v>
      </c>
      <c r="B745" s="5">
        <v>5416.37</v>
      </c>
      <c r="C745" s="5">
        <v>1624.92</v>
      </c>
    </row>
    <row r="746" spans="1:3" x14ac:dyDescent="0.25">
      <c r="A746" s="7">
        <v>45830</v>
      </c>
      <c r="B746" s="5">
        <v>10390.870000000001</v>
      </c>
      <c r="C746" s="5">
        <v>3117.2599999999998</v>
      </c>
    </row>
    <row r="747" spans="1:3" x14ac:dyDescent="0.25">
      <c r="A747" s="7">
        <v>45831</v>
      </c>
      <c r="B747" s="5">
        <v>9251.86</v>
      </c>
      <c r="C747" s="5">
        <v>2775.56</v>
      </c>
    </row>
    <row r="748" spans="1:3" x14ac:dyDescent="0.25">
      <c r="A748" s="7">
        <v>45832</v>
      </c>
      <c r="B748" s="5">
        <v>1169.26</v>
      </c>
      <c r="C748" s="5">
        <v>350.78</v>
      </c>
    </row>
    <row r="749" spans="1:3" x14ac:dyDescent="0.25">
      <c r="A749" s="7">
        <v>45835</v>
      </c>
      <c r="B749" s="5">
        <v>1774.77</v>
      </c>
      <c r="C749" s="5">
        <v>532.43000000000006</v>
      </c>
    </row>
    <row r="750" spans="1:3" x14ac:dyDescent="0.25">
      <c r="A750" s="7">
        <v>45836</v>
      </c>
      <c r="B750" s="5">
        <v>7544.5</v>
      </c>
      <c r="C750" s="5">
        <v>2263.34</v>
      </c>
    </row>
    <row r="751" spans="1:3" x14ac:dyDescent="0.25">
      <c r="A751" s="7">
        <v>45837</v>
      </c>
      <c r="B751" s="5">
        <v>7867.13</v>
      </c>
      <c r="C751" s="5">
        <v>2360.14</v>
      </c>
    </row>
    <row r="752" spans="1:3" x14ac:dyDescent="0.25">
      <c r="A752" s="7">
        <v>45838</v>
      </c>
      <c r="B752" s="5">
        <v>20160.09</v>
      </c>
      <c r="C752" s="5">
        <v>6048.0300000000007</v>
      </c>
    </row>
    <row r="753" spans="1:3" x14ac:dyDescent="0.25">
      <c r="A753" s="4" t="s">
        <v>3971</v>
      </c>
      <c r="B753" s="5">
        <v>5138308.9799999977</v>
      </c>
      <c r="C753" s="5">
        <v>1541492.7800000014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Task3_PartB_RawData</vt:lpstr>
      <vt:lpstr>Step5-Variance colmn.</vt:lpstr>
      <vt:lpstr>Step6-Performance Comp. Table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2026-05-01T14:20:34Z</dcterms:created>
  <dcterms:modified xsi:type="dcterms:W3CDTF">2026-05-14T19:29:20Z</dcterms:modified>
</cp:coreProperties>
</file>